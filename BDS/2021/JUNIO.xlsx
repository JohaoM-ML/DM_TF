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JUNIO 2021\"/>
    </mc:Choice>
  </mc:AlternateContent>
  <xr:revisionPtr revIDLastSave="0" documentId="8_{AEA4342F-1284-467D-9E2B-2E65E533F370}" xr6:coauthVersionLast="47" xr6:coauthVersionMax="47" xr10:uidLastSave="{00000000-0000-0000-0000-000000000000}"/>
  <bookViews>
    <workbookView xWindow="-120" yWindow="-120" windowWidth="20730" windowHeight="11760" tabRatio="744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  <externalReference r:id="rId24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'c-10'!$A$1:$I$39</definedName>
    <definedName name="_xlnm.Print_Area" localSheetId="12">'c-11'!$A$1:$I$37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'C-9'!$A$1:$G$58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I118" i="17" l="1"/>
  <c r="H118" i="17"/>
  <c r="G118" i="17"/>
  <c r="F118" i="17"/>
  <c r="E118" i="17"/>
  <c r="D118" i="17"/>
  <c r="I117" i="17"/>
  <c r="H117" i="17"/>
  <c r="G117" i="17"/>
  <c r="F117" i="17"/>
  <c r="E117" i="17"/>
  <c r="D117" i="17"/>
  <c r="C117" i="17" s="1"/>
  <c r="I116" i="17"/>
  <c r="H116" i="17"/>
  <c r="G116" i="17"/>
  <c r="F116" i="17"/>
  <c r="E116" i="17"/>
  <c r="D116" i="17"/>
  <c r="I115" i="17"/>
  <c r="H115" i="17"/>
  <c r="G115" i="17"/>
  <c r="F115" i="17"/>
  <c r="E115" i="17"/>
  <c r="C115" i="17" s="1"/>
  <c r="D115" i="17"/>
  <c r="I114" i="17"/>
  <c r="H114" i="17"/>
  <c r="G114" i="17"/>
  <c r="F114" i="17"/>
  <c r="E114" i="17"/>
  <c r="D114" i="17"/>
  <c r="C114" i="17" s="1"/>
  <c r="I113" i="17"/>
  <c r="H113" i="17"/>
  <c r="G113" i="17"/>
  <c r="F113" i="17"/>
  <c r="C113" i="17" s="1"/>
  <c r="E113" i="17"/>
  <c r="D113" i="17"/>
  <c r="I112" i="17"/>
  <c r="H112" i="17"/>
  <c r="G112" i="17"/>
  <c r="F112" i="17"/>
  <c r="E112" i="17"/>
  <c r="D112" i="17"/>
  <c r="I111" i="17"/>
  <c r="H111" i="17"/>
  <c r="G111" i="17"/>
  <c r="F111" i="17"/>
  <c r="E111" i="17"/>
  <c r="D111" i="17"/>
  <c r="C111" i="17"/>
  <c r="I110" i="17"/>
  <c r="H110" i="17"/>
  <c r="G110" i="17"/>
  <c r="F110" i="17"/>
  <c r="E110" i="17"/>
  <c r="D110" i="17"/>
  <c r="I109" i="17"/>
  <c r="H109" i="17"/>
  <c r="G109" i="17"/>
  <c r="F109" i="17"/>
  <c r="E109" i="17"/>
  <c r="D109" i="17"/>
  <c r="C109" i="17" s="1"/>
  <c r="I108" i="17"/>
  <c r="H108" i="17"/>
  <c r="G108" i="17"/>
  <c r="F108" i="17"/>
  <c r="E108" i="17"/>
  <c r="D108" i="17"/>
  <c r="I107" i="17"/>
  <c r="H107" i="17"/>
  <c r="G107" i="17"/>
  <c r="F107" i="17"/>
  <c r="E107" i="17"/>
  <c r="C107" i="17" s="1"/>
  <c r="D107" i="17"/>
  <c r="I106" i="17"/>
  <c r="H106" i="17"/>
  <c r="G106" i="17"/>
  <c r="F106" i="17"/>
  <c r="E106" i="17"/>
  <c r="D106" i="17"/>
  <c r="C106" i="17" s="1"/>
  <c r="I105" i="17"/>
  <c r="H105" i="17"/>
  <c r="G105" i="17"/>
  <c r="F105" i="17"/>
  <c r="C105" i="17" s="1"/>
  <c r="E105" i="17"/>
  <c r="D105" i="17"/>
  <c r="I104" i="17"/>
  <c r="H104" i="17"/>
  <c r="G104" i="17"/>
  <c r="F104" i="17"/>
  <c r="E104" i="17"/>
  <c r="D104" i="17"/>
  <c r="I103" i="17"/>
  <c r="H103" i="17"/>
  <c r="G103" i="17"/>
  <c r="F103" i="17"/>
  <c r="E103" i="17"/>
  <c r="D103" i="17"/>
  <c r="C103" i="17"/>
  <c r="I102" i="17"/>
  <c r="H102" i="17"/>
  <c r="G102" i="17"/>
  <c r="F102" i="17"/>
  <c r="E102" i="17"/>
  <c r="D102" i="17"/>
  <c r="I101" i="17"/>
  <c r="H101" i="17"/>
  <c r="G101" i="17"/>
  <c r="F101" i="17"/>
  <c r="E101" i="17"/>
  <c r="D101" i="17"/>
  <c r="C101" i="17" s="1"/>
  <c r="I100" i="17"/>
  <c r="H100" i="17"/>
  <c r="G100" i="17"/>
  <c r="F100" i="17"/>
  <c r="E100" i="17"/>
  <c r="D100" i="17"/>
  <c r="I99" i="17"/>
  <c r="H99" i="17"/>
  <c r="G99" i="17"/>
  <c r="F99" i="17"/>
  <c r="E99" i="17"/>
  <c r="C99" i="17" s="1"/>
  <c r="D99" i="17"/>
  <c r="I98" i="17"/>
  <c r="H98" i="17"/>
  <c r="G98" i="17"/>
  <c r="F98" i="17"/>
  <c r="E98" i="17"/>
  <c r="D98" i="17"/>
  <c r="C98" i="17" s="1"/>
  <c r="I97" i="17"/>
  <c r="H97" i="17"/>
  <c r="G97" i="17"/>
  <c r="F97" i="17"/>
  <c r="C97" i="17" s="1"/>
  <c r="E97" i="17"/>
  <c r="D97" i="17"/>
  <c r="I96" i="17"/>
  <c r="H96" i="17"/>
  <c r="G96" i="17"/>
  <c r="F96" i="17"/>
  <c r="E96" i="17"/>
  <c r="D96" i="17"/>
  <c r="I95" i="17"/>
  <c r="H95" i="17"/>
  <c r="G95" i="17"/>
  <c r="F95" i="17"/>
  <c r="E95" i="17"/>
  <c r="D95" i="17"/>
  <c r="C95" i="17"/>
  <c r="I94" i="17"/>
  <c r="H94" i="17"/>
  <c r="G94" i="17"/>
  <c r="F94" i="17"/>
  <c r="E94" i="17"/>
  <c r="D94" i="17"/>
  <c r="I93" i="17"/>
  <c r="H93" i="17"/>
  <c r="G93" i="17"/>
  <c r="F93" i="17"/>
  <c r="E93" i="17"/>
  <c r="D93" i="17"/>
  <c r="C93" i="17" s="1"/>
  <c r="I92" i="17"/>
  <c r="H92" i="17"/>
  <c r="G92" i="17"/>
  <c r="F92" i="17"/>
  <c r="E92" i="17"/>
  <c r="D92" i="17"/>
  <c r="I91" i="17"/>
  <c r="H91" i="17"/>
  <c r="G91" i="17"/>
  <c r="F91" i="17"/>
  <c r="E91" i="17"/>
  <c r="C91" i="17" s="1"/>
  <c r="D91" i="17"/>
  <c r="I90" i="17"/>
  <c r="H90" i="17"/>
  <c r="G90" i="17"/>
  <c r="F90" i="17"/>
  <c r="E90" i="17"/>
  <c r="D90" i="17"/>
  <c r="C90" i="17" s="1"/>
  <c r="I89" i="17"/>
  <c r="H89" i="17"/>
  <c r="G89" i="17"/>
  <c r="F89" i="17"/>
  <c r="C89" i="17" s="1"/>
  <c r="E89" i="17"/>
  <c r="D89" i="17"/>
  <c r="I88" i="17"/>
  <c r="H88" i="17"/>
  <c r="G88" i="17"/>
  <c r="F88" i="17"/>
  <c r="E88" i="17"/>
  <c r="D88" i="17"/>
  <c r="I87" i="17"/>
  <c r="H87" i="17"/>
  <c r="G87" i="17"/>
  <c r="F87" i="17"/>
  <c r="E87" i="17"/>
  <c r="D87" i="17"/>
  <c r="C87" i="17"/>
  <c r="I86" i="17"/>
  <c r="H86" i="17"/>
  <c r="G86" i="17"/>
  <c r="F86" i="17"/>
  <c r="E86" i="17"/>
  <c r="D86" i="17"/>
  <c r="I85" i="17"/>
  <c r="H85" i="17"/>
  <c r="G85" i="17"/>
  <c r="F85" i="17"/>
  <c r="E85" i="17"/>
  <c r="D85" i="17"/>
  <c r="C85" i="17" s="1"/>
  <c r="I84" i="17"/>
  <c r="H84" i="17"/>
  <c r="G84" i="17"/>
  <c r="F84" i="17"/>
  <c r="E84" i="17"/>
  <c r="D84" i="17"/>
  <c r="I83" i="17"/>
  <c r="H83" i="17"/>
  <c r="G83" i="17"/>
  <c r="F83" i="17"/>
  <c r="E83" i="17"/>
  <c r="C83" i="17" s="1"/>
  <c r="D83" i="17"/>
  <c r="C108" i="17" l="1"/>
  <c r="C116" i="17"/>
  <c r="C86" i="17"/>
  <c r="C110" i="17"/>
  <c r="C118" i="17"/>
  <c r="C84" i="17"/>
  <c r="C92" i="17"/>
  <c r="C100" i="17"/>
  <c r="C94" i="17"/>
  <c r="C102" i="17"/>
  <c r="C88" i="17"/>
  <c r="C96" i="17"/>
  <c r="C104" i="17"/>
  <c r="C112" i="17"/>
  <c r="G16" i="27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G11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</calcChain>
</file>

<file path=xl/sharedStrings.xml><?xml version="1.0" encoding="utf-8"?>
<sst xmlns="http://schemas.openxmlformats.org/spreadsheetml/2006/main" count="2763" uniqueCount="501">
  <si>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</si>
  <si>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</si>
  <si>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</si>
  <si>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</si>
  <si>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</si>
  <si>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</si>
  <si>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</si>
  <si>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</si>
  <si>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</si>
  <si>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</si>
  <si>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</si>
  <si>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</si>
  <si>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</si>
  <si>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</si>
  <si>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</si>
  <si>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</si>
  <si>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</si>
  <si>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</si>
  <si>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</si>
  <si>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</si>
  <si>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</si>
  <si>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</si>
  <si>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</si>
  <si>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</si>
  <si>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</si>
  <si>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</si>
  <si>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</si>
  <si>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</si>
  <si>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</si>
  <si>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</si>
  <si>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</si>
  <si>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</si>
  <si>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</si>
  <si>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</si>
  <si>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</si>
  <si>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</si>
  <si>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</si>
  <si>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</si>
  <si>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</si>
  <si>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</si>
  <si>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</si>
  <si>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</si>
  <si>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</si>
  <si>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</si>
  <si>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</si>
  <si>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</si>
  <si>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</si>
  <si>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</si>
  <si>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</si>
  <si>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</si>
  <si>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</si>
  <si>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</si>
  <si>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</si>
  <si>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</si>
  <si>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</si>
  <si>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        (Hectárea)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</si>
  <si>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</si>
  <si>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</si>
  <si>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</si>
  <si>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</si>
  <si>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</si>
  <si>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</si>
  <si>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</si>
  <si>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</si>
  <si>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</si>
  <si>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</si>
  <si>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</si>
  <si>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</si>
  <si>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</si>
  <si>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</si>
  <si>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</si>
  <si>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</si>
  <si>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</si>
  <si>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</si>
  <si>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</si>
  <si>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Maíz amilácceo</t>
  </si>
  <si>
    <t>Arveja  verde</t>
  </si>
  <si>
    <t>INDICADORES PRODUCTIVOS AGRICOLAS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</si>
  <si>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</si>
  <si>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</si>
  <si>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</si>
  <si>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</si>
  <si>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</si>
  <si>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</si>
  <si>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</si>
  <si>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</si>
  <si>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</si>
  <si>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</si>
  <si>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</si>
  <si>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</si>
  <si>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</si>
  <si>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</si>
  <si>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</si>
  <si>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</si>
  <si>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</si>
  <si>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</si>
  <si>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</si>
  <si>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</si>
  <si>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</si>
  <si>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</si>
  <si>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</si>
  <si>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</si>
  <si>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</si>
  <si>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</si>
  <si>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</si>
  <si>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</si>
  <si>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</si>
  <si>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</si>
  <si>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</si>
  <si>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</si>
  <si>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</si>
  <si>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</si>
  <si>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</si>
  <si>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</si>
  <si>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</si>
  <si>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</si>
  <si>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</si>
  <si>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</si>
  <si>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</si>
  <si>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</si>
  <si>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</si>
  <si>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</si>
  <si>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</si>
  <si>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</si>
  <si>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</si>
  <si>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</si>
  <si>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</si>
  <si>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</si>
  <si>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</si>
  <si>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</si>
  <si>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</si>
  <si>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</si>
  <si>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</si>
  <si>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</si>
  <si>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 xml:space="preserve">          (Hectárea)</t>
    <phoneticPr fontId="10" type="noConversion"/>
  </si>
  <si>
    <t>sigue…</t>
    <phoneticPr fontId="10" type="noConversion"/>
  </si>
  <si>
    <t xml:space="preserve"> 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</si>
  <si>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</si>
  <si>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</si>
  <si>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</si>
  <si>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</si>
  <si>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</si>
  <si>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</si>
  <si>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</si>
  <si>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</si>
  <si>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</si>
  <si>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</si>
  <si>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</si>
  <si>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r>
      <t>2019</t>
    </r>
    <r>
      <rPr>
        <b/>
        <vertAlign val="superscript"/>
        <sz val="7"/>
        <color indexed="8"/>
        <rFont val="Arial Narrow"/>
        <family val="2"/>
      </rPr>
      <t>p/</t>
    </r>
  </si>
  <si>
    <r>
      <t>19/18</t>
    </r>
    <r>
      <rPr>
        <b/>
        <vertAlign val="superscript"/>
        <sz val="7"/>
        <color indexed="8"/>
        <rFont val="Arial Narrow"/>
        <family val="2"/>
      </rPr>
      <t>p/</t>
    </r>
  </si>
  <si>
    <r>
      <t>2017</t>
    </r>
    <r>
      <rPr>
        <b/>
        <vertAlign val="superscript"/>
        <sz val="7"/>
        <color indexed="8"/>
        <rFont val="Arial Narrow"/>
        <family val="2"/>
      </rPr>
      <t>p/</t>
    </r>
  </si>
  <si>
    <r>
      <t>2018</t>
    </r>
    <r>
      <rPr>
        <b/>
        <vertAlign val="superscript"/>
        <sz val="7"/>
        <color indexed="8"/>
        <rFont val="Arial Narrow"/>
        <family val="2"/>
      </rPr>
      <t>p/</t>
    </r>
  </si>
  <si>
    <t>sigue…</t>
  </si>
  <si>
    <t xml:space="preserve">Nacional </t>
  </si>
  <si>
    <t xml:space="preserve">     Amazonas</t>
  </si>
  <si>
    <t>Huánuco</t>
  </si>
  <si>
    <t>Junín</t>
  </si>
  <si>
    <t xml:space="preserve">          (Tonelada)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</si>
  <si>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</si>
  <si>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</si>
  <si>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</si>
  <si>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</si>
  <si>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</si>
  <si>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</si>
  <si>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</si>
  <si>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</si>
  <si>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</si>
  <si>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</si>
  <si>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</si>
  <si>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</si>
  <si>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</si>
  <si>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</si>
  <si>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</si>
  <si>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</si>
  <si>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</si>
  <si>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</si>
  <si>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</si>
  <si>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</si>
  <si>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</si>
  <si>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</si>
  <si>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</si>
  <si>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</si>
  <si>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</si>
  <si>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</si>
  <si>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</si>
  <si>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</si>
  <si>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</si>
  <si>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</si>
  <si>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</si>
  <si>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</si>
  <si>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     (Hectárea)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</si>
  <si>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</si>
  <si>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</si>
  <si>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</si>
  <si>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</si>
  <si>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</si>
  <si>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</si>
  <si>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</si>
  <si>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</si>
  <si>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</si>
  <si>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</si>
  <si>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</si>
  <si>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</si>
  <si>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</si>
  <si>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</si>
  <si>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</si>
  <si>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</si>
  <si>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</si>
  <si>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</si>
  <si>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</si>
  <si>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</si>
  <si>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</si>
  <si>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</si>
  <si>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</si>
  <si>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</si>
  <si>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</si>
  <si>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</si>
  <si>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</si>
  <si>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</si>
  <si>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</si>
  <si>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</si>
  <si>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</si>
  <si>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</si>
  <si>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</si>
  <si>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</si>
  <si>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</si>
  <si>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</si>
  <si>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</si>
  <si>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</si>
  <si>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</si>
  <si>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</si>
  <si>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</si>
  <si>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</si>
  <si>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</si>
  <si>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</si>
  <si>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</si>
  <si>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</si>
  <si>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</si>
  <si>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</si>
  <si>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</si>
  <si>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</si>
  <si>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</si>
  <si>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</si>
  <si>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</si>
  <si>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</si>
  <si>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continúa C.14</t>
  </si>
  <si>
    <t>continúa C.13</t>
  </si>
  <si>
    <t>continúa C.8</t>
  </si>
  <si>
    <t>continúa C.7</t>
  </si>
  <si>
    <t>continúa C.6</t>
  </si>
  <si>
    <t>continúa C.5</t>
  </si>
  <si>
    <t>Ene-Dic</t>
    <phoneticPr fontId="6" type="noConversion"/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</si>
  <si>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</si>
  <si>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</si>
  <si>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</si>
  <si>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</si>
  <si>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</si>
  <si>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</si>
  <si>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</si>
  <si>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</si>
  <si>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</si>
  <si>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</si>
  <si>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</si>
  <si>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</si>
  <si>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</si>
  <si>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</si>
  <si>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</si>
  <si>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</si>
  <si>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</si>
  <si>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</si>
  <si>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</si>
  <si>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</si>
  <si>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</si>
  <si>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</si>
  <si>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</si>
  <si>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</si>
  <si>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</si>
  <si>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</si>
  <si>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</si>
  <si>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</si>
  <si>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</si>
  <si>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</si>
  <si>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</si>
  <si>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</si>
  <si>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</si>
  <si>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</si>
  <si>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</si>
  <si>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</si>
  <si>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</si>
  <si>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</si>
  <si>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</si>
  <si>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</si>
  <si>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</si>
  <si>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</si>
  <si>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</si>
  <si>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</si>
  <si>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</si>
  <si>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</si>
  <si>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</si>
  <si>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</si>
  <si>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</si>
  <si>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</si>
  <si>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</si>
  <si>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</si>
  <si>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</si>
  <si>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</si>
  <si>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</si>
  <si>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</si>
  <si>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</si>
  <si>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</si>
  <si>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</si>
  <si>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</si>
  <si>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</si>
  <si>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</si>
  <si>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</si>
  <si>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</si>
  <si>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</si>
  <si>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</si>
  <si>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</si>
  <si>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</si>
  <si>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</si>
  <si>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</si>
  <si>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</si>
  <si>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</si>
  <si>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</si>
  <si>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</si>
  <si>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</si>
  <si>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</si>
  <si>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</si>
  <si>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</si>
  <si>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</si>
  <si>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</si>
  <si>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</si>
  <si>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 xml:space="preserve">Animales vivos </t>
  </si>
  <si>
    <t>Leche cruda</t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</si>
  <si>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</si>
  <si>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</si>
  <si>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</si>
  <si>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19-20</t>
  </si>
  <si>
    <t>19-20p/</t>
  </si>
  <si>
    <t>sigue</t>
  </si>
  <si>
    <t>Ají</t>
    <phoneticPr fontId="10" type="noConversion"/>
  </si>
  <si>
    <r>
      <t>2020</t>
    </r>
    <r>
      <rPr>
        <b/>
        <vertAlign val="superscript"/>
        <sz val="7"/>
        <color indexed="8"/>
        <rFont val="Arial Narrow"/>
        <family val="2"/>
      </rPr>
      <t>p/</t>
    </r>
  </si>
  <si>
    <r>
      <t>20/19</t>
    </r>
    <r>
      <rPr>
        <b/>
        <vertAlign val="superscript"/>
        <sz val="7"/>
        <color indexed="8"/>
        <rFont val="Arial Narrow"/>
        <family val="2"/>
      </rPr>
      <t>p/</t>
    </r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</si>
  <si>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</si>
  <si>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2020p/</t>
  </si>
  <si>
    <t>2020</t>
  </si>
  <si>
    <t>20-21p/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</si>
  <si>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</si>
  <si>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</si>
  <si>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</si>
  <si>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</si>
  <si>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7"/>
        <color indexed="8"/>
        <rFont val="Arial Narrow"/>
        <family val="2"/>
      </rPr>
      <t>p/</t>
    </r>
  </si>
  <si>
    <t>2021p/</t>
  </si>
  <si>
    <r>
      <t>21/20</t>
    </r>
    <r>
      <rPr>
        <b/>
        <vertAlign val="superscript"/>
        <sz val="7"/>
        <color indexed="8"/>
        <rFont val="Arial Narrow"/>
        <family val="2"/>
      </rPr>
      <t>p/</t>
    </r>
  </si>
  <si>
    <t>2021</t>
  </si>
  <si>
    <t xml:space="preserve">Perú. Superficie sembrada de principales cultivos transitorio por región según mes, campaña agrícola: 2019/20 y 2020/21 </t>
  </si>
  <si>
    <t>Perú: Superficie sembrada de principales cultivos transitorios por cultivo según mes campaña agricola 2019/2020 y 2020/2021 (Hectárea)</t>
  </si>
  <si>
    <t>Elaboración: MIDAGRI - DGESEP (DEIA)</t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</si>
  <si>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</si>
  <si>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</si>
  <si>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</si>
  <si>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</si>
  <si>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</si>
  <si>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</si>
  <si>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</si>
  <si>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</si>
  <si>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</si>
  <si>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</si>
  <si>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</si>
  <si>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</si>
  <si>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</si>
  <si>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</si>
  <si>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</si>
  <si>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</si>
  <si>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</si>
  <si>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</si>
  <si>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</si>
  <si>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</si>
  <si>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</si>
  <si>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</si>
  <si>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</si>
  <si>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</si>
  <si>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p/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</si>
  <si>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</si>
  <si>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</si>
  <si>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</si>
  <si>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</si>
  <si>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</si>
  <si>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</si>
  <si>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</si>
  <si>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</si>
  <si>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</si>
  <si>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</si>
  <si>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</si>
  <si>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</si>
  <si>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</si>
  <si>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</si>
  <si>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</si>
  <si>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</si>
  <si>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</si>
  <si>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</si>
  <si>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</si>
  <si>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</si>
  <si>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</si>
  <si>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</si>
  <si>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</si>
  <si>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</si>
  <si>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</si>
  <si>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</si>
  <si>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</si>
  <si>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</si>
  <si>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</si>
  <si>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</si>
  <si>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</si>
  <si>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</si>
  <si>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</si>
  <si>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</si>
  <si>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</si>
  <si>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</si>
  <si>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</si>
  <si>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</si>
  <si>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2016-17/2015-16</t>
    </r>
    <r>
      <rPr>
        <b/>
        <vertAlign val="superscript"/>
        <sz val="7"/>
        <color indexed="8"/>
        <rFont val="Arial Narrow"/>
        <family val="2"/>
      </rPr>
      <t>p/</t>
    </r>
  </si>
  <si>
    <r>
      <t>2017-18/2016-17</t>
    </r>
    <r>
      <rPr>
        <b/>
        <vertAlign val="superscript"/>
        <sz val="7"/>
        <color indexed="8"/>
        <rFont val="Arial Narrow"/>
        <family val="2"/>
      </rPr>
      <t>p/</t>
    </r>
  </si>
  <si>
    <r>
      <t>2018-19/2017-18</t>
    </r>
    <r>
      <rPr>
        <b/>
        <vertAlign val="superscript"/>
        <sz val="7"/>
        <color indexed="8"/>
        <rFont val="Arial Narrow"/>
        <family val="2"/>
      </rPr>
      <t>p/</t>
    </r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</si>
  <si>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</si>
  <si>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</si>
  <si>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</si>
  <si>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</si>
  <si>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</si>
  <si>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</si>
  <si>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</si>
  <si>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</si>
  <si>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</si>
  <si>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mar</t>
  </si>
  <si>
    <t>Ene-Dic</t>
  </si>
  <si>
    <t>Total Nacional</t>
  </si>
  <si>
    <t>Perú: Valor  de la Producción Agropecuaria, por subsectores. Enero - Junio 2020/2021 (Millones de soles a precios 2007)</t>
  </si>
  <si>
    <t xml:space="preserve">Perú: Evaluación de la Producción Agroindustrial de principales actividades, según producto terminado, Enero - Junio  2020/2021  (Millones de soles a precios 2007) </t>
  </si>
  <si>
    <t>Perú: Valor  Bruto de la Producción  Agropecuaria, por región, Enero - Junio 2020/2021 (Millones de  soles a precios 2007 )</t>
  </si>
  <si>
    <t>Perú: Valor de la Producción Agropecuaria, por subsectores y principales productos, Enero - Junio 2020_2021 (Millones de soles a precios 2007)</t>
  </si>
  <si>
    <t>Perú: Producción Agropecuaria, por  subsectores y principales productos, Enero - Junio 2020/2021 (Miles de toneladas)</t>
  </si>
  <si>
    <t>Perú: Valor de la Producción agropecuaria (VBP), por subsectores y principales productos, Enero - Junio 2000/2020 (Millones de soles a precio 2007)</t>
  </si>
  <si>
    <t xml:space="preserve">          AGOSTO-JUNIO 2013-14…2020-21</t>
  </si>
  <si>
    <t>C.1  PERÚ: VALOR BRUTO DE LA PRODUCCIÓN AGROPECUARIA POR SUBSECTORES, ENERO-JUNIO 2020-2021</t>
  </si>
  <si>
    <t xml:space="preserve">C.3   PERÚ: VALOR BRUTO DE LA PRODUCCIÓN AGROPECUARIA, POR REGIÓN, ENERO-JUNIO 2020-2021 </t>
  </si>
  <si>
    <t xml:space="preserve">        PRINCIPALES PRODUCTOS.  ENERO-JUNIO  2020-2021</t>
  </si>
  <si>
    <t xml:space="preserve">        ENERO-JUNIO 2020-2021</t>
  </si>
  <si>
    <t>C.7   PERÚ: PRODUCCIÓN AGROPECUARIA POR SUBSECTORES Y PRINCIPALES PRODUCTOS, ENERO-JUNIO 2000-2021</t>
  </si>
  <si>
    <t xml:space="preserve">          ENERO-JUNIO 2020_2021</t>
  </si>
  <si>
    <t>C.19  PERÚ: PRODUCCIÓN DE PRINCIPALES CULTIVOS POR MES. ENERO-JUNIO 2020-2021</t>
  </si>
  <si>
    <t>C.18  PERÚ: PRODUCCIÓN DE PRINCIPALES CULTIVOS POR REGIÓN, ENERO-JUNIO 2020_2021</t>
  </si>
  <si>
    <t xml:space="preserve">          ENERO-JUNIO 2020-2021 </t>
  </si>
  <si>
    <t xml:space="preserve">          ENERO-JUNIO  2020-2021</t>
  </si>
  <si>
    <t xml:space="preserve">         CAMPAÑA AGRÍCOLA: AGOSTO-JUNIO 2019-2020/2020_2021</t>
  </si>
  <si>
    <t xml:space="preserve">         CAMPAÑA AGRÍCOLA: AGOSTO-JUNIO 2020-2021/2019-2020</t>
  </si>
  <si>
    <t xml:space="preserve">          TRANSITORIOS, SEGÚN CAMPAÑA AGRÍCOLA AGOSTO-JUNIO 2013-14 ….2020-21</t>
  </si>
  <si>
    <t>Enero - Junio</t>
  </si>
  <si>
    <t>Junio</t>
  </si>
  <si>
    <t xml:space="preserve"> Enero - Junio  </t>
  </si>
  <si>
    <t xml:space="preserve">Perú: Siembras de los principales cultivos transitorio por región según campaña agrícola: Agosto - Junio 2013 - 14 …        2020-21 (Hectárea) </t>
  </si>
  <si>
    <t>Perú: Superficie sembrada de principales cultivos transitorio, según campaña agrícola, Agosto - Junio 2013 -14..2020-21 (Hectárea)</t>
  </si>
  <si>
    <t xml:space="preserve">Perú: Superficie sembrada de principales cultivos transitorio por región, campaña agrícola: Agosto - Junio  2019-2020/ 2020_2021 (Hectárea). </t>
  </si>
  <si>
    <t>Perú: Superficie cosechada de principales cultivos transitorio por región. Junio 2020- 2021(Hectárea)</t>
  </si>
  <si>
    <t>Perú: Superficie cosechada de principales cultivos transitorio, según mes, Junio 2020- 2021 (Hectárea)</t>
  </si>
  <si>
    <t xml:space="preserve">Perú: Producción de principales cultivos, por región, Junio 2020-2021 (Tonelada) </t>
  </si>
  <si>
    <t>Perú: Producción de principales cultivos, por mes. Junio  2020-2021 (Tonelada)</t>
  </si>
  <si>
    <t xml:space="preserve">Perú: Rendimiento de principales cultivos transitorios, por región, Junio 2020-2021 (Kilos/hectarea)   </t>
  </si>
  <si>
    <t xml:space="preserve"> Enero - Junio</t>
  </si>
  <si>
    <t>Ago-Jun</t>
  </si>
  <si>
    <t>Ene-Jun</t>
  </si>
  <si>
    <t>Perú: Variación porcentual del Valor de la Producción Agropecuaria, por subsectores y principales productos,  Enero -Junio  2000-2021</t>
  </si>
  <si>
    <t xml:space="preserve">Enero - Junio </t>
  </si>
  <si>
    <t xml:space="preserve">C.9   EVALUACIÓN DE LA PRODUCCIÓN AGROINDUSTRIAL DE LAS PRINCIPALES ACTIVIDADES, </t>
  </si>
  <si>
    <t xml:space="preserve">         POR PRODUCTOS TERMINADOS</t>
  </si>
  <si>
    <r>
      <t xml:space="preserve">    Otros</t>
    </r>
    <r>
      <rPr>
        <vertAlign val="superscript"/>
        <sz val="8"/>
        <rFont val="Arial Narrow"/>
        <family val="2"/>
      </rPr>
      <t xml:space="preserve"> 1/</t>
    </r>
  </si>
  <si>
    <t xml:space="preserve">    Avena Elaborada </t>
  </si>
  <si>
    <t>Elaboración : MIDAGRI-DGESEP (DEIA)</t>
  </si>
  <si>
    <t xml:space="preserve">Junio </t>
  </si>
  <si>
    <t>Perú: Variación porcentual de superficie sembrada de los principales cultivos transitorios, según campaña agrícola,   Agosto - Junio 2013-14…2019-21</t>
  </si>
  <si>
    <t>Ago-Jul</t>
    <phoneticPr fontId="10" type="noConversion"/>
  </si>
  <si>
    <t>Ene-Dic</t>
    <phoneticPr fontId="10" type="noConversion"/>
  </si>
  <si>
    <t xml:space="preserve">          (Kilos/Hectárea)</t>
    <phoneticPr fontId="6" type="noConversion"/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</si>
  <si>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</si>
  <si>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</si>
  <si>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</si>
  <si>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Perú: Producción agropecuaria, por subsectores  y  principales productos, Enero - Junio 2000/2021 (Miles de toneladas)</t>
  </si>
  <si>
    <t>C.6   PERÚ: VALOR DE LA PRODUCCIÓN (VBP) AGROPECUARIA POR SUBSECTORES Y PRINCIPALES PRODUCTOS, ENERO-JUNIO 2000-2021</t>
  </si>
  <si>
    <t>C.8  PERÚ:  VARIACIÓN PORCENTUAL DEL VALOR DE LA PRODUCCIÓN (VBP) AGROPECUARIA, POR SUBSECTORES Y PRINCIPALES PRODUCTOS, ENERO-JUNIO 2000-2021</t>
  </si>
  <si>
    <t xml:space="preserve">         AGOSTO-JUNIO 2013-14…2020-21</t>
  </si>
  <si>
    <t>C.15   PERÚ: SUPERFICIE SEMBRADA DE PRINCIPALES CULTIVOS TRANSITORIOS POR CULTIVO SEGÚN MES.</t>
  </si>
  <si>
    <t xml:space="preserve">          CAMPAÑA AGRÍCOLA: AGOSTO-JUNIO 2019-2020/2020-2021</t>
  </si>
  <si>
    <t xml:space="preserve">Sector Agropecuario </t>
    <phoneticPr fontId="9" type="noConversion"/>
  </si>
  <si>
    <t>Sub Sector Agrícola</t>
    <phoneticPr fontId="9" type="noConversion"/>
  </si>
  <si>
    <t>Productos de forraje, fibras, plantas vivas, flores y capullos de flores, tabaco en rama y caucho natural</t>
    <phoneticPr fontId="9" type="noConversion"/>
  </si>
  <si>
    <t>Productos silvícolas y forestales</t>
    <phoneticPr fontId="9" type="noConversion"/>
  </si>
  <si>
    <t>Sub Sector Pecuario</t>
    <phoneticPr fontId="9" type="noConversion"/>
  </si>
  <si>
    <t>Huevos de gallina u otras aves, con cáscara, frescos</t>
    <phoneticPr fontId="9" type="noConversion"/>
  </si>
  <si>
    <r>
      <t>17/16</t>
    </r>
    <r>
      <rPr>
        <b/>
        <vertAlign val="superscript"/>
        <sz val="7"/>
        <color indexed="8"/>
        <rFont val="Arial Narrow"/>
        <family val="2"/>
      </rPr>
      <t>p/</t>
    </r>
  </si>
  <si>
    <r>
      <t>18/17</t>
    </r>
    <r>
      <rPr>
        <b/>
        <vertAlign val="superscript"/>
        <sz val="7"/>
        <color indexed="8"/>
        <rFont val="Arial Narrow"/>
        <family val="2"/>
      </rPr>
      <t>p/</t>
    </r>
  </si>
  <si>
    <t>SECTOR AGROPECUARIO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</si>
</sst>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.000________"/>
    <numFmt numFmtId="197" formatCode="#,##0.0______"/>
    <numFmt numFmtId="198" formatCode="#,##0.00____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b/>
      <sz val="8"/>
      <name val="Arial Narrow"/>
      <family val="2"/>
    </font>
    <font>
      <vertAlign val="superscript"/>
      <sz val="8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26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4" fontId="15" fillId="2" borderId="0" xfId="0" applyNumberFormat="1" applyFont="1" applyFill="1" applyBorder="1" applyAlignment="1" applyProtection="1"/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Fill="1" applyAlignment="1" applyProtection="1">
      <alignment horizontal="right"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71" fontId="32" fillId="0" borderId="0" xfId="5" applyNumberFormat="1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0" fontId="14" fillId="8" borderId="10" xfId="0" applyFont="1" applyFill="1" applyBorder="1" applyAlignment="1">
      <alignment horizontal="centerContinuous" vertical="center"/>
    </xf>
    <xf numFmtId="166" fontId="14" fillId="0" borderId="0" xfId="0" applyNumberFormat="1" applyFont="1" applyFill="1" applyBorder="1" applyAlignment="1">
      <alignment horizontal="center"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0" fontId="11" fillId="10" borderId="2" xfId="0" applyFont="1" applyFill="1" applyBorder="1" applyAlignment="1">
      <alignment horizontal="centerContinuous" vertical="center"/>
    </xf>
    <xf numFmtId="193" fontId="29" fillId="11" borderId="4" xfId="1" applyNumberFormat="1" applyFont="1" applyFill="1" applyBorder="1" applyAlignment="1" applyProtection="1">
      <alignment horizontal="center"/>
    </xf>
    <xf numFmtId="0" fontId="29" fillId="11" borderId="1" xfId="0" applyFont="1" applyFill="1" applyBorder="1" applyAlignment="1">
      <alignment horizontal="center" vertic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4" fillId="9" borderId="0" xfId="0" applyNumberFormat="1" applyFont="1" applyFill="1" applyAlignment="1" applyProtection="1">
      <alignment horizontal="left" vertical="center"/>
    </xf>
    <xf numFmtId="0" fontId="14" fillId="10" borderId="2" xfId="0" applyFont="1" applyFill="1" applyBorder="1" applyAlignment="1">
      <alignment horizontal="centerContinuous" vertical="center"/>
    </xf>
    <xf numFmtId="196" fontId="15" fillId="0" borderId="0" xfId="0" applyNumberFormat="1" applyFont="1" applyAlignment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167" fontId="29" fillId="11" borderId="12" xfId="5" applyFont="1" applyFill="1" applyBorder="1" applyAlignment="1">
      <alignment horizontal="center" vertical="center"/>
    </xf>
    <xf numFmtId="167" fontId="29" fillId="12" borderId="2" xfId="5" applyFont="1" applyFill="1" applyBorder="1" applyAlignment="1">
      <alignment horizontal="center"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10" borderId="15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49" fontId="18" fillId="8" borderId="12" xfId="0" applyNumberFormat="1" applyFont="1" applyFill="1" applyBorder="1" applyAlignment="1" applyProtection="1">
      <alignment horizontal="center" vertical="center" wrapText="1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0" xfId="0" quotePrefix="1" applyNumberFormat="1" applyFont="1" applyFill="1" applyBorder="1" applyAlignment="1" applyProtection="1">
      <alignment horizontal="center"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0" fontId="29" fillId="11" borderId="12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84" fontId="29" fillId="12" borderId="2" xfId="5" applyNumberFormat="1" applyFont="1" applyFill="1" applyBorder="1" applyAlignment="1">
      <alignment horizontal="right" vertical="center"/>
    </xf>
    <xf numFmtId="197" fontId="29" fillId="12" borderId="2" xfId="5" applyNumberFormat="1" applyFont="1" applyFill="1" applyBorder="1" applyAlignment="1">
      <alignment horizontal="right" vertical="center"/>
    </xf>
    <xf numFmtId="184" fontId="29" fillId="0" borderId="0" xfId="5" applyNumberFormat="1" applyFont="1" applyAlignment="1">
      <alignment horizontal="right" vertical="center"/>
    </xf>
    <xf numFmtId="197" fontId="29" fillId="0" borderId="0" xfId="5" applyNumberFormat="1" applyFont="1" applyAlignment="1">
      <alignment horizontal="right" vertical="center"/>
    </xf>
    <xf numFmtId="167" fontId="27" fillId="0" borderId="0" xfId="5" applyFont="1" applyAlignment="1">
      <alignment vertical="center"/>
    </xf>
    <xf numFmtId="184" fontId="27" fillId="0" borderId="0" xfId="5" applyNumberFormat="1" applyFont="1" applyAlignment="1">
      <alignment horizontal="right" vertical="center"/>
    </xf>
    <xf numFmtId="197" fontId="27" fillId="0" borderId="0" xfId="5" applyNumberFormat="1" applyFont="1" applyAlignment="1">
      <alignment horizontal="right" vertical="center"/>
    </xf>
    <xf numFmtId="184" fontId="27" fillId="0" borderId="0" xfId="0" applyNumberFormat="1" applyFont="1" applyAlignment="1">
      <alignment horizontal="right" vertical="center"/>
    </xf>
    <xf numFmtId="197" fontId="27" fillId="0" borderId="0" xfId="0" applyNumberFormat="1" applyFont="1" applyAlignment="1">
      <alignment horizontal="right" vertical="center"/>
    </xf>
    <xf numFmtId="184" fontId="33" fillId="0" borderId="0" xfId="5" applyNumberFormat="1" applyFont="1" applyAlignment="1">
      <alignment horizontal="right" vertical="center"/>
    </xf>
    <xf numFmtId="197" fontId="33" fillId="0" borderId="0" xfId="5" applyNumberFormat="1" applyFont="1" applyAlignment="1">
      <alignment horizontal="right" vertical="center"/>
    </xf>
    <xf numFmtId="197" fontId="33" fillId="0" borderId="0" xfId="0" applyNumberFormat="1" applyFont="1" applyAlignment="1">
      <alignment horizontal="right" vertical="center"/>
    </xf>
    <xf numFmtId="167" fontId="33" fillId="0" borderId="0" xfId="5" applyFont="1" applyAlignment="1">
      <alignment vertical="center"/>
    </xf>
    <xf numFmtId="198" fontId="32" fillId="0" borderId="0" xfId="5" applyNumberFormat="1" applyFont="1" applyAlignment="1">
      <alignment vertical="center"/>
    </xf>
    <xf numFmtId="167" fontId="32" fillId="0" borderId="0" xfId="5" applyFont="1" applyAlignment="1">
      <alignment horizontal="left"/>
    </xf>
    <xf numFmtId="171" fontId="32" fillId="0" borderId="0" xfId="5" applyNumberFormat="1" applyFont="1"/>
    <xf numFmtId="167" fontId="32" fillId="0" borderId="0" xfId="5" applyFont="1"/>
    <xf numFmtId="167" fontId="19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84" fontId="29" fillId="12" borderId="15" xfId="1" applyNumberFormat="1" applyFont="1" applyFill="1" applyBorder="1" applyAlignment="1">
      <alignment horizontal="right" vertical="center"/>
    </xf>
    <xf numFmtId="184" fontId="31" fillId="7" borderId="0" xfId="1" applyNumberFormat="1" applyFont="1" applyFill="1" applyBorder="1" applyAlignment="1">
      <alignment horizontal="right" vertical="center"/>
    </xf>
    <xf numFmtId="184" fontId="27" fillId="7" borderId="0" xfId="1" applyNumberFormat="1" applyFont="1" applyFill="1" applyBorder="1" applyAlignment="1">
      <alignment horizontal="right" vertical="center"/>
    </xf>
    <xf numFmtId="184" fontId="31" fillId="7" borderId="2" xfId="1" applyNumberFormat="1" applyFont="1" applyFill="1" applyBorder="1" applyAlignment="1">
      <alignment horizontal="right" vertical="center"/>
    </xf>
    <xf numFmtId="184" fontId="31" fillId="0" borderId="0" xfId="5" applyNumberFormat="1" applyFont="1" applyAlignment="1">
      <alignment horizontal="right" vertical="center"/>
    </xf>
    <xf numFmtId="184" fontId="31" fillId="0" borderId="2" xfId="5" applyNumberFormat="1" applyFont="1" applyBorder="1" applyAlignment="1">
      <alignment horizontal="right" vertical="center"/>
    </xf>
    <xf numFmtId="184" fontId="14" fillId="0" borderId="0" xfId="0" applyNumberFormat="1" applyFont="1" applyAlignment="1">
      <alignment horizontal="right" vertical="center"/>
    </xf>
    <xf numFmtId="184" fontId="15" fillId="0" borderId="0" xfId="0" applyNumberFormat="1" applyFont="1" applyAlignment="1">
      <alignment horizontal="right" vertical="center"/>
    </xf>
    <xf numFmtId="184" fontId="15" fillId="0" borderId="2" xfId="0" applyNumberFormat="1" applyFont="1" applyBorder="1" applyAlignment="1">
      <alignment horizontal="right" vertical="center"/>
    </xf>
    <xf numFmtId="197" fontId="31" fillId="0" borderId="0" xfId="5" applyNumberFormat="1" applyFont="1" applyAlignment="1">
      <alignment horizontal="right" vertical="center"/>
    </xf>
    <xf numFmtId="197" fontId="31" fillId="0" borderId="2" xfId="5" applyNumberFormat="1" applyFont="1" applyBorder="1" applyAlignment="1">
      <alignment horizontal="right" vertical="center"/>
    </xf>
    <xf numFmtId="197" fontId="15" fillId="0" borderId="0" xfId="0" applyNumberFormat="1" applyFont="1" applyAlignment="1">
      <alignment horizontal="right"/>
    </xf>
    <xf numFmtId="197" fontId="14" fillId="0" borderId="0" xfId="0" applyNumberFormat="1" applyFont="1" applyAlignment="1">
      <alignment horizontal="right"/>
    </xf>
    <xf numFmtId="197" fontId="15" fillId="0" borderId="2" xfId="0" applyNumberFormat="1" applyFont="1" applyBorder="1" applyAlignment="1">
      <alignment horizontal="right"/>
    </xf>
    <xf numFmtId="167" fontId="27" fillId="0" borderId="2" xfId="5" applyFont="1" applyBorder="1" applyAlignment="1">
      <alignment vertical="center"/>
    </xf>
    <xf numFmtId="167" fontId="14" fillId="8" borderId="12" xfId="0" quotePrefix="1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Continuous" vertical="center"/>
    </xf>
    <xf numFmtId="189" fontId="14" fillId="10" borderId="2" xfId="0" applyNumberFormat="1" applyFont="1" applyFill="1" applyBorder="1" applyAlignment="1">
      <alignment vertical="center"/>
    </xf>
    <xf numFmtId="189" fontId="14" fillId="10" borderId="15" xfId="0" applyNumberFormat="1" applyFont="1" applyFill="1" applyBorder="1" applyAlignment="1">
      <alignment vertical="center"/>
    </xf>
    <xf numFmtId="180" fontId="14" fillId="10" borderId="2" xfId="0" applyNumberFormat="1" applyFont="1" applyFill="1" applyBorder="1" applyAlignment="1">
      <alignment vertical="center"/>
    </xf>
    <xf numFmtId="189" fontId="14" fillId="9" borderId="11" xfId="0" applyNumberFormat="1" applyFont="1" applyFill="1" applyBorder="1" applyAlignment="1">
      <alignment vertical="center"/>
    </xf>
    <xf numFmtId="180" fontId="14" fillId="9" borderId="11" xfId="0" applyNumberFormat="1" applyFont="1" applyFill="1" applyBorder="1" applyAlignment="1">
      <alignment vertical="center"/>
    </xf>
    <xf numFmtId="166" fontId="15" fillId="0" borderId="0" xfId="4" applyFont="1" applyAlignment="1" applyProtection="1">
      <alignment horizontal="left" vertical="center"/>
      <protection locked="0"/>
    </xf>
    <xf numFmtId="189" fontId="15" fillId="0" borderId="0" xfId="0" applyNumberFormat="1" applyFont="1" applyAlignment="1">
      <alignment vertical="center"/>
    </xf>
    <xf numFmtId="180" fontId="15" fillId="0" borderId="0" xfId="0" applyNumberFormat="1" applyFont="1" applyAlignment="1">
      <alignment vertical="center"/>
    </xf>
    <xf numFmtId="170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89" fontId="14" fillId="9" borderId="0" xfId="0" applyNumberFormat="1" applyFont="1" applyFill="1" applyAlignment="1">
      <alignment vertical="center"/>
    </xf>
    <xf numFmtId="180" fontId="14" fillId="9" borderId="0" xfId="0" applyNumberFormat="1" applyFont="1" applyFill="1" applyAlignment="1">
      <alignment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89" fontId="15" fillId="0" borderId="2" xfId="0" applyNumberFormat="1" applyFont="1" applyBorder="1" applyAlignment="1">
      <alignment vertical="center"/>
    </xf>
    <xf numFmtId="180" fontId="15" fillId="0" borderId="2" xfId="0" applyNumberFormat="1" applyFont="1" applyBorder="1" applyAlignment="1">
      <alignment vertical="center"/>
    </xf>
    <xf numFmtId="166" fontId="11" fillId="10" borderId="15" xfId="0" applyNumberFormat="1" applyFont="1" applyFill="1" applyBorder="1" applyAlignment="1">
      <alignment horizontal="center" vertical="center"/>
    </xf>
    <xf numFmtId="188" fontId="14" fillId="10" borderId="15" xfId="0" applyNumberFormat="1" applyFont="1" applyFill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8" fontId="15" fillId="2" borderId="0" xfId="0" applyNumberFormat="1" applyFont="1" applyFill="1" applyAlignment="1">
      <alignment vertical="center"/>
    </xf>
    <xf numFmtId="189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8" fontId="15" fillId="2" borderId="2" xfId="0" applyNumberFormat="1" applyFont="1" applyFill="1" applyBorder="1" applyAlignment="1">
      <alignment vertical="center"/>
    </xf>
    <xf numFmtId="189" fontId="15" fillId="2" borderId="2" xfId="0" applyNumberFormat="1" applyFont="1" applyFill="1" applyBorder="1" applyAlignment="1">
      <alignment vertical="center"/>
    </xf>
    <xf numFmtId="167" fontId="18" fillId="8" borderId="12" xfId="0" quotePrefix="1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>
      <alignment horizontal="right" vertical="center"/>
    </xf>
    <xf numFmtId="166" fontId="18" fillId="5" borderId="0" xfId="0" applyNumberFormat="1" applyFont="1" applyFill="1" applyAlignment="1">
      <alignment horizontal="left" vertical="center"/>
    </xf>
    <xf numFmtId="170" fontId="18" fillId="9" borderId="0" xfId="0" applyNumberFormat="1" applyFont="1" applyFill="1" applyAlignment="1">
      <alignment vertical="center"/>
    </xf>
    <xf numFmtId="189" fontId="18" fillId="9" borderId="0" xfId="0" applyNumberFormat="1" applyFont="1" applyFill="1" applyAlignment="1">
      <alignment horizontal="right" vertical="center"/>
    </xf>
    <xf numFmtId="0" fontId="18" fillId="0" borderId="0" xfId="0" applyFont="1" applyAlignment="1">
      <alignment vertical="center"/>
    </xf>
    <xf numFmtId="166" fontId="23" fillId="0" borderId="0" xfId="0" applyNumberFormat="1" applyFont="1" applyAlignment="1">
      <alignment horizontal="left" vertical="center"/>
    </xf>
    <xf numFmtId="189" fontId="23" fillId="0" borderId="0" xfId="0" applyNumberFormat="1" applyFont="1" applyAlignment="1">
      <alignment horizontal="right" vertical="center"/>
    </xf>
    <xf numFmtId="170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2" xfId="0" applyFont="1" applyBorder="1" applyAlignment="1">
      <alignment vertical="center"/>
    </xf>
    <xf numFmtId="166" fontId="23" fillId="0" borderId="2" xfId="0" applyNumberFormat="1" applyFont="1" applyBorder="1" applyAlignment="1">
      <alignment horizontal="left" vertical="center"/>
    </xf>
    <xf numFmtId="189" fontId="23" fillId="0" borderId="2" xfId="0" applyNumberFormat="1" applyFont="1" applyBorder="1" applyAlignment="1">
      <alignment horizontal="right" vertical="center"/>
    </xf>
    <xf numFmtId="166" fontId="18" fillId="9" borderId="0" xfId="0" applyNumberFormat="1" applyFont="1" applyFill="1" applyAlignment="1">
      <alignment horizontal="left" vertical="center"/>
    </xf>
    <xf numFmtId="167" fontId="23" fillId="0" borderId="0" xfId="0" applyNumberFormat="1" applyFont="1" applyAlignment="1">
      <alignment vertical="center"/>
    </xf>
    <xf numFmtId="166" fontId="18" fillId="0" borderId="0" xfId="0" applyNumberFormat="1" applyFont="1" applyAlignment="1">
      <alignment horizontal="left" vertical="center"/>
    </xf>
    <xf numFmtId="181" fontId="14" fillId="10" borderId="2" xfId="0" applyNumberFormat="1" applyFont="1" applyFill="1" applyBorder="1" applyAlignment="1">
      <alignment vertical="center"/>
    </xf>
    <xf numFmtId="166" fontId="14" fillId="9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81" fontId="14" fillId="9" borderId="0" xfId="0" applyNumberFormat="1" applyFont="1" applyFill="1" applyAlignment="1">
      <alignment vertical="center"/>
    </xf>
    <xf numFmtId="181" fontId="15" fillId="0" borderId="0" xfId="0" applyNumberFormat="1" applyFont="1" applyAlignment="1">
      <alignment vertical="center"/>
    </xf>
    <xf numFmtId="166" fontId="15" fillId="0" borderId="2" xfId="0" applyNumberFormat="1" applyFont="1" applyBorder="1" applyAlignment="1">
      <alignment horizontal="left" vertical="center"/>
    </xf>
    <xf numFmtId="181" fontId="15" fillId="0" borderId="2" xfId="0" applyNumberFormat="1" applyFont="1" applyBorder="1" applyAlignment="1">
      <alignment vertical="center"/>
    </xf>
    <xf numFmtId="167" fontId="14" fillId="8" borderId="9" xfId="0" applyNumberFormat="1" applyFont="1" applyFill="1" applyBorder="1" applyAlignment="1">
      <alignment horizontal="centerContinuous" vertical="center"/>
    </xf>
    <xf numFmtId="167" fontId="14" fillId="8" borderId="15" xfId="0" applyNumberFormat="1" applyFont="1" applyFill="1" applyBorder="1" applyAlignment="1">
      <alignment horizontal="centerContinuous" vertical="center"/>
    </xf>
    <xf numFmtId="180" fontId="15" fillId="0" borderId="0" xfId="0" applyNumberFormat="1" applyFont="1" applyAlignment="1">
      <alignment horizontal="right" vertical="center"/>
    </xf>
    <xf numFmtId="167" fontId="15" fillId="9" borderId="0" xfId="0" applyNumberFormat="1" applyFont="1" applyFill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67" fontId="14" fillId="8" borderId="10" xfId="0" applyNumberFormat="1" applyFont="1" applyFill="1" applyBorder="1" applyAlignment="1">
      <alignment horizontal="centerContinuous" vertical="center"/>
    </xf>
    <xf numFmtId="166" fontId="14" fillId="0" borderId="0" xfId="0" applyNumberFormat="1" applyFont="1" applyAlignment="1">
      <alignment horizontal="left"/>
    </xf>
    <xf numFmtId="190" fontId="14" fillId="0" borderId="0" xfId="0" applyNumberFormat="1" applyFont="1" applyAlignment="1">
      <alignment vertical="center"/>
    </xf>
    <xf numFmtId="171" fontId="14" fillId="0" borderId="0" xfId="0" applyNumberFormat="1" applyFont="1" applyAlignment="1">
      <alignment vertical="center"/>
    </xf>
    <xf numFmtId="166" fontId="14" fillId="0" borderId="0" xfId="0" applyNumberFormat="1" applyFont="1" applyAlignment="1">
      <alignment horizontal="left" vertical="center"/>
    </xf>
    <xf numFmtId="170" fontId="14" fillId="0" borderId="0" xfId="0" applyNumberFormat="1" applyFont="1" applyAlignment="1">
      <alignment vertical="center"/>
    </xf>
    <xf numFmtId="196" fontId="15" fillId="0" borderId="2" xfId="0" applyNumberFormat="1" applyFont="1" applyBorder="1" applyAlignment="1">
      <alignment vertical="center"/>
    </xf>
    <xf numFmtId="167" fontId="15" fillId="0" borderId="0" xfId="0" applyNumberFormat="1" applyFont="1" applyAlignment="1">
      <alignment vertical="center"/>
    </xf>
    <xf numFmtId="167" fontId="18" fillId="8" borderId="12" xfId="0" applyNumberFormat="1" applyFont="1" applyFill="1" applyBorder="1" applyAlignment="1">
      <alignment horizontal="centerContinuous" vertical="center"/>
    </xf>
    <xf numFmtId="188" fontId="18" fillId="10" borderId="2" xfId="0" applyNumberFormat="1" applyFont="1" applyFill="1" applyBorder="1" applyAlignment="1">
      <alignment vertical="center"/>
    </xf>
    <xf numFmtId="188" fontId="18" fillId="9" borderId="0" xfId="0" applyNumberFormat="1" applyFont="1" applyFill="1" applyAlignment="1">
      <alignment vertical="center"/>
    </xf>
    <xf numFmtId="188" fontId="23" fillId="0" borderId="0" xfId="0" applyNumberFormat="1" applyFont="1" applyAlignment="1">
      <alignment vertical="center"/>
    </xf>
    <xf numFmtId="188" fontId="23" fillId="0" borderId="2" xfId="0" applyNumberFormat="1" applyFont="1" applyBorder="1" applyAlignment="1">
      <alignment vertical="center"/>
    </xf>
    <xf numFmtId="166" fontId="18" fillId="8" borderId="12" xfId="0" applyNumberFormat="1" applyFont="1" applyFill="1" applyBorder="1" applyAlignment="1">
      <alignment horizontal="centerContinuous" vertical="center"/>
    </xf>
    <xf numFmtId="0" fontId="23" fillId="0" borderId="0" xfId="0" applyFont="1"/>
    <xf numFmtId="166" fontId="18" fillId="0" borderId="0" xfId="0" applyNumberFormat="1" applyFont="1" applyAlignment="1">
      <alignment horizontal="left"/>
    </xf>
    <xf numFmtId="0" fontId="23" fillId="0" borderId="2" xfId="0" applyFont="1" applyBorder="1"/>
    <xf numFmtId="166" fontId="18" fillId="10" borderId="2" xfId="0" applyNumberFormat="1" applyFont="1" applyFill="1" applyBorder="1" applyAlignment="1">
      <alignment horizontal="centerContinuous" vertical="center"/>
    </xf>
    <xf numFmtId="0" fontId="18" fillId="0" borderId="0" xfId="0" applyFont="1"/>
    <xf numFmtId="170" fontId="23" fillId="0" borderId="0" xfId="0" applyNumberFormat="1" applyFont="1"/>
    <xf numFmtId="0" fontId="24" fillId="0" borderId="0" xfId="0" applyFont="1"/>
    <xf numFmtId="171" fontId="18" fillId="0" borderId="0" xfId="0" applyNumberFormat="1" applyFont="1"/>
    <xf numFmtId="166" fontId="24" fillId="0" borderId="0" xfId="0" applyNumberFormat="1" applyFont="1" applyAlignment="1">
      <alignment horizontal="left"/>
    </xf>
    <xf numFmtId="170" fontId="18" fillId="0" borderId="0" xfId="0" applyNumberFormat="1" applyFont="1"/>
    <xf numFmtId="170" fontId="23" fillId="0" borderId="0" xfId="0" applyNumberFormat="1" applyFont="1" applyProtection="1">
      <protection locked="0"/>
    </xf>
    <xf numFmtId="170" fontId="23" fillId="0" borderId="2" xfId="0" applyNumberFormat="1" applyFont="1" applyBorder="1" applyProtection="1">
      <protection locked="0"/>
    </xf>
    <xf numFmtId="0" fontId="23" fillId="0" borderId="11" xfId="0" applyFont="1" applyBorder="1"/>
    <xf numFmtId="166" fontId="23" fillId="0" borderId="11" xfId="0" applyNumberFormat="1" applyFont="1" applyBorder="1" applyAlignment="1">
      <alignment horizontal="left" vertical="center"/>
    </xf>
    <xf numFmtId="166" fontId="23" fillId="0" borderId="0" xfId="0" applyNumberFormat="1" applyFont="1" applyAlignment="1">
      <alignment horizontal="left"/>
    </xf>
    <xf numFmtId="167" fontId="23" fillId="0" borderId="0" xfId="0" applyNumberFormat="1" applyFont="1"/>
    <xf numFmtId="170" fontId="23" fillId="0" borderId="2" xfId="0" applyNumberFormat="1" applyFont="1" applyBorder="1"/>
    <xf numFmtId="166" fontId="14" fillId="9" borderId="11" xfId="4" applyFont="1" applyFill="1" applyBorder="1" applyAlignment="1" applyProtection="1">
      <alignment horizontal="center" vertical="center" wrapText="1"/>
      <protection locked="0"/>
    </xf>
    <xf numFmtId="166" fontId="14" fillId="9" borderId="0" xfId="4" applyFont="1" applyFill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>
      <alignment horizontal="center" vertical="center"/>
    </xf>
    <xf numFmtId="166" fontId="14" fillId="8" borderId="3" xfId="0" applyNumberFormat="1" applyFont="1" applyFill="1" applyBorder="1" applyAlignment="1">
      <alignment horizontal="center" vertical="center"/>
    </xf>
    <xf numFmtId="166" fontId="14" fillId="8" borderId="13" xfId="0" applyNumberFormat="1" applyFont="1" applyFill="1" applyBorder="1" applyAlignment="1">
      <alignment horizontal="center" vertical="center"/>
    </xf>
    <xf numFmtId="166" fontId="14" fillId="8" borderId="1" xfId="0" applyNumberFormat="1" applyFont="1" applyFill="1" applyBorder="1" applyAlignment="1">
      <alignment horizontal="center" vertical="center"/>
    </xf>
    <xf numFmtId="166" fontId="14" fillId="8" borderId="9" xfId="0" applyNumberFormat="1" applyFont="1" applyFill="1" applyBorder="1" applyAlignment="1">
      <alignment horizontal="center" vertical="center"/>
    </xf>
    <xf numFmtId="166" fontId="14" fillId="8" borderId="15" xfId="0" applyNumberFormat="1" applyFont="1" applyFill="1" applyBorder="1" applyAlignment="1">
      <alignment horizontal="center" vertical="center"/>
    </xf>
    <xf numFmtId="166" fontId="14" fillId="8" borderId="10" xfId="0" applyNumberFormat="1" applyFont="1" applyFill="1" applyBorder="1" applyAlignment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>
      <alignment horizontal="center" vertical="center"/>
    </xf>
    <xf numFmtId="166" fontId="18" fillId="8" borderId="9" xfId="0" applyNumberFormat="1" applyFont="1" applyFill="1" applyBorder="1" applyAlignment="1">
      <alignment horizontal="center" vertical="center"/>
    </xf>
    <xf numFmtId="166" fontId="18" fillId="8" borderId="15" xfId="0" applyNumberFormat="1" applyFont="1" applyFill="1" applyBorder="1" applyAlignment="1">
      <alignment horizontal="center" vertical="center"/>
    </xf>
    <xf numFmtId="166" fontId="18" fillId="8" borderId="10" xfId="0" applyNumberFormat="1" applyFont="1" applyFill="1" applyBorder="1" applyAlignment="1">
      <alignment horizontal="center" vertical="center"/>
    </xf>
    <xf numFmtId="166" fontId="18" fillId="8" borderId="9" xfId="0" applyNumberFormat="1" applyFont="1" applyFill="1" applyBorder="1" applyAlignment="1">
      <alignment horizontal="left" vertical="center" wrapText="1"/>
    </xf>
    <xf numFmtId="0" fontId="0" fillId="8" borderId="10" xfId="0" applyFill="1" applyBorder="1" applyAlignment="1">
      <alignment vertical="center" wrapText="1"/>
    </xf>
    <xf numFmtId="166" fontId="14" fillId="10" borderId="15" xfId="0" applyNumberFormat="1" applyFont="1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67" fontId="32" fillId="0" borderId="0" xfId="5" applyFont="1" applyAlignment="1">
      <alignment horizontal="left"/>
    </xf>
    <xf numFmtId="167" fontId="29" fillId="11" borderId="4" xfId="5" applyFont="1" applyFill="1" applyBorder="1" applyAlignment="1">
      <alignment horizontal="center" vertical="center"/>
    </xf>
    <xf numFmtId="167" fontId="29" fillId="11" borderId="14" xfId="5" applyFont="1" applyFill="1" applyBorder="1" applyAlignment="1">
      <alignment horizontal="center" vertical="center"/>
    </xf>
    <xf numFmtId="167" fontId="29" fillId="11" borderId="9" xfId="5" applyFont="1" applyFill="1" applyBorder="1" applyAlignment="1">
      <alignment horizontal="center" vertical="center"/>
    </xf>
    <xf numFmtId="167" fontId="29" fillId="11" borderId="15" xfId="5" applyFont="1" applyFill="1" applyBorder="1" applyAlignment="1">
      <alignment horizontal="center" vertical="center"/>
    </xf>
    <xf numFmtId="167" fontId="29" fillId="11" borderId="10" xfId="5" applyFont="1" applyFill="1" applyBorder="1" applyAlignment="1">
      <alignment horizontal="center" vertical="center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3E2D4"/>
      <color rgb="FFFFE287"/>
      <color rgb="FFFFF0C6"/>
      <color rgb="FFE3E0CE"/>
      <color rgb="FFEBEDD5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2%20y%20C9%20JUNIO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SA/Downloads/Comparativo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1"/>
      <sheetName val="C-2"/>
      <sheetName val="c-3"/>
      <sheetName val="c-4"/>
      <sheetName val="c-5"/>
      <sheetName val="c-6"/>
      <sheetName val="c-7"/>
      <sheetName val="c-8"/>
      <sheetName val="C-9"/>
      <sheetName val="agricola"/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>
            <v>6564.723504076841</v>
          </cell>
          <cell r="C7">
            <v>6931.0563187528351</v>
          </cell>
          <cell r="D7">
            <v>5.5803235954795749</v>
          </cell>
          <cell r="E7">
            <v>1182.4110494282306</v>
          </cell>
          <cell r="F7">
            <v>1212.0669331078234</v>
          </cell>
          <cell r="G7">
            <v>2.50808580433457</v>
          </cell>
        </row>
        <row r="8">
          <cell r="B8">
            <v>1079.4839963209999</v>
          </cell>
          <cell r="C8">
            <v>1219.5153350534999</v>
          </cell>
          <cell r="D8">
            <v>12.972062504839554</v>
          </cell>
          <cell r="E8">
            <v>200.97476061549997</v>
          </cell>
          <cell r="F8">
            <v>224.92687251450002</v>
          </cell>
          <cell r="G8">
            <v>11.917970110099873</v>
          </cell>
        </row>
        <row r="15">
          <cell r="B15">
            <v>1867.9602435928002</v>
          </cell>
          <cell r="C15">
            <v>1856.2587608972799</v>
          </cell>
          <cell r="D15">
            <v>-0.62643103543863488</v>
          </cell>
          <cell r="E15">
            <v>287.98273839184003</v>
          </cell>
          <cell r="F15">
            <v>320.07219025903998</v>
          </cell>
          <cell r="G15">
            <v>11.142838645953091</v>
          </cell>
        </row>
        <row r="23">
          <cell r="B23">
            <v>69.923095084726</v>
          </cell>
          <cell r="C23">
            <v>50.457618415248987</v>
          </cell>
          <cell r="D23">
            <v>-27.838408248219913</v>
          </cell>
          <cell r="E23">
            <v>12.949287941699996</v>
          </cell>
          <cell r="F23">
            <v>6.5973437955999978</v>
          </cell>
          <cell r="G23">
            <v>-49.052458905057819</v>
          </cell>
        </row>
        <row r="26">
          <cell r="B26">
            <v>657.68752825340016</v>
          </cell>
          <cell r="C26">
            <v>599.39884731000006</v>
          </cell>
          <cell r="D26">
            <v>-8.8626708641101217</v>
          </cell>
          <cell r="E26">
            <v>131.11620755820002</v>
          </cell>
          <cell r="F26">
            <v>101.8841621856</v>
          </cell>
          <cell r="G26">
            <v>-22.294761202290314</v>
          </cell>
        </row>
        <row r="28">
          <cell r="B28">
            <v>183.82836296775736</v>
          </cell>
          <cell r="C28">
            <v>187.07356270752999</v>
          </cell>
          <cell r="D28">
            <v>1.765342239566059</v>
          </cell>
          <cell r="E28">
            <v>31.853021734399995</v>
          </cell>
          <cell r="F28">
            <v>33.061920809100002</v>
          </cell>
          <cell r="G28">
            <v>3.7952414209872165</v>
          </cell>
        </row>
        <row r="38">
          <cell r="B38">
            <v>105.3253</v>
          </cell>
          <cell r="C38">
            <v>179.45150469999999</v>
          </cell>
          <cell r="D38">
            <v>70.378346608079909</v>
          </cell>
          <cell r="E38">
            <v>15.3724644</v>
          </cell>
          <cell r="F38">
            <v>37.690188900000003</v>
          </cell>
          <cell r="G38">
            <v>145.17987434727772</v>
          </cell>
        </row>
        <row r="42">
          <cell r="B42">
            <v>483.9038748261936</v>
          </cell>
          <cell r="C42">
            <v>435.26445785050743</v>
          </cell>
          <cell r="D42">
            <v>-10.051462595366957</v>
          </cell>
          <cell r="E42">
            <v>95.097434695280043</v>
          </cell>
          <cell r="F42">
            <v>76.233020580002005</v>
          </cell>
          <cell r="G42">
            <v>-19.836932695109113</v>
          </cell>
        </row>
        <row r="46">
          <cell r="B46">
            <v>1117.9564084946433</v>
          </cell>
          <cell r="C46">
            <v>1256.9440243850884</v>
          </cell>
          <cell r="D46">
            <v>12.432292961904977</v>
          </cell>
          <cell r="E46">
            <v>205.11210058472997</v>
          </cell>
          <cell r="F46">
            <v>219.85703593817999</v>
          </cell>
          <cell r="G46">
            <v>7.1887203687229562</v>
          </cell>
        </row>
        <row r="51">
          <cell r="B51">
            <v>998.65469453632022</v>
          </cell>
          <cell r="C51">
            <v>1146.6922074336803</v>
          </cell>
          <cell r="D51">
            <v>14.823693685843487</v>
          </cell>
          <cell r="E51">
            <v>201.95303350658043</v>
          </cell>
          <cell r="F51">
            <v>191.74419812580169</v>
          </cell>
          <cell r="G51">
            <v>-5.0550542388590021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"/>
      <sheetName val="Algo"/>
      <sheetName val="Oreg"/>
      <sheetName val="Oliv"/>
      <sheetName val="Ccao"/>
      <sheetName val="Cafe"/>
      <sheetName val="Achi"/>
      <sheetName val="Caña"/>
      <sheetName val="Palm"/>
      <sheetName val="Te"/>
      <sheetName val="Arro"/>
      <sheetName val="Ceba"/>
      <sheetName val="MAD"/>
      <sheetName val="Amil"/>
      <sheetName val="Trig"/>
      <sheetName val="Aven"/>
      <sheetName val="Mmor"/>
      <sheetName val="Quin"/>
      <sheetName val="Papa"/>
      <sheetName val="Yuca"/>
      <sheetName val="Camo"/>
      <sheetName val="Maca"/>
      <sheetName val="Mashu"/>
      <sheetName val="Oca"/>
      <sheetName val="Ollu"/>
      <sheetName val="Alfa"/>
      <sheetName val="Limo"/>
      <sheetName val="Mand"/>
      <sheetName val="Mang"/>
      <sheetName val="Manz"/>
      <sheetName val="Nara"/>
      <sheetName val="Palt"/>
      <sheetName val="Chir"/>
      <sheetName val="Gran"/>
      <sheetName val="Lucu"/>
      <sheetName val="Mara"/>
      <sheetName val="Melo"/>
      <sheetName val="Paca"/>
      <sheetName val="Peca"/>
      <sheetName val="Tang"/>
      <sheetName val="Tuna"/>
      <sheetName val="Uva"/>
      <sheetName val="Mlon"/>
      <sheetName val="Piña"/>
      <sheetName val="Paya"/>
      <sheetName val="Plat"/>
      <sheetName val="Sand"/>
      <sheetName val="Fres"/>
      <sheetName val="Aji"/>
      <sheetName val="Ajo"/>
      <sheetName val="Alca"/>
      <sheetName val="Cebo"/>
      <sheetName val="Chin"/>
      <sheetName val="Espa"/>
      <sheetName val="Choc"/>
      <sheetName val="Papr"/>
      <sheetName val="Piqu"/>
      <sheetName val="Pimi"/>
      <sheetName val="Roco"/>
      <sheetName val="Toma"/>
      <sheetName val="Zana"/>
      <sheetName val="Zapa"/>
      <sheetName val="AGS"/>
      <sheetName val="Tarh"/>
      <sheetName val="Caupi"/>
      <sheetName val="FGS"/>
      <sheetName val="Garba"/>
      <sheetName val="HBS"/>
      <sheetName val="LGS"/>
      <sheetName val="PGS"/>
      <sheetName val="AGV"/>
      <sheetName val="HGV"/>
      <sheetName val="Anis"/>
      <sheetName val="Alcoh"/>
      <sheetName val="Chanc"/>
      <sheetName val="Etan"/>
      <sheetName val="Esco"/>
      <sheetName val="Soya"/>
      <sheetName val="Mari"/>
      <sheetName val="Palmit"/>
      <sheetName val="Kiwich"/>
      <sheetName val="Cañih"/>
      <sheetName val="Sorgo"/>
      <sheetName val="Arra"/>
      <sheetName val="Pitu"/>
      <sheetName val="Yaco"/>
      <sheetName val="Braq"/>
      <sheetName val="Gram"/>
      <sheetName val="Chile"/>
      <sheetName val="Gramal"/>
      <sheetName val="King"/>
      <sheetName val="Kudz"/>
      <sheetName val="Elef"/>
      <sheetName val="Oliva"/>
      <sheetName val="Rye"/>
      <sheetName val="Treb"/>
      <sheetName val="Anona"/>
      <sheetName val="Caim"/>
      <sheetName val="Camu"/>
      <sheetName val="Capu"/>
      <sheetName val="Cara"/>
      <sheetName val="Cerezo"/>
      <sheetName val="Ciro"/>
      <sheetName val="Ciru"/>
      <sheetName val="Coco"/>
      <sheetName val="Cona"/>
      <sheetName val="Dama"/>
      <sheetName val="Granad"/>
      <sheetName val="Guan"/>
      <sheetName val="Guay"/>
      <sheetName val="Guin"/>
      <sheetName val="Higo"/>
      <sheetName val="Huma"/>
      <sheetName val="Lima"/>
      <sheetName val="Ldul"/>
      <sheetName val="Mame"/>
      <sheetName val="Marañ"/>
      <sheetName val="Memb"/>
      <sheetName val="Nisp"/>
      <sheetName val="Pera"/>
      <sheetName val="Pijua"/>
      <sheetName val="Poma"/>
      <sheetName val="Tama"/>
      <sheetName val="Tape"/>
      <sheetName val="Toro"/>
      <sheetName val="Zapo"/>
      <sheetName val="Datil"/>
      <sheetName val="Sacha"/>
      <sheetName val="Sauco"/>
      <sheetName val="Cfrut"/>
      <sheetName val="Mani"/>
      <sheetName val="Pepi"/>
      <sheetName val="Acel"/>
      <sheetName val="Alba"/>
      <sheetName val="Apio"/>
      <sheetName val="Bete"/>
      <sheetName val="Broc"/>
      <sheetName val="Caig"/>
      <sheetName val="Cala"/>
      <sheetName val="Col"/>
      <sheetName val="Coli"/>
      <sheetName val="Espi"/>
      <sheetName val="Lech"/>
      <sheetName val="Nabo"/>
      <sheetName val="Pillo"/>
      <sheetName val="Poro"/>
      <sheetName val="Raba"/>
      <sheetName val="Locta"/>
      <sheetName val="Palo"/>
      <sheetName val="Nuña"/>
      <sheetName val="Zaran"/>
      <sheetName val="FGV"/>
      <sheetName val="Vain"/>
      <sheetName val="PGV"/>
      <sheetName val="Avef"/>
      <sheetName val="Cebaf"/>
      <sheetName val="Chala"/>
      <sheetName val="Sorgf"/>
      <sheetName val="Aran"/>
      <sheetName val="Tabla"/>
    </sheetNames>
    <sheetDataSet>
      <sheetData sheetId="0">
        <row r="8">
          <cell r="D8">
            <v>5331.300000000002</v>
          </cell>
        </row>
      </sheetData>
      <sheetData sheetId="1">
        <row r="6">
          <cell r="D6">
            <v>595</v>
          </cell>
        </row>
        <row r="148">
          <cell r="D148">
            <v>2247.79</v>
          </cell>
          <cell r="E148">
            <v>1867.7</v>
          </cell>
          <cell r="F148">
            <v>2359.23</v>
          </cell>
          <cell r="G148">
            <v>4838.49</v>
          </cell>
          <cell r="H148">
            <v>3059.8589999999999</v>
          </cell>
          <cell r="I148">
            <v>1665.85</v>
          </cell>
        </row>
        <row r="149">
          <cell r="D149">
            <v>782.26</v>
          </cell>
          <cell r="E149">
            <v>954.3900000000001</v>
          </cell>
          <cell r="F149">
            <v>1446.789</v>
          </cell>
          <cell r="G149">
            <v>3988</v>
          </cell>
          <cell r="H149">
            <v>2392.4380000000001</v>
          </cell>
          <cell r="I149">
            <v>357.02000000000004</v>
          </cell>
        </row>
      </sheetData>
      <sheetData sheetId="2">
        <row r="148">
          <cell r="D148">
            <v>557.16899999999998</v>
          </cell>
          <cell r="E148">
            <v>343.18</v>
          </cell>
          <cell r="F148">
            <v>389.24999999999994</v>
          </cell>
          <cell r="G148">
            <v>2653.08</v>
          </cell>
          <cell r="H148">
            <v>2236.15</v>
          </cell>
          <cell r="I148">
            <v>528.74</v>
          </cell>
        </row>
        <row r="149">
          <cell r="D149">
            <v>219.86</v>
          </cell>
          <cell r="E149">
            <v>237.94</v>
          </cell>
          <cell r="F149">
            <v>335.709</v>
          </cell>
          <cell r="G149">
            <v>3261.76</v>
          </cell>
          <cell r="H149">
            <v>1649.79</v>
          </cell>
          <cell r="I149">
            <v>789.8</v>
          </cell>
        </row>
      </sheetData>
      <sheetData sheetId="3">
        <row r="148">
          <cell r="D148">
            <v>0</v>
          </cell>
        </row>
      </sheetData>
      <sheetData sheetId="4">
        <row r="148">
          <cell r="D148">
            <v>10408.768</v>
          </cell>
          <cell r="E148">
            <v>11365.271000000001</v>
          </cell>
          <cell r="F148">
            <v>12099.448000000002</v>
          </cell>
          <cell r="G148">
            <v>15463.487999999999</v>
          </cell>
          <cell r="H148">
            <v>18503.215</v>
          </cell>
          <cell r="I148">
            <v>19986.623999999996</v>
          </cell>
        </row>
        <row r="149">
          <cell r="D149">
            <v>9004.8350000000009</v>
          </cell>
          <cell r="E149">
            <v>10419.571</v>
          </cell>
          <cell r="F149">
            <v>11718.077999999998</v>
          </cell>
          <cell r="G149">
            <v>13783.227999999999</v>
          </cell>
          <cell r="H149">
            <v>18556.353999999999</v>
          </cell>
          <cell r="I149">
            <v>19983.683999999997</v>
          </cell>
        </row>
      </sheetData>
      <sheetData sheetId="5">
        <row r="148">
          <cell r="D148">
            <v>535.29999999999995</v>
          </cell>
          <cell r="E148">
            <v>7776.85</v>
          </cell>
          <cell r="F148">
            <v>26569.836000000003</v>
          </cell>
          <cell r="G148">
            <v>63034.885000000002</v>
          </cell>
          <cell r="H148">
            <v>86216.84599999999</v>
          </cell>
          <cell r="I148">
            <v>89537.682000000001</v>
          </cell>
        </row>
        <row r="149">
          <cell r="D149">
            <v>874.5</v>
          </cell>
          <cell r="E149">
            <v>8437.0629999999983</v>
          </cell>
          <cell r="F149">
            <v>20431.613999999998</v>
          </cell>
          <cell r="G149">
            <v>55397.565999999984</v>
          </cell>
          <cell r="H149">
            <v>84833.362000000008</v>
          </cell>
          <cell r="I149">
            <v>90759.794000000009</v>
          </cell>
        </row>
      </sheetData>
      <sheetData sheetId="6"/>
      <sheetData sheetId="7">
        <row r="77">
          <cell r="D77">
            <v>7522.045041947089</v>
          </cell>
        </row>
        <row r="148">
          <cell r="D148">
            <v>839439.69</v>
          </cell>
          <cell r="E148">
            <v>752577.38800000004</v>
          </cell>
          <cell r="F148">
            <v>637266.88699999999</v>
          </cell>
          <cell r="G148">
            <v>719264.02299999993</v>
          </cell>
          <cell r="H148">
            <v>915353.46000000008</v>
          </cell>
          <cell r="I148">
            <v>927495.30500000017</v>
          </cell>
        </row>
        <row r="149">
          <cell r="D149">
            <v>772440.49100000004</v>
          </cell>
          <cell r="E149">
            <v>887496.20200000005</v>
          </cell>
          <cell r="F149">
            <v>693278.31499999994</v>
          </cell>
          <cell r="G149">
            <v>565258.87100000004</v>
          </cell>
          <cell r="H149">
            <v>636647.43822848832</v>
          </cell>
          <cell r="I149">
            <v>740645.50600000005</v>
          </cell>
        </row>
      </sheetData>
      <sheetData sheetId="8">
        <row r="148">
          <cell r="D148">
            <v>81042.070000000007</v>
          </cell>
        </row>
      </sheetData>
      <sheetData sheetId="9"/>
      <sheetData sheetId="10">
        <row r="6">
          <cell r="D6">
            <v>39401.1</v>
          </cell>
        </row>
      </sheetData>
      <sheetData sheetId="11">
        <row r="6">
          <cell r="D6">
            <v>31</v>
          </cell>
        </row>
      </sheetData>
      <sheetData sheetId="12">
        <row r="6">
          <cell r="R6">
            <v>30170</v>
          </cell>
        </row>
      </sheetData>
      <sheetData sheetId="13">
        <row r="6">
          <cell r="R6">
            <v>17488</v>
          </cell>
        </row>
      </sheetData>
      <sheetData sheetId="14">
        <row r="6">
          <cell r="D6">
            <v>12.5</v>
          </cell>
        </row>
      </sheetData>
      <sheetData sheetId="15"/>
      <sheetData sheetId="16"/>
      <sheetData sheetId="17">
        <row r="6">
          <cell r="D6">
            <v>1270</v>
          </cell>
        </row>
      </sheetData>
      <sheetData sheetId="18">
        <row r="6">
          <cell r="D6">
            <v>25118</v>
          </cell>
        </row>
      </sheetData>
      <sheetData sheetId="19">
        <row r="6">
          <cell r="D6">
            <v>12820.85</v>
          </cell>
        </row>
      </sheetData>
      <sheetData sheetId="20">
        <row r="6">
          <cell r="D6">
            <v>1215.3</v>
          </cell>
        </row>
        <row r="148">
          <cell r="D148">
            <v>20471.730000000003</v>
          </cell>
          <cell r="E148">
            <v>19216.34</v>
          </cell>
          <cell r="F148">
            <v>20803.916999999998</v>
          </cell>
          <cell r="G148">
            <v>22171.328999999994</v>
          </cell>
          <cell r="H148">
            <v>23222.549999999996</v>
          </cell>
          <cell r="I148">
            <v>21548.47</v>
          </cell>
        </row>
        <row r="149">
          <cell r="D149">
            <v>18565.2</v>
          </cell>
          <cell r="E149">
            <v>13127.157999999999</v>
          </cell>
          <cell r="F149">
            <v>14868.840000000002</v>
          </cell>
          <cell r="G149">
            <v>14838.02</v>
          </cell>
          <cell r="H149">
            <v>11499.172999999999</v>
          </cell>
          <cell r="I149">
            <v>15348.255000000001</v>
          </cell>
        </row>
      </sheetData>
      <sheetData sheetId="21"/>
      <sheetData sheetId="22"/>
      <sheetData sheetId="23">
        <row r="6">
          <cell r="D6">
            <v>991.5</v>
          </cell>
        </row>
        <row r="148">
          <cell r="D148">
            <v>0</v>
          </cell>
          <cell r="E148">
            <v>82.2</v>
          </cell>
          <cell r="F148">
            <v>743.7</v>
          </cell>
          <cell r="G148">
            <v>24899.988000000005</v>
          </cell>
          <cell r="H148">
            <v>43689.921999999999</v>
          </cell>
          <cell r="I148">
            <v>21214.76</v>
          </cell>
        </row>
        <row r="149">
          <cell r="D149">
            <v>9.5</v>
          </cell>
          <cell r="E149">
            <v>47.75</v>
          </cell>
          <cell r="F149">
            <v>628.04999999999995</v>
          </cell>
          <cell r="G149">
            <v>24918.815000000002</v>
          </cell>
          <cell r="H149">
            <v>42837.472999999998</v>
          </cell>
          <cell r="I149">
            <v>22586.419000000002</v>
          </cell>
        </row>
      </sheetData>
      <sheetData sheetId="24">
        <row r="6">
          <cell r="D6">
            <v>3677</v>
          </cell>
        </row>
        <row r="148">
          <cell r="D148">
            <v>1432.3</v>
          </cell>
          <cell r="E148">
            <v>3100.9</v>
          </cell>
          <cell r="F148">
            <v>10103.08</v>
          </cell>
          <cell r="G148">
            <v>33073</v>
          </cell>
          <cell r="H148">
            <v>67468.789000000004</v>
          </cell>
          <cell r="I148">
            <v>44202.640999999996</v>
          </cell>
        </row>
        <row r="149">
          <cell r="D149">
            <v>1432.9090000000001</v>
          </cell>
          <cell r="E149">
            <v>3925.5</v>
          </cell>
          <cell r="F149">
            <v>10614.53</v>
          </cell>
          <cell r="G149">
            <v>30861.314999999999</v>
          </cell>
          <cell r="H149">
            <v>60435.164000000004</v>
          </cell>
          <cell r="I149">
            <v>49667.95</v>
          </cell>
        </row>
      </sheetData>
      <sheetData sheetId="25">
        <row r="148">
          <cell r="D148">
            <v>507928.78899999999</v>
          </cell>
          <cell r="E148">
            <v>616049.12599999993</v>
          </cell>
          <cell r="F148">
            <v>868963.1050000001</v>
          </cell>
          <cell r="G148">
            <v>1014319.7430000001</v>
          </cell>
          <cell r="H148">
            <v>833512.66200000001</v>
          </cell>
          <cell r="I148">
            <v>557840.32700000005</v>
          </cell>
        </row>
        <row r="149">
          <cell r="D149">
            <v>515440.28700000001</v>
          </cell>
          <cell r="E149">
            <v>619364.81299999997</v>
          </cell>
          <cell r="F149">
            <v>882535.57199999993</v>
          </cell>
          <cell r="G149">
            <v>1019409.665</v>
          </cell>
          <cell r="H149">
            <v>842785.26299999992</v>
          </cell>
          <cell r="I149">
            <v>516933.22099999996</v>
          </cell>
        </row>
      </sheetData>
      <sheetData sheetId="26">
        <row r="148">
          <cell r="D148">
            <v>25130.706000000002</v>
          </cell>
        </row>
      </sheetData>
      <sheetData sheetId="27">
        <row r="148">
          <cell r="D148">
            <v>6419.9389999999994</v>
          </cell>
        </row>
      </sheetData>
      <sheetData sheetId="28">
        <row r="148">
          <cell r="D148">
            <v>184432.35199999998</v>
          </cell>
        </row>
      </sheetData>
      <sheetData sheetId="29">
        <row r="148">
          <cell r="D148">
            <v>14139.389999999998</v>
          </cell>
        </row>
      </sheetData>
      <sheetData sheetId="30">
        <row r="148">
          <cell r="D148">
            <v>29219.118000000002</v>
          </cell>
        </row>
      </sheetData>
      <sheetData sheetId="31">
        <row r="148">
          <cell r="D148">
            <v>18515.668000000001</v>
          </cell>
        </row>
      </sheetData>
      <sheetData sheetId="32"/>
      <sheetData sheetId="33">
        <row r="148">
          <cell r="D148">
            <v>3218.7289999999998</v>
          </cell>
        </row>
      </sheetData>
      <sheetData sheetId="34"/>
      <sheetData sheetId="35"/>
      <sheetData sheetId="36">
        <row r="148">
          <cell r="D148">
            <v>2739.799</v>
          </cell>
        </row>
      </sheetData>
      <sheetData sheetId="37"/>
      <sheetData sheetId="38"/>
      <sheetData sheetId="39">
        <row r="148">
          <cell r="D148">
            <v>3001.87</v>
          </cell>
        </row>
      </sheetData>
      <sheetData sheetId="40">
        <row r="148">
          <cell r="D148">
            <v>7499.9080000000004</v>
          </cell>
        </row>
      </sheetData>
      <sheetData sheetId="41">
        <row r="148">
          <cell r="D148">
            <v>144562.9</v>
          </cell>
        </row>
      </sheetData>
      <sheetData sheetId="42"/>
      <sheetData sheetId="43">
        <row r="148">
          <cell r="D148">
            <v>53469.817999999999</v>
          </cell>
        </row>
      </sheetData>
      <sheetData sheetId="44">
        <row r="148">
          <cell r="D148">
            <v>14223.966</v>
          </cell>
        </row>
      </sheetData>
      <sheetData sheetId="45">
        <row r="148">
          <cell r="D148">
            <v>198109.82199999999</v>
          </cell>
        </row>
      </sheetData>
      <sheetData sheetId="46"/>
      <sheetData sheetId="47"/>
      <sheetData sheetId="48">
        <row r="6">
          <cell r="D6">
            <v>486.3</v>
          </cell>
        </row>
      </sheetData>
      <sheetData sheetId="49">
        <row r="6">
          <cell r="D6">
            <v>218</v>
          </cell>
        </row>
      </sheetData>
      <sheetData sheetId="50">
        <row r="148">
          <cell r="D148">
            <v>4169.7</v>
          </cell>
        </row>
      </sheetData>
      <sheetData sheetId="51">
        <row r="6">
          <cell r="D6">
            <v>1837</v>
          </cell>
        </row>
      </sheetData>
      <sheetData sheetId="52"/>
      <sheetData sheetId="53">
        <row r="148">
          <cell r="D148">
            <v>27332.5</v>
          </cell>
        </row>
      </sheetData>
      <sheetData sheetId="54">
        <row r="77">
          <cell r="D77">
            <v>2801.5</v>
          </cell>
        </row>
      </sheetData>
      <sheetData sheetId="55">
        <row r="6">
          <cell r="D6">
            <v>1237</v>
          </cell>
        </row>
        <row r="148">
          <cell r="D148">
            <v>4643.96</v>
          </cell>
          <cell r="E148">
            <v>3615.85</v>
          </cell>
          <cell r="F148">
            <v>2650.75</v>
          </cell>
          <cell r="G148">
            <v>2542.6400000000003</v>
          </cell>
          <cell r="H148">
            <v>3510.8500000000004</v>
          </cell>
          <cell r="I148">
            <v>4144.2</v>
          </cell>
        </row>
        <row r="149">
          <cell r="D149">
            <v>3170</v>
          </cell>
          <cell r="E149">
            <v>4623.2340000000004</v>
          </cell>
          <cell r="F149">
            <v>2052.837</v>
          </cell>
          <cell r="G149">
            <v>2781.933</v>
          </cell>
          <cell r="H149">
            <v>3111.59</v>
          </cell>
          <cell r="I149">
            <v>2842.5740000000001</v>
          </cell>
        </row>
      </sheetData>
      <sheetData sheetId="56">
        <row r="6">
          <cell r="D6">
            <v>156</v>
          </cell>
        </row>
      </sheetData>
      <sheetData sheetId="57">
        <row r="6">
          <cell r="D6">
            <v>43.6</v>
          </cell>
        </row>
      </sheetData>
      <sheetData sheetId="58"/>
      <sheetData sheetId="59">
        <row r="6">
          <cell r="D6">
            <v>505</v>
          </cell>
        </row>
      </sheetData>
      <sheetData sheetId="60">
        <row r="6">
          <cell r="D6">
            <v>583</v>
          </cell>
        </row>
      </sheetData>
      <sheetData sheetId="61">
        <row r="6">
          <cell r="D6">
            <v>727.6</v>
          </cell>
        </row>
      </sheetData>
      <sheetData sheetId="62">
        <row r="6">
          <cell r="R6">
            <v>1898.5</v>
          </cell>
        </row>
        <row r="148">
          <cell r="D148">
            <v>2.95</v>
          </cell>
          <cell r="E148">
            <v>23.15</v>
          </cell>
          <cell r="F148">
            <v>162.85</v>
          </cell>
          <cell r="G148">
            <v>1775.6899999999998</v>
          </cell>
          <cell r="H148">
            <v>6973.53</v>
          </cell>
          <cell r="I148">
            <v>11817.923999999999</v>
          </cell>
        </row>
        <row r="149">
          <cell r="D149">
            <v>29.5</v>
          </cell>
          <cell r="E149">
            <v>374</v>
          </cell>
          <cell r="F149">
            <v>155.75</v>
          </cell>
          <cell r="G149">
            <v>1462.98</v>
          </cell>
          <cell r="H149">
            <v>7867.2800000000007</v>
          </cell>
          <cell r="I149">
            <v>12210.080000000002</v>
          </cell>
        </row>
      </sheetData>
      <sheetData sheetId="63"/>
      <sheetData sheetId="64"/>
      <sheetData sheetId="65">
        <row r="6">
          <cell r="R6">
            <v>2685.75</v>
          </cell>
        </row>
        <row r="148">
          <cell r="D148">
            <v>2430.7199999999998</v>
          </cell>
          <cell r="E148">
            <v>1744.1499999999996</v>
          </cell>
          <cell r="F148">
            <v>2613.3489999999997</v>
          </cell>
          <cell r="G148">
            <v>4261.4679999999998</v>
          </cell>
          <cell r="H148">
            <v>12485.344999999999</v>
          </cell>
          <cell r="I148">
            <v>16831.864000000005</v>
          </cell>
        </row>
        <row r="149">
          <cell r="D149">
            <v>2346.1089999999999</v>
          </cell>
          <cell r="E149">
            <v>2666.6990000000001</v>
          </cell>
          <cell r="F149">
            <v>3139.5750000000003</v>
          </cell>
          <cell r="G149">
            <v>5003.7699999999995</v>
          </cell>
          <cell r="H149">
            <v>10592.393999999998</v>
          </cell>
          <cell r="I149">
            <v>20419.054</v>
          </cell>
        </row>
      </sheetData>
      <sheetData sheetId="66"/>
      <sheetData sheetId="67">
        <row r="6">
          <cell r="R6">
            <v>2404</v>
          </cell>
        </row>
        <row r="148">
          <cell r="D148">
            <v>7</v>
          </cell>
          <cell r="E148">
            <v>0</v>
          </cell>
          <cell r="F148">
            <v>167.2</v>
          </cell>
          <cell r="G148">
            <v>12595.473999999998</v>
          </cell>
          <cell r="H148">
            <v>19508.826999999997</v>
          </cell>
          <cell r="I148">
            <v>27850.410000000003</v>
          </cell>
        </row>
        <row r="149">
          <cell r="D149">
            <v>52</v>
          </cell>
          <cell r="E149">
            <v>47</v>
          </cell>
          <cell r="F149">
            <v>141.6</v>
          </cell>
          <cell r="G149">
            <v>12599.359999999997</v>
          </cell>
          <cell r="H149">
            <v>16102.608</v>
          </cell>
          <cell r="I149">
            <v>27217.933000000001</v>
          </cell>
        </row>
      </sheetData>
      <sheetData sheetId="68"/>
      <sheetData sheetId="69">
        <row r="6">
          <cell r="R6">
            <v>511</v>
          </cell>
        </row>
        <row r="148">
          <cell r="D148">
            <v>62.349999999999994</v>
          </cell>
          <cell r="E148">
            <v>131.94999999999999</v>
          </cell>
          <cell r="F148">
            <v>25</v>
          </cell>
          <cell r="G148">
            <v>60.25</v>
          </cell>
          <cell r="H148">
            <v>27.3</v>
          </cell>
          <cell r="I148">
            <v>0</v>
          </cell>
        </row>
        <row r="149">
          <cell r="D149">
            <v>81</v>
          </cell>
          <cell r="E149">
            <v>62.32</v>
          </cell>
          <cell r="F149">
            <v>77.009999999999991</v>
          </cell>
          <cell r="G149">
            <v>30.42</v>
          </cell>
          <cell r="H149">
            <v>10.6</v>
          </cell>
          <cell r="I149">
            <v>15.2</v>
          </cell>
        </row>
      </sheetData>
      <sheetData sheetId="70">
        <row r="77">
          <cell r="D77">
            <v>2656.5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6">
          <cell r="D6">
            <v>192.5</v>
          </cell>
        </row>
        <row r="148">
          <cell r="D148">
            <v>2440.549</v>
          </cell>
          <cell r="E148">
            <v>7747.9789999999994</v>
          </cell>
          <cell r="F148">
            <v>59410.020000000004</v>
          </cell>
          <cell r="G148">
            <v>1412377.3910000001</v>
          </cell>
          <cell r="H148">
            <v>1107872.334</v>
          </cell>
          <cell r="I148">
            <v>122665.40700000001</v>
          </cell>
        </row>
        <row r="149">
          <cell r="D149">
            <v>1956.8790000000001</v>
          </cell>
          <cell r="E149">
            <v>6194.5189999999993</v>
          </cell>
          <cell r="F149">
            <v>31861.540000000005</v>
          </cell>
          <cell r="G149">
            <v>1351384.3230000001</v>
          </cell>
          <cell r="H149">
            <v>1427805.9300000002</v>
          </cell>
          <cell r="I149">
            <v>214462.32800000001</v>
          </cell>
        </row>
      </sheetData>
      <sheetData sheetId="155">
        <row r="6">
          <cell r="D6">
            <v>107</v>
          </cell>
        </row>
        <row r="148">
          <cell r="D148">
            <v>2214.239</v>
          </cell>
          <cell r="E148">
            <v>4607.5290000000005</v>
          </cell>
          <cell r="F148">
            <v>13645.8</v>
          </cell>
          <cell r="G148">
            <v>206829.92</v>
          </cell>
          <cell r="H148">
            <v>175841.26499999998</v>
          </cell>
          <cell r="I148">
            <v>5852.4780000000001</v>
          </cell>
        </row>
        <row r="149">
          <cell r="D149">
            <v>2413.8200000000002</v>
          </cell>
          <cell r="E149">
            <v>5032.5689999999995</v>
          </cell>
          <cell r="F149">
            <v>12620.95</v>
          </cell>
          <cell r="G149">
            <v>183005.21899999998</v>
          </cell>
          <cell r="H149">
            <v>157922.81899999999</v>
          </cell>
          <cell r="I149">
            <v>9596.344000000001</v>
          </cell>
        </row>
      </sheetData>
      <sheetData sheetId="156">
        <row r="6">
          <cell r="D6">
            <v>3094</v>
          </cell>
        </row>
        <row r="148">
          <cell r="D148">
            <v>139702.51200000002</v>
          </cell>
          <cell r="E148">
            <v>143891.85500000001</v>
          </cell>
          <cell r="F148">
            <v>151455.959</v>
          </cell>
          <cell r="G148">
            <v>162246.04500000001</v>
          </cell>
          <cell r="H148">
            <v>152093.47900000002</v>
          </cell>
          <cell r="I148">
            <v>150281.12</v>
          </cell>
        </row>
        <row r="149">
          <cell r="D149">
            <v>165664.91399999996</v>
          </cell>
          <cell r="E149">
            <v>154897.799</v>
          </cell>
          <cell r="F149">
            <v>154434.11200000002</v>
          </cell>
          <cell r="G149">
            <v>169844.46100000001</v>
          </cell>
          <cell r="H149">
            <v>172912.06200000001</v>
          </cell>
          <cell r="I149">
            <v>153715.51799999998</v>
          </cell>
        </row>
      </sheetData>
      <sheetData sheetId="157"/>
      <sheetData sheetId="158">
        <row r="148">
          <cell r="D148">
            <v>6658.3590000000004</v>
          </cell>
          <cell r="E148">
            <v>1911.25</v>
          </cell>
          <cell r="F148">
            <v>770.15000000000009</v>
          </cell>
          <cell r="G148">
            <v>150</v>
          </cell>
          <cell r="H148">
            <v>271.63</v>
          </cell>
          <cell r="I148">
            <v>1030.52</v>
          </cell>
        </row>
        <row r="149">
          <cell r="D149">
            <v>5697.6</v>
          </cell>
          <cell r="E149">
            <v>2708.5</v>
          </cell>
          <cell r="F149">
            <v>2126.6</v>
          </cell>
          <cell r="G149">
            <v>819.8</v>
          </cell>
          <cell r="H149">
            <v>460</v>
          </cell>
          <cell r="I149">
            <v>1553.2</v>
          </cell>
        </row>
      </sheetData>
      <sheetData sheetId="15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abSelected="1" zoomScale="130" zoomScaleNormal="130" workbookViewId="0">
      <selection activeCell="B16" sqref="B16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169" t="s">
        <v>52</v>
      </c>
      <c r="B1" s="169"/>
      <c r="C1" s="169"/>
    </row>
    <row r="2" spans="1:10" ht="13.5">
      <c r="A2" s="169"/>
      <c r="B2" s="169"/>
      <c r="C2" s="169"/>
    </row>
    <row r="3" spans="1:10" ht="13.5">
      <c r="A3" s="169"/>
      <c r="B3" s="169"/>
      <c r="C3" s="169"/>
    </row>
    <row r="4" spans="1:10" ht="13.5">
      <c r="A4" s="169"/>
      <c r="B4" s="169"/>
      <c r="C4" s="169"/>
    </row>
    <row r="5" spans="1:10" ht="17.25" customHeight="1">
      <c r="A5" s="169"/>
      <c r="B5" s="169"/>
      <c r="C5" s="169"/>
    </row>
    <row r="6" spans="1:10" ht="17.25" customHeight="1">
      <c r="A6" s="169"/>
      <c r="B6" s="169"/>
      <c r="C6" s="169"/>
    </row>
    <row r="7" spans="1:10" ht="17.25" customHeight="1">
      <c r="A7" s="169"/>
      <c r="B7" s="169"/>
      <c r="C7" s="169"/>
    </row>
    <row r="8" spans="1:10" ht="21" customHeight="1">
      <c r="A8" s="28" t="s">
        <v>235</v>
      </c>
      <c r="B8" s="210" t="s">
        <v>236</v>
      </c>
      <c r="C8" s="208"/>
      <c r="D8" s="3"/>
    </row>
    <row r="9" spans="1:10" ht="24.75" customHeight="1">
      <c r="A9" s="170" t="s">
        <v>278</v>
      </c>
      <c r="B9" s="171" t="s">
        <v>437</v>
      </c>
      <c r="C9" s="209"/>
      <c r="D9" s="3"/>
    </row>
    <row r="10" spans="1:10" ht="24.75" customHeight="1">
      <c r="A10" s="172" t="s">
        <v>279</v>
      </c>
      <c r="B10" s="29" t="s">
        <v>438</v>
      </c>
      <c r="C10" s="209"/>
      <c r="D10" s="3"/>
      <c r="E10" s="4"/>
      <c r="F10" s="5"/>
      <c r="G10" s="5"/>
      <c r="H10" s="5"/>
      <c r="I10" s="5"/>
      <c r="J10" s="5"/>
    </row>
    <row r="11" spans="1:10" ht="24.75" customHeight="1">
      <c r="A11" s="172" t="s">
        <v>162</v>
      </c>
      <c r="B11" s="29" t="s">
        <v>439</v>
      </c>
      <c r="C11" s="209"/>
      <c r="D11" s="3"/>
      <c r="E11" s="4"/>
      <c r="F11" s="5"/>
      <c r="G11" s="5"/>
      <c r="H11" s="5"/>
      <c r="I11" s="5"/>
      <c r="J11" s="5"/>
    </row>
    <row r="12" spans="1:10" ht="24.75" customHeight="1">
      <c r="A12" s="172" t="s">
        <v>163</v>
      </c>
      <c r="B12" s="29" t="s">
        <v>440</v>
      </c>
      <c r="C12" s="209"/>
      <c r="D12" s="3"/>
      <c r="E12" s="6"/>
      <c r="F12" s="1"/>
      <c r="G12" s="1"/>
      <c r="H12" s="1"/>
      <c r="I12" s="1"/>
      <c r="J12" s="1"/>
    </row>
    <row r="13" spans="1:10" ht="24.75" customHeight="1">
      <c r="A13" s="172" t="s">
        <v>164</v>
      </c>
      <c r="B13" s="29" t="s">
        <v>441</v>
      </c>
      <c r="C13" s="209"/>
      <c r="D13" s="3"/>
    </row>
    <row r="14" spans="1:10" ht="24.75" customHeight="1">
      <c r="A14" s="172" t="s">
        <v>165</v>
      </c>
      <c r="B14" s="29" t="s">
        <v>442</v>
      </c>
      <c r="C14" s="209"/>
      <c r="D14" s="3"/>
    </row>
    <row r="15" spans="1:10" ht="24.75" customHeight="1">
      <c r="A15" s="172" t="s">
        <v>166</v>
      </c>
      <c r="B15" s="29" t="s">
        <v>486</v>
      </c>
      <c r="C15" s="209"/>
      <c r="D15" s="3"/>
    </row>
    <row r="16" spans="1:10" ht="24.75" customHeight="1">
      <c r="A16" s="172" t="s">
        <v>167</v>
      </c>
      <c r="B16" s="29" t="s">
        <v>471</v>
      </c>
      <c r="C16" s="209"/>
      <c r="D16" s="3"/>
    </row>
    <row r="17" spans="1:4" ht="24.75" customHeight="1">
      <c r="A17" s="172" t="s">
        <v>168</v>
      </c>
      <c r="B17" s="29" t="s">
        <v>1</v>
      </c>
      <c r="C17" s="209"/>
      <c r="D17" s="3"/>
    </row>
    <row r="18" spans="1:4" ht="13.5">
      <c r="A18" s="173"/>
      <c r="B18" s="173"/>
      <c r="C18" s="173"/>
      <c r="D18" s="3"/>
    </row>
    <row r="19" spans="1:4" ht="13.5">
      <c r="A19" s="173"/>
      <c r="B19" s="173"/>
      <c r="C19" s="17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zoomScaleNormal="100" workbookViewId="0">
      <selection activeCell="L16" sqref="L16"/>
    </sheetView>
  </sheetViews>
  <sheetFormatPr baseColWidth="10" defaultColWidth="10.85546875" defaultRowHeight="17.25" customHeight="1"/>
  <cols>
    <col min="1" max="1" width="1" style="162" customWidth="1"/>
    <col min="2" max="2" width="37.28515625" style="162" customWidth="1"/>
    <col min="3" max="4" width="7.42578125" style="162" customWidth="1"/>
    <col min="5" max="5" width="5.85546875" style="162" customWidth="1"/>
    <col min="6" max="7" width="7.42578125" style="162" customWidth="1"/>
    <col min="8" max="8" width="5.85546875" style="162" customWidth="1"/>
    <col min="9" max="16384" width="10.85546875" style="162"/>
  </cols>
  <sheetData>
    <row r="1" spans="1:8" ht="13.5" customHeight="1">
      <c r="A1" s="228" t="s">
        <v>444</v>
      </c>
      <c r="B1" s="7"/>
    </row>
    <row r="2" spans="1:8" ht="12" customHeight="1">
      <c r="A2" s="83" t="s">
        <v>322</v>
      </c>
      <c r="B2" s="7"/>
    </row>
    <row r="3" spans="1:8" ht="3.95" customHeight="1">
      <c r="A3" s="82"/>
    </row>
    <row r="4" spans="1:8" ht="12" customHeight="1">
      <c r="A4" s="472" t="s">
        <v>234</v>
      </c>
      <c r="B4" s="473"/>
      <c r="C4" s="476" t="s">
        <v>457</v>
      </c>
      <c r="D4" s="477"/>
      <c r="E4" s="478"/>
      <c r="F4" s="476" t="s">
        <v>458</v>
      </c>
      <c r="G4" s="477"/>
      <c r="H4" s="478"/>
    </row>
    <row r="5" spans="1:8" ht="12" customHeight="1">
      <c r="A5" s="474"/>
      <c r="B5" s="475"/>
      <c r="C5" s="383" t="s">
        <v>344</v>
      </c>
      <c r="D5" s="383" t="s">
        <v>351</v>
      </c>
      <c r="E5" s="383" t="s">
        <v>53</v>
      </c>
      <c r="F5" s="383" t="s">
        <v>344</v>
      </c>
      <c r="G5" s="383" t="s">
        <v>351</v>
      </c>
      <c r="H5" s="383" t="s">
        <v>53</v>
      </c>
    </row>
    <row r="6" spans="1:8" ht="15.95" customHeight="1">
      <c r="A6" s="384" t="s">
        <v>492</v>
      </c>
      <c r="B6" s="280"/>
      <c r="C6" s="385">
        <v>20687.927912928953</v>
      </c>
      <c r="D6" s="386">
        <v>20670.47410142047</v>
      </c>
      <c r="E6" s="387">
        <v>-8.436713228092696E-2</v>
      </c>
      <c r="F6" s="385">
        <v>3932.3019248392857</v>
      </c>
      <c r="G6" s="386">
        <v>4278.7815567029256</v>
      </c>
      <c r="H6" s="387">
        <v>8.8111146724268998</v>
      </c>
    </row>
    <row r="7" spans="1:8" ht="15.95" customHeight="1">
      <c r="A7" s="470" t="s">
        <v>493</v>
      </c>
      <c r="B7" s="470"/>
      <c r="C7" s="388">
        <v>13474.549109848898</v>
      </c>
      <c r="D7" s="388">
        <v>13421.420117043683</v>
      </c>
      <c r="E7" s="389">
        <v>-0.39429143322043947</v>
      </c>
      <c r="F7" s="388">
        <v>2719.6966875801591</v>
      </c>
      <c r="G7" s="388">
        <v>3039.1588865882331</v>
      </c>
      <c r="H7" s="389">
        <v>11.746243633230824</v>
      </c>
    </row>
    <row r="8" spans="1:8" ht="14.1" customHeight="1">
      <c r="A8" s="22"/>
      <c r="B8" s="390" t="s">
        <v>325</v>
      </c>
      <c r="C8" s="391">
        <v>2812.0184423270989</v>
      </c>
      <c r="D8" s="391">
        <v>2674.2366523560445</v>
      </c>
      <c r="E8" s="392">
        <v>-4.8997470250242152</v>
      </c>
      <c r="F8" s="391">
        <v>805.93249329764785</v>
      </c>
      <c r="G8" s="391">
        <v>1018.5024262768013</v>
      </c>
      <c r="H8" s="392">
        <v>26.375649914470813</v>
      </c>
    </row>
    <row r="9" spans="1:8" ht="14.1" customHeight="1">
      <c r="A9" s="393"/>
      <c r="B9" s="394" t="s">
        <v>326</v>
      </c>
      <c r="C9" s="391">
        <v>1375.6435173435364</v>
      </c>
      <c r="D9" s="391">
        <v>1385.1535200486228</v>
      </c>
      <c r="E9" s="392">
        <v>0.69131301715803506</v>
      </c>
      <c r="F9" s="391">
        <v>187.41260293205579</v>
      </c>
      <c r="G9" s="391">
        <v>197.11694095062128</v>
      </c>
      <c r="H9" s="392">
        <v>5.17806052887686</v>
      </c>
    </row>
    <row r="10" spans="1:8" ht="14.1" customHeight="1">
      <c r="A10" s="22"/>
      <c r="B10" s="394" t="s">
        <v>327</v>
      </c>
      <c r="C10" s="391">
        <v>2677.6692131697027</v>
      </c>
      <c r="D10" s="391">
        <v>2865.3362452777701</v>
      </c>
      <c r="E10" s="392">
        <v>7.0085965505020553</v>
      </c>
      <c r="F10" s="391">
        <v>417.31752612433581</v>
      </c>
      <c r="G10" s="391">
        <v>456.42902129405405</v>
      </c>
      <c r="H10" s="392">
        <v>9.3721190032324042</v>
      </c>
    </row>
    <row r="11" spans="1:8" ht="14.1" customHeight="1">
      <c r="A11" s="22"/>
      <c r="B11" s="390" t="s">
        <v>328</v>
      </c>
      <c r="C11" s="391">
        <v>487.49047777139452</v>
      </c>
      <c r="D11" s="391">
        <v>459.45044652396388</v>
      </c>
      <c r="E11" s="392">
        <v>-5.7519136323683888</v>
      </c>
      <c r="F11" s="391">
        <v>65.629710309657639</v>
      </c>
      <c r="G11" s="391">
        <v>96.282372501895509</v>
      </c>
      <c r="H11" s="392">
        <v>46.705466240229953</v>
      </c>
    </row>
    <row r="12" spans="1:8" ht="14.1" customHeight="1">
      <c r="A12" s="22"/>
      <c r="B12" s="395" t="s">
        <v>329</v>
      </c>
      <c r="C12" s="391">
        <v>2281.5438812241678</v>
      </c>
      <c r="D12" s="391">
        <v>2299.0988063307659</v>
      </c>
      <c r="E12" s="392">
        <v>0.76943184179210089</v>
      </c>
      <c r="F12" s="391">
        <v>367.61721557886619</v>
      </c>
      <c r="G12" s="391">
        <v>388.96634851228521</v>
      </c>
      <c r="H12" s="392">
        <v>5.8074355684898382</v>
      </c>
    </row>
    <row r="13" spans="1:8" ht="14.1" customHeight="1">
      <c r="A13" s="22"/>
      <c r="B13" s="390" t="s">
        <v>330</v>
      </c>
      <c r="C13" s="391">
        <v>1885.3723210095152</v>
      </c>
      <c r="D13" s="391">
        <v>1785.6286403118011</v>
      </c>
      <c r="E13" s="392">
        <v>-5.2903969993739359</v>
      </c>
      <c r="F13" s="391">
        <v>555.66627874356595</v>
      </c>
      <c r="G13" s="391">
        <v>553.17717912473108</v>
      </c>
      <c r="H13" s="392">
        <v>-0.44794865444471865</v>
      </c>
    </row>
    <row r="14" spans="1:8" ht="14.1" customHeight="1">
      <c r="A14" s="22"/>
      <c r="B14" s="390" t="s">
        <v>331</v>
      </c>
      <c r="C14" s="391">
        <v>197.74714868878763</v>
      </c>
      <c r="D14" s="391">
        <v>206.40313301195289</v>
      </c>
      <c r="E14" s="392">
        <v>4.3772991825980601</v>
      </c>
      <c r="F14" s="391">
        <v>92.415615807745368</v>
      </c>
      <c r="G14" s="391">
        <v>102.80443842023809</v>
      </c>
      <c r="H14" s="392">
        <v>11.241414691327556</v>
      </c>
    </row>
    <row r="15" spans="1:8" ht="14.1" customHeight="1">
      <c r="A15" s="22"/>
      <c r="B15" s="390" t="s">
        <v>332</v>
      </c>
      <c r="C15" s="391">
        <v>352.81896729985897</v>
      </c>
      <c r="D15" s="391">
        <v>325.17932238437453</v>
      </c>
      <c r="E15" s="392">
        <v>-7.8339453026043397</v>
      </c>
      <c r="F15" s="391">
        <v>69.564661317673071</v>
      </c>
      <c r="G15" s="391">
        <v>64.836579800329901</v>
      </c>
      <c r="H15" s="392">
        <v>-6.7966715107717901</v>
      </c>
    </row>
    <row r="16" spans="1:8" ht="25.5">
      <c r="A16" s="22"/>
      <c r="B16" s="395" t="s">
        <v>494</v>
      </c>
      <c r="C16" s="391">
        <v>1403.4339711517896</v>
      </c>
      <c r="D16" s="391">
        <v>1420.1590927872373</v>
      </c>
      <c r="E16" s="392">
        <v>1.1917284303529785</v>
      </c>
      <c r="F16" s="391">
        <v>157.77355801774243</v>
      </c>
      <c r="G16" s="391">
        <v>160.73519990472943</v>
      </c>
      <c r="H16" s="392">
        <v>1.8771471748478596</v>
      </c>
    </row>
    <row r="17" spans="1:15" ht="14.1" customHeight="1">
      <c r="A17" s="396"/>
      <c r="B17" s="396" t="s">
        <v>495</v>
      </c>
      <c r="C17" s="391">
        <v>0.81116986304585692</v>
      </c>
      <c r="D17" s="391">
        <v>0.77425801114991188</v>
      </c>
      <c r="E17" s="392">
        <v>-4.5504466545816857</v>
      </c>
      <c r="F17" s="391">
        <v>0.3670254508693474</v>
      </c>
      <c r="G17" s="391">
        <v>0.30837980254729863</v>
      </c>
      <c r="H17" s="392">
        <v>-15.978632594317077</v>
      </c>
    </row>
    <row r="18" spans="1:15" ht="15.95" customHeight="1">
      <c r="A18" s="471" t="s">
        <v>496</v>
      </c>
      <c r="B18" s="471"/>
      <c r="C18" s="397">
        <v>7213.3788030800551</v>
      </c>
      <c r="D18" s="397">
        <v>7249.0539843767883</v>
      </c>
      <c r="E18" s="398">
        <v>0.49456963609757487</v>
      </c>
      <c r="F18" s="397">
        <v>1212.6052372591269</v>
      </c>
      <c r="G18" s="397">
        <v>1239.6226701146923</v>
      </c>
      <c r="H18" s="398">
        <v>2.228048504609248</v>
      </c>
    </row>
    <row r="19" spans="1:15" ht="14.1" customHeight="1">
      <c r="A19" s="22"/>
      <c r="B19" s="399" t="s">
        <v>333</v>
      </c>
      <c r="C19" s="391">
        <v>5474.5063424807531</v>
      </c>
      <c r="D19" s="391">
        <v>5480.6808625043977</v>
      </c>
      <c r="E19" s="392">
        <v>0.1127867909428204</v>
      </c>
      <c r="F19" s="391">
        <v>931.09522358490096</v>
      </c>
      <c r="G19" s="391">
        <v>953.11069259737951</v>
      </c>
      <c r="H19" s="392">
        <v>2.3644701911061938</v>
      </c>
    </row>
    <row r="20" spans="1:15" ht="14.1" customHeight="1">
      <c r="A20" s="22"/>
      <c r="B20" s="390" t="s">
        <v>334</v>
      </c>
      <c r="C20" s="391">
        <v>917.7296426612196</v>
      </c>
      <c r="D20" s="391">
        <v>935.74722016557848</v>
      </c>
      <c r="E20" s="392">
        <v>1.9632772732622872</v>
      </c>
      <c r="F20" s="391">
        <v>152.51374123820554</v>
      </c>
      <c r="G20" s="391">
        <v>156.33356912473431</v>
      </c>
      <c r="H20" s="392">
        <v>2.5045794926522147</v>
      </c>
    </row>
    <row r="21" spans="1:15" ht="14.1" customHeight="1">
      <c r="A21" s="22"/>
      <c r="B21" s="390" t="s">
        <v>497</v>
      </c>
      <c r="C21" s="391">
        <v>761.88232507879809</v>
      </c>
      <c r="D21" s="391">
        <v>771.56467359075543</v>
      </c>
      <c r="E21" s="392">
        <v>1.2708456664821455</v>
      </c>
      <c r="F21" s="391">
        <v>127.08593705265262</v>
      </c>
      <c r="G21" s="391">
        <v>128.35223509169001</v>
      </c>
      <c r="H21" s="392">
        <v>0.99641082908548118</v>
      </c>
    </row>
    <row r="22" spans="1:15" ht="14.1" customHeight="1">
      <c r="A22" s="68"/>
      <c r="B22" s="400" t="s">
        <v>335</v>
      </c>
      <c r="C22" s="401">
        <v>59.260492859284433</v>
      </c>
      <c r="D22" s="401">
        <v>61.06122811605664</v>
      </c>
      <c r="E22" s="402">
        <v>3.0386774896524971</v>
      </c>
      <c r="F22" s="401">
        <v>1.9103353833676342</v>
      </c>
      <c r="G22" s="401">
        <v>1.826173300888303</v>
      </c>
      <c r="H22" s="402">
        <v>-4.4056181554343654</v>
      </c>
      <c r="M22" s="161"/>
    </row>
    <row r="23" spans="1:15" ht="9" customHeight="1">
      <c r="A23" s="164" t="s">
        <v>336</v>
      </c>
      <c r="B23" s="165"/>
      <c r="C23" s="161"/>
      <c r="D23" s="10"/>
      <c r="E23" s="161"/>
    </row>
    <row r="24" spans="1:15" ht="9" customHeight="1">
      <c r="A24" s="164" t="s">
        <v>360</v>
      </c>
      <c r="B24" s="81"/>
      <c r="C24" s="161"/>
      <c r="D24" s="161"/>
      <c r="E24" s="161"/>
    </row>
    <row r="25" spans="1:15" ht="17.25" customHeight="1">
      <c r="A25" s="161"/>
      <c r="B25" s="161"/>
      <c r="C25" s="161"/>
      <c r="D25" s="161"/>
      <c r="E25" s="161"/>
    </row>
    <row r="26" spans="1:15" ht="17.25" customHeight="1">
      <c r="A26" s="64"/>
      <c r="B26" s="64"/>
      <c r="C26" s="64"/>
      <c r="D26" s="64"/>
      <c r="E26" s="64"/>
    </row>
    <row r="27" spans="1:15" ht="17.25" customHeight="1">
      <c r="A27" s="64"/>
      <c r="B27" s="64"/>
      <c r="C27" s="64"/>
      <c r="D27" s="64"/>
      <c r="E27" s="64"/>
    </row>
    <row r="30" spans="1:15" ht="17.25" customHeight="1">
      <c r="H30" s="38"/>
      <c r="I30" s="38"/>
      <c r="J30" s="277"/>
      <c r="K30" s="38"/>
      <c r="L30" s="277"/>
      <c r="M30" s="38"/>
      <c r="N30" s="38"/>
      <c r="O30" s="38"/>
    </row>
    <row r="31" spans="1:15" ht="17.25" customHeight="1">
      <c r="H31" s="38"/>
      <c r="I31" s="38"/>
      <c r="J31" s="278"/>
      <c r="K31" s="38"/>
      <c r="L31" s="278"/>
      <c r="M31" s="38"/>
      <c r="N31" s="38"/>
      <c r="O31" s="38"/>
    </row>
    <row r="32" spans="1:15" ht="17.25" customHeight="1">
      <c r="H32" s="38"/>
      <c r="I32" s="38"/>
      <c r="J32" s="278"/>
      <c r="K32" s="38"/>
      <c r="L32" s="278"/>
      <c r="M32" s="38"/>
      <c r="N32" s="38"/>
      <c r="O32" s="38"/>
    </row>
    <row r="33" spans="8:15" ht="17.25" customHeight="1">
      <c r="H33" s="38"/>
      <c r="I33" s="38"/>
      <c r="J33" s="279"/>
      <c r="K33" s="38"/>
      <c r="L33" s="279"/>
      <c r="M33" s="38"/>
      <c r="N33" s="38"/>
      <c r="O33" s="38"/>
    </row>
    <row r="34" spans="8:15" ht="17.25" customHeight="1">
      <c r="H34" s="38"/>
      <c r="I34" s="38"/>
      <c r="J34" s="279"/>
      <c r="K34" s="38"/>
      <c r="L34" s="279"/>
      <c r="M34" s="38"/>
      <c r="N34" s="38"/>
      <c r="O34" s="38"/>
    </row>
    <row r="35" spans="8:15" ht="17.25" customHeight="1">
      <c r="H35" s="38"/>
      <c r="I35" s="38"/>
      <c r="J35" s="279"/>
      <c r="K35" s="38"/>
      <c r="L35" s="279"/>
      <c r="M35" s="38"/>
      <c r="N35" s="38"/>
      <c r="O35" s="38"/>
    </row>
    <row r="36" spans="8:15" ht="17.25" customHeight="1">
      <c r="H36" s="38"/>
      <c r="I36" s="38"/>
      <c r="J36" s="38"/>
      <c r="K36" s="38"/>
      <c r="L36" s="38"/>
      <c r="M36" s="38"/>
      <c r="N36" s="38"/>
      <c r="O36" s="38"/>
    </row>
    <row r="37" spans="8:15" ht="17.25" customHeight="1">
      <c r="H37" s="38"/>
      <c r="I37" s="38"/>
      <c r="J37" s="38"/>
      <c r="K37" s="38"/>
      <c r="L37" s="38"/>
      <c r="M37" s="38"/>
      <c r="N37" s="38"/>
      <c r="O37" s="38"/>
    </row>
    <row r="38" spans="8:15" ht="17.25" customHeight="1">
      <c r="H38" s="38"/>
      <c r="I38" s="38"/>
      <c r="J38" s="38"/>
      <c r="K38" s="38"/>
      <c r="L38" s="38"/>
      <c r="M38" s="38"/>
      <c r="N38" s="38"/>
      <c r="O38" s="38"/>
    </row>
    <row r="39" spans="8:15" ht="17.25" customHeight="1">
      <c r="H39" s="38"/>
      <c r="I39" s="38"/>
      <c r="J39" s="38"/>
      <c r="K39" s="38"/>
      <c r="L39" s="38"/>
      <c r="M39" s="38"/>
      <c r="N39" s="38"/>
      <c r="O39" s="38"/>
    </row>
    <row r="40" spans="8:15" ht="17.25" customHeight="1">
      <c r="H40" s="38"/>
      <c r="I40" s="38"/>
      <c r="J40" s="38"/>
      <c r="K40" s="38"/>
      <c r="L40" s="38"/>
      <c r="M40" s="38"/>
      <c r="N40" s="38"/>
      <c r="O40" s="38"/>
    </row>
    <row r="41" spans="8:15" ht="17.25" customHeight="1">
      <c r="H41" s="38"/>
      <c r="I41" s="38"/>
      <c r="J41" s="38"/>
      <c r="K41" s="38"/>
      <c r="L41" s="38"/>
      <c r="M41" s="38"/>
      <c r="N41" s="38"/>
      <c r="O41" s="38"/>
    </row>
    <row r="42" spans="8:15" ht="17.25" customHeight="1">
      <c r="H42" s="38"/>
      <c r="I42" s="38"/>
      <c r="J42" s="38"/>
      <c r="K42" s="38"/>
      <c r="L42" s="38"/>
      <c r="M42" s="38"/>
      <c r="N42" s="38"/>
      <c r="O42" s="38"/>
    </row>
    <row r="43" spans="8:15" ht="17.25" customHeight="1">
      <c r="H43" s="38"/>
      <c r="I43" s="38"/>
      <c r="J43" s="38"/>
      <c r="K43" s="38"/>
      <c r="L43" s="38"/>
      <c r="M43" s="38"/>
      <c r="N43" s="38"/>
      <c r="O43" s="3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zoomScaleNormal="100" zoomScalePageLayoutView="125" workbookViewId="0">
      <selection sqref="A1:G19"/>
    </sheetView>
  </sheetViews>
  <sheetFormatPr baseColWidth="10" defaultColWidth="10.85546875" defaultRowHeight="17.25" customHeight="1"/>
  <cols>
    <col min="1" max="1" width="20" style="162" customWidth="1"/>
    <col min="2" max="7" width="6.85546875" style="162" customWidth="1"/>
    <col min="8" max="16384" width="10.85546875" style="162"/>
  </cols>
  <sheetData>
    <row r="1" spans="1:7" ht="16.5" customHeight="1">
      <c r="A1" s="248" t="s">
        <v>363</v>
      </c>
      <c r="B1" s="251"/>
      <c r="C1" s="249"/>
      <c r="D1" s="250"/>
      <c r="E1" s="249"/>
      <c r="F1" s="249"/>
      <c r="G1" s="250"/>
    </row>
    <row r="2" spans="1:7" ht="11.25" customHeight="1">
      <c r="A2" s="251" t="s">
        <v>364</v>
      </c>
      <c r="B2" s="251"/>
      <c r="C2" s="249"/>
      <c r="D2" s="250"/>
      <c r="E2" s="249"/>
      <c r="F2" s="249"/>
      <c r="G2" s="250"/>
    </row>
    <row r="3" spans="1:7" ht="11.25" customHeight="1">
      <c r="A3" s="251" t="s">
        <v>365</v>
      </c>
      <c r="B3" s="251"/>
      <c r="C3" s="249"/>
      <c r="D3" s="250"/>
      <c r="E3" s="249"/>
      <c r="F3" s="249"/>
      <c r="G3" s="250"/>
    </row>
    <row r="4" spans="1:7" ht="3.95" customHeight="1">
      <c r="A4" s="252"/>
      <c r="B4" s="272"/>
      <c r="C4" s="252"/>
      <c r="D4" s="253"/>
      <c r="E4" s="252"/>
      <c r="F4" s="249"/>
      <c r="G4" s="253"/>
    </row>
    <row r="5" spans="1:7" ht="12" customHeight="1">
      <c r="A5" s="479" t="s">
        <v>420</v>
      </c>
      <c r="B5" s="479" t="s">
        <v>472</v>
      </c>
      <c r="C5" s="481"/>
      <c r="D5" s="281" t="s">
        <v>323</v>
      </c>
      <c r="E5" s="481" t="s">
        <v>458</v>
      </c>
      <c r="F5" s="482"/>
      <c r="G5" s="281" t="s">
        <v>323</v>
      </c>
    </row>
    <row r="6" spans="1:7" ht="12" customHeight="1">
      <c r="A6" s="480"/>
      <c r="B6" s="346" t="s">
        <v>366</v>
      </c>
      <c r="C6" s="282" t="s">
        <v>367</v>
      </c>
      <c r="D6" s="283" t="s">
        <v>324</v>
      </c>
      <c r="E6" s="282" t="s">
        <v>366</v>
      </c>
      <c r="F6" s="282" t="s">
        <v>367</v>
      </c>
      <c r="G6" s="283" t="s">
        <v>324</v>
      </c>
    </row>
    <row r="7" spans="1:7" ht="15.95" customHeight="1">
      <c r="A7" s="284" t="s">
        <v>368</v>
      </c>
      <c r="B7" s="368">
        <f>+'[1]C-9'!B7</f>
        <v>6564.723504076841</v>
      </c>
      <c r="C7" s="368">
        <f>+'[1]C-9'!C7</f>
        <v>6931.0563187528351</v>
      </c>
      <c r="D7" s="285">
        <f>+'[1]C-9'!D7</f>
        <v>5.5803235954795749</v>
      </c>
      <c r="E7" s="368">
        <f>+'[1]C-9'!E7</f>
        <v>1182.4110494282306</v>
      </c>
      <c r="F7" s="368">
        <f>+'[1]C-9'!F7</f>
        <v>1212.0669331078234</v>
      </c>
      <c r="G7" s="285">
        <f>+'[1]C-9'!G7</f>
        <v>2.50808580433457</v>
      </c>
    </row>
    <row r="8" spans="1:7" ht="15.95" customHeight="1">
      <c r="A8" s="254" t="s">
        <v>369</v>
      </c>
      <c r="B8" s="369">
        <f>+'[1]C-9'!B8</f>
        <v>1079.4839963209999</v>
      </c>
      <c r="C8" s="369">
        <f>+'[1]C-9'!C8</f>
        <v>1219.5153350534999</v>
      </c>
      <c r="D8" s="286">
        <f>+'[1]C-9'!D8</f>
        <v>12.972062504839554</v>
      </c>
      <c r="E8" s="369">
        <f>+'[1]C-9'!E8</f>
        <v>200.97476061549997</v>
      </c>
      <c r="F8" s="369">
        <f>+'[1]C-9'!F8</f>
        <v>224.92687251450002</v>
      </c>
      <c r="G8" s="286">
        <f>+'[1]C-9'!G8</f>
        <v>11.917970110099873</v>
      </c>
    </row>
    <row r="9" spans="1:7" ht="15.95" customHeight="1">
      <c r="A9" s="254" t="s">
        <v>370</v>
      </c>
      <c r="B9" s="369">
        <f>+'[1]C-9'!B15</f>
        <v>1867.9602435928002</v>
      </c>
      <c r="C9" s="369">
        <f>+'[1]C-9'!C15</f>
        <v>1856.2587608972799</v>
      </c>
      <c r="D9" s="286">
        <f>+'[1]C-9'!D15</f>
        <v>-0.62643103543863488</v>
      </c>
      <c r="E9" s="369">
        <f>+'[1]C-9'!E15</f>
        <v>287.98273839184003</v>
      </c>
      <c r="F9" s="369">
        <f>+'[1]C-9'!F15</f>
        <v>320.07219025903998</v>
      </c>
      <c r="G9" s="286">
        <f>+'[1]C-9'!G15</f>
        <v>11.142838645953091</v>
      </c>
    </row>
    <row r="10" spans="1:7" ht="15.95" customHeight="1">
      <c r="A10" s="254" t="s">
        <v>371</v>
      </c>
      <c r="B10" s="369">
        <f>+'[1]C-9'!B23</f>
        <v>69.923095084726</v>
      </c>
      <c r="C10" s="369">
        <f>+'[1]C-9'!C23</f>
        <v>50.457618415248987</v>
      </c>
      <c r="D10" s="286">
        <f>+'[1]C-9'!D23</f>
        <v>-27.838408248219913</v>
      </c>
      <c r="E10" s="369">
        <f>+'[1]C-9'!E23</f>
        <v>12.949287941699996</v>
      </c>
      <c r="F10" s="369">
        <f>+'[1]C-9'!F23</f>
        <v>6.5973437955999978</v>
      </c>
      <c r="G10" s="286">
        <f>+'[1]C-9'!G23</f>
        <v>-49.052458905057819</v>
      </c>
    </row>
    <row r="11" spans="1:7" ht="15.95" customHeight="1">
      <c r="A11" s="255" t="s">
        <v>372</v>
      </c>
      <c r="B11" s="369">
        <f>+'[1]C-9'!B26</f>
        <v>657.68752825340016</v>
      </c>
      <c r="C11" s="369">
        <f>+'[1]C-9'!C26</f>
        <v>599.39884731000006</v>
      </c>
      <c r="D11" s="286">
        <f>+'[1]C-9'!D26</f>
        <v>-8.8626708641101217</v>
      </c>
      <c r="E11" s="369">
        <f>+'[1]C-9'!E26</f>
        <v>131.11620755820002</v>
      </c>
      <c r="F11" s="369">
        <f>+'[1]C-9'!F26</f>
        <v>101.8841621856</v>
      </c>
      <c r="G11" s="286">
        <f>+'[1]C-9'!G26</f>
        <v>-22.294761202290314</v>
      </c>
    </row>
    <row r="12" spans="1:7" ht="15.95" customHeight="1">
      <c r="A12" s="256" t="s">
        <v>373</v>
      </c>
      <c r="B12" s="370">
        <f>+'[1]C-9'!B28</f>
        <v>183.82836296775736</v>
      </c>
      <c r="C12" s="370">
        <f>+'[1]C-9'!C28</f>
        <v>187.07356270752999</v>
      </c>
      <c r="D12" s="287">
        <f>+'[1]C-9'!D28</f>
        <v>1.765342239566059</v>
      </c>
      <c r="E12" s="370">
        <f>+'[1]C-9'!E28</f>
        <v>31.853021734399995</v>
      </c>
      <c r="F12" s="370">
        <f>+'[1]C-9'!F28</f>
        <v>33.061920809100002</v>
      </c>
      <c r="G12" s="287">
        <f>+'[1]C-9'!G28</f>
        <v>3.7952414209872165</v>
      </c>
    </row>
    <row r="13" spans="1:7" ht="15.95" customHeight="1">
      <c r="A13" s="256" t="s">
        <v>374</v>
      </c>
      <c r="B13" s="369">
        <f>+'[1]C-9'!B38</f>
        <v>105.3253</v>
      </c>
      <c r="C13" s="369">
        <f>+'[1]C-9'!C38</f>
        <v>179.45150469999999</v>
      </c>
      <c r="D13" s="286">
        <f>+'[1]C-9'!D38</f>
        <v>70.378346608079909</v>
      </c>
      <c r="E13" s="369">
        <f>+'[1]C-9'!E38</f>
        <v>15.3724644</v>
      </c>
      <c r="F13" s="369">
        <f>+'[1]C-9'!F38</f>
        <v>37.690188900000003</v>
      </c>
      <c r="G13" s="286">
        <f>+'[1]C-9'!G38</f>
        <v>145.17987434727772</v>
      </c>
    </row>
    <row r="14" spans="1:7" ht="15.95" customHeight="1">
      <c r="A14" s="254" t="s">
        <v>375</v>
      </c>
      <c r="B14" s="369">
        <f>+'[1]C-9'!B42</f>
        <v>483.9038748261936</v>
      </c>
      <c r="C14" s="369">
        <f>+'[1]C-9'!C42</f>
        <v>435.26445785050743</v>
      </c>
      <c r="D14" s="286">
        <f>+'[1]C-9'!D42</f>
        <v>-10.051462595366957</v>
      </c>
      <c r="E14" s="369">
        <f>+'[1]C-9'!E42</f>
        <v>95.097434695280043</v>
      </c>
      <c r="F14" s="369">
        <f>+'[1]C-9'!F42</f>
        <v>76.233020580002005</v>
      </c>
      <c r="G14" s="286">
        <f>+'[1]C-9'!G42</f>
        <v>-19.836932695109113</v>
      </c>
    </row>
    <row r="15" spans="1:7" ht="15.95" customHeight="1">
      <c r="A15" s="254" t="s">
        <v>376</v>
      </c>
      <c r="B15" s="369">
        <f>+'[1]C-9'!B46</f>
        <v>1117.9564084946433</v>
      </c>
      <c r="C15" s="369">
        <f>+'[1]C-9'!C46</f>
        <v>1256.9440243850884</v>
      </c>
      <c r="D15" s="286">
        <f>+'[1]C-9'!D46</f>
        <v>12.432292961904977</v>
      </c>
      <c r="E15" s="369">
        <f>+'[1]C-9'!E46</f>
        <v>205.11210058472997</v>
      </c>
      <c r="F15" s="369">
        <f>+'[1]C-9'!F46</f>
        <v>219.85703593817999</v>
      </c>
      <c r="G15" s="286">
        <f>+'[1]C-9'!G46</f>
        <v>7.1887203687229562</v>
      </c>
    </row>
    <row r="16" spans="1:7" ht="15.95" customHeight="1">
      <c r="A16" s="257" t="s">
        <v>377</v>
      </c>
      <c r="B16" s="371">
        <f>+'[1]C-9'!B51</f>
        <v>998.65469453632022</v>
      </c>
      <c r="C16" s="371">
        <f>+'[1]C-9'!C51</f>
        <v>1146.6922074336803</v>
      </c>
      <c r="D16" s="288">
        <f>+'[1]C-9'!D51</f>
        <v>14.823693685843487</v>
      </c>
      <c r="E16" s="371">
        <f>+'[1]C-9'!E51</f>
        <v>201.95303350658043</v>
      </c>
      <c r="F16" s="371">
        <f>+'[1]C-9'!F51</f>
        <v>191.74419812580169</v>
      </c>
      <c r="G16" s="288">
        <f>+'[1]C-9'!G51</f>
        <v>-5.0550542388590021</v>
      </c>
    </row>
    <row r="17" spans="1:7" ht="9" customHeight="1">
      <c r="A17" s="258" t="s">
        <v>201</v>
      </c>
      <c r="B17" s="256"/>
      <c r="C17" s="273"/>
      <c r="D17" s="260"/>
      <c r="E17" s="259"/>
      <c r="F17" s="259"/>
      <c r="G17" s="260"/>
    </row>
    <row r="18" spans="1:7" ht="9" customHeight="1">
      <c r="A18" s="261" t="s">
        <v>378</v>
      </c>
      <c r="B18" s="262"/>
      <c r="C18" s="262"/>
      <c r="D18" s="263"/>
      <c r="E18" s="262"/>
      <c r="F18" s="262"/>
      <c r="G18" s="263"/>
    </row>
    <row r="19" spans="1:7" ht="9" customHeight="1">
      <c r="A19" s="264" t="s">
        <v>358</v>
      </c>
      <c r="B19" s="265"/>
      <c r="C19" s="265"/>
      <c r="D19" s="266"/>
      <c r="E19" s="265"/>
      <c r="F19" s="265"/>
      <c r="G19" s="266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zoomScaleNormal="100" workbookViewId="0">
      <selection activeCell="Q5" sqref="Q5:S5"/>
    </sheetView>
  </sheetViews>
  <sheetFormatPr baseColWidth="10" defaultColWidth="11.42578125" defaultRowHeight="17.25" customHeight="1"/>
  <cols>
    <col min="1" max="1" width="13" style="166" customWidth="1"/>
    <col min="2" max="3" width="6" style="166" customWidth="1"/>
    <col min="4" max="4" width="5.28515625" style="166" customWidth="1"/>
    <col min="5" max="6" width="6" style="166" customWidth="1"/>
    <col min="7" max="7" width="5.28515625" style="166" customWidth="1"/>
    <col min="8" max="9" width="6" style="166" customWidth="1"/>
    <col min="10" max="10" width="5.28515625" style="166" customWidth="1"/>
    <col min="11" max="12" width="6" style="166" customWidth="1"/>
    <col min="13" max="13" width="5.28515625" style="166" customWidth="1"/>
    <col min="14" max="15" width="6" style="166" customWidth="1"/>
    <col min="16" max="16" width="5.28515625" style="166" customWidth="1"/>
    <col min="17" max="18" width="6" style="166" customWidth="1"/>
    <col min="19" max="19" width="5.28515625" style="166" customWidth="1"/>
    <col min="20" max="209" width="11.42578125" style="166"/>
    <col min="210" max="210" width="11" style="166" customWidth="1"/>
    <col min="211" max="211" width="8.7109375" style="166" customWidth="1"/>
    <col min="212" max="212" width="9" style="166" customWidth="1"/>
    <col min="213" max="213" width="5.7109375" style="166" customWidth="1"/>
    <col min="214" max="214" width="7" style="166" customWidth="1"/>
    <col min="215" max="215" width="6.85546875" style="166" customWidth="1"/>
    <col min="216" max="216" width="5" style="166" customWidth="1"/>
    <col min="217" max="217" width="6.85546875" style="166" customWidth="1"/>
    <col min="218" max="218" width="7.42578125" style="166" customWidth="1"/>
    <col min="219" max="219" width="5.85546875" style="166" customWidth="1"/>
    <col min="220" max="221" width="6.85546875" style="166" customWidth="1"/>
    <col min="222" max="222" width="5.140625" style="166" customWidth="1"/>
    <col min="223" max="224" width="6.85546875" style="166" customWidth="1"/>
    <col min="225" max="225" width="4.85546875" style="166" customWidth="1"/>
    <col min="226" max="226" width="6.7109375" style="166" customWidth="1"/>
    <col min="227" max="227" width="7" style="166" customWidth="1"/>
    <col min="228" max="228" width="5" style="166" customWidth="1"/>
    <col min="229" max="16384" width="11.42578125" style="166"/>
  </cols>
  <sheetData>
    <row r="1" spans="1:19" ht="16.5" customHeight="1">
      <c r="A1" s="184" t="s">
        <v>445</v>
      </c>
      <c r="B1" s="185"/>
      <c r="C1" s="186"/>
      <c r="D1" s="186"/>
    </row>
    <row r="2" spans="1:19" ht="12" customHeight="1">
      <c r="A2" s="83" t="s">
        <v>2</v>
      </c>
      <c r="B2" s="106"/>
    </row>
    <row r="3" spans="1:19" ht="3.9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</row>
    <row r="4" spans="1:19" ht="13.5" customHeight="1">
      <c r="A4" s="486" t="s">
        <v>49</v>
      </c>
      <c r="B4" s="483" t="s">
        <v>379</v>
      </c>
      <c r="C4" s="484"/>
      <c r="D4" s="484"/>
      <c r="E4" s="484"/>
      <c r="F4" s="484"/>
      <c r="G4" s="484"/>
      <c r="H4" s="483" t="s">
        <v>380</v>
      </c>
      <c r="I4" s="484"/>
      <c r="J4" s="484"/>
      <c r="K4" s="484"/>
      <c r="L4" s="484"/>
      <c r="M4" s="485"/>
      <c r="N4" s="483" t="s">
        <v>381</v>
      </c>
      <c r="O4" s="484"/>
      <c r="P4" s="484"/>
      <c r="Q4" s="484"/>
      <c r="R4" s="484"/>
      <c r="S4" s="485"/>
    </row>
    <row r="5" spans="1:19" ht="15.6" customHeight="1">
      <c r="A5" s="487"/>
      <c r="B5" s="476" t="s">
        <v>457</v>
      </c>
      <c r="C5" s="477"/>
      <c r="D5" s="478"/>
      <c r="E5" s="476" t="s">
        <v>458</v>
      </c>
      <c r="F5" s="477"/>
      <c r="G5" s="478"/>
      <c r="H5" s="476" t="s">
        <v>457</v>
      </c>
      <c r="I5" s="477"/>
      <c r="J5" s="478"/>
      <c r="K5" s="476" t="s">
        <v>458</v>
      </c>
      <c r="L5" s="477"/>
      <c r="M5" s="478"/>
      <c r="N5" s="476" t="s">
        <v>457</v>
      </c>
      <c r="O5" s="477"/>
      <c r="P5" s="478"/>
      <c r="Q5" s="476" t="s">
        <v>458</v>
      </c>
      <c r="R5" s="477"/>
      <c r="S5" s="478"/>
    </row>
    <row r="6" spans="1:19" ht="13.5" customHeight="1">
      <c r="A6" s="488"/>
      <c r="B6" s="383" t="s">
        <v>344</v>
      </c>
      <c r="C6" s="383" t="s">
        <v>351</v>
      </c>
      <c r="D6" s="383" t="s">
        <v>53</v>
      </c>
      <c r="E6" s="383" t="s">
        <v>344</v>
      </c>
      <c r="F6" s="383" t="s">
        <v>351</v>
      </c>
      <c r="G6" s="383" t="s">
        <v>53</v>
      </c>
      <c r="H6" s="383" t="s">
        <v>344</v>
      </c>
      <c r="I6" s="383" t="s">
        <v>351</v>
      </c>
      <c r="J6" s="383" t="s">
        <v>53</v>
      </c>
      <c r="K6" s="383" t="s">
        <v>344</v>
      </c>
      <c r="L6" s="383" t="s">
        <v>351</v>
      </c>
      <c r="M6" s="383" t="s">
        <v>53</v>
      </c>
      <c r="N6" s="383" t="s">
        <v>344</v>
      </c>
      <c r="O6" s="383" t="s">
        <v>351</v>
      </c>
      <c r="P6" s="383" t="s">
        <v>53</v>
      </c>
      <c r="Q6" s="383" t="s">
        <v>344</v>
      </c>
      <c r="R6" s="383" t="s">
        <v>351</v>
      </c>
      <c r="S6" s="383" t="s">
        <v>53</v>
      </c>
    </row>
    <row r="7" spans="1:19" ht="17.25" customHeight="1">
      <c r="A7" s="403" t="s">
        <v>421</v>
      </c>
      <c r="B7" s="404">
        <v>20687.927912928953</v>
      </c>
      <c r="C7" s="404">
        <v>20670.47410142047</v>
      </c>
      <c r="D7" s="386">
        <v>-8.436713228092696E-2</v>
      </c>
      <c r="E7" s="404">
        <v>3932.3019248392857</v>
      </c>
      <c r="F7" s="404">
        <v>4278.7815567029256</v>
      </c>
      <c r="G7" s="386">
        <v>8.8111146724268998</v>
      </c>
      <c r="H7" s="404">
        <v>13474.549109848896</v>
      </c>
      <c r="I7" s="404">
        <v>13421.420117043681</v>
      </c>
      <c r="J7" s="386">
        <v>-0.39429143322043947</v>
      </c>
      <c r="K7" s="404">
        <v>2719.6966875801591</v>
      </c>
      <c r="L7" s="404">
        <v>3039.1588865882331</v>
      </c>
      <c r="M7" s="386">
        <v>11.746243633230824</v>
      </c>
      <c r="N7" s="404">
        <v>7213.3788030800561</v>
      </c>
      <c r="O7" s="404">
        <v>7249.0539843767883</v>
      </c>
      <c r="P7" s="386">
        <v>0.49456963609757487</v>
      </c>
      <c r="Q7" s="404">
        <v>1212.6052372591266</v>
      </c>
      <c r="R7" s="404">
        <v>1239.622670114692</v>
      </c>
      <c r="S7" s="386">
        <v>2.228048504609248</v>
      </c>
    </row>
    <row r="8" spans="1:19" ht="14.25" customHeight="1">
      <c r="A8" s="405" t="s">
        <v>23</v>
      </c>
      <c r="B8" s="406">
        <v>637.89441026136467</v>
      </c>
      <c r="C8" s="406">
        <v>612.81306959066728</v>
      </c>
      <c r="D8" s="407">
        <v>-3.9318953524644984</v>
      </c>
      <c r="E8" s="407">
        <v>142.86183722134746</v>
      </c>
      <c r="F8" s="407">
        <v>146.75907552176554</v>
      </c>
      <c r="G8" s="407">
        <v>2.7279771674640907</v>
      </c>
      <c r="H8" s="406">
        <v>548.01920994398859</v>
      </c>
      <c r="I8" s="406">
        <v>530.80177456218019</v>
      </c>
      <c r="J8" s="407">
        <v>-3.1417576372127831</v>
      </c>
      <c r="K8" s="406">
        <v>128.5960571214537</v>
      </c>
      <c r="L8" s="406">
        <v>133.32630304937572</v>
      </c>
      <c r="M8" s="407">
        <v>3.6783755535012341</v>
      </c>
      <c r="N8" s="406">
        <v>89.87520031737607</v>
      </c>
      <c r="O8" s="406">
        <v>82.011295028487069</v>
      </c>
      <c r="P8" s="407">
        <v>-8.7498055760868549</v>
      </c>
      <c r="Q8" s="406">
        <v>14.265780099893773</v>
      </c>
      <c r="R8" s="406">
        <v>13.432772472389816</v>
      </c>
      <c r="S8" s="407">
        <v>-5.839201373293001</v>
      </c>
    </row>
    <row r="9" spans="1:19" ht="14.25" customHeight="1">
      <c r="A9" s="405" t="s">
        <v>24</v>
      </c>
      <c r="B9" s="406">
        <v>491.6753717413402</v>
      </c>
      <c r="C9" s="406">
        <v>506.19805578261594</v>
      </c>
      <c r="D9" s="407">
        <v>2.9537139494788089</v>
      </c>
      <c r="E9" s="407">
        <v>61.800908424953391</v>
      </c>
      <c r="F9" s="407">
        <v>69.406024376504945</v>
      </c>
      <c r="G9" s="407">
        <v>12.305831977836812</v>
      </c>
      <c r="H9" s="406">
        <v>336.32266307661666</v>
      </c>
      <c r="I9" s="406">
        <v>351.93779425782361</v>
      </c>
      <c r="J9" s="407">
        <v>4.6429018604820405</v>
      </c>
      <c r="K9" s="406">
        <v>36.62615545889151</v>
      </c>
      <c r="L9" s="406">
        <v>43.778340021819055</v>
      </c>
      <c r="M9" s="407">
        <v>19.527532915528134</v>
      </c>
      <c r="N9" s="406">
        <v>155.35270866472354</v>
      </c>
      <c r="O9" s="406">
        <v>154.26026152479236</v>
      </c>
      <c r="P9" s="407">
        <v>-0.70320443674326549</v>
      </c>
      <c r="Q9" s="406">
        <v>25.174752966061881</v>
      </c>
      <c r="R9" s="406">
        <v>25.627684354685893</v>
      </c>
      <c r="S9" s="407">
        <v>1.7991492875207626</v>
      </c>
    </row>
    <row r="10" spans="1:19" s="108" customFormat="1" ht="14.25" customHeight="1">
      <c r="A10" s="405" t="s">
        <v>361</v>
      </c>
      <c r="B10" s="406">
        <v>380.52946995124586</v>
      </c>
      <c r="C10" s="406">
        <v>386.90634533578583</v>
      </c>
      <c r="D10" s="407">
        <v>1.6757901524307561</v>
      </c>
      <c r="E10" s="407">
        <v>127.81802815640471</v>
      </c>
      <c r="F10" s="407">
        <v>154.12288957840948</v>
      </c>
      <c r="G10" s="407">
        <v>20.579930547682057</v>
      </c>
      <c r="H10" s="406">
        <v>319.64068984281658</v>
      </c>
      <c r="I10" s="406">
        <v>327.43673211981462</v>
      </c>
      <c r="J10" s="407">
        <v>2.4390018307217876</v>
      </c>
      <c r="K10" s="406">
        <v>118.22556255253529</v>
      </c>
      <c r="L10" s="406">
        <v>144.78135722314209</v>
      </c>
      <c r="M10" s="407">
        <v>22.461973618274243</v>
      </c>
      <c r="N10" s="406">
        <v>60.888780108429287</v>
      </c>
      <c r="O10" s="406">
        <v>59.469613215971194</v>
      </c>
      <c r="P10" s="407">
        <v>-2.3307527099916903</v>
      </c>
      <c r="Q10" s="406">
        <v>9.5924656038694103</v>
      </c>
      <c r="R10" s="406">
        <v>9.3415323552673968</v>
      </c>
      <c r="S10" s="407">
        <v>-2.6159410829765362</v>
      </c>
    </row>
    <row r="11" spans="1:19" ht="14.25" customHeight="1">
      <c r="A11" s="405" t="s">
        <v>26</v>
      </c>
      <c r="B11" s="406">
        <v>1461.9908482614426</v>
      </c>
      <c r="C11" s="406">
        <v>1469.7090920857129</v>
      </c>
      <c r="D11" s="407">
        <v>0.52792695887586838</v>
      </c>
      <c r="E11" s="407">
        <v>232.18897976344164</v>
      </c>
      <c r="F11" s="407">
        <v>216.80417623605925</v>
      </c>
      <c r="G11" s="407">
        <v>-6.6259835169854782</v>
      </c>
      <c r="H11" s="406">
        <v>834.26095289415741</v>
      </c>
      <c r="I11" s="406">
        <v>841.32723620192485</v>
      </c>
      <c r="J11" s="407">
        <v>0.84701115199670163</v>
      </c>
      <c r="K11" s="406">
        <v>129.40467532080513</v>
      </c>
      <c r="L11" s="406">
        <v>111.55995410449515</v>
      </c>
      <c r="M11" s="407">
        <v>-13.789858188717997</v>
      </c>
      <c r="N11" s="406">
        <v>627.72989536728517</v>
      </c>
      <c r="O11" s="406">
        <v>628.38185588378803</v>
      </c>
      <c r="P11" s="407">
        <v>0.10386003937592481</v>
      </c>
      <c r="Q11" s="406">
        <v>102.7843044426365</v>
      </c>
      <c r="R11" s="406">
        <v>105.2442221315641</v>
      </c>
      <c r="S11" s="407">
        <v>2.3932814472665598</v>
      </c>
    </row>
    <row r="12" spans="1:19" ht="14.25" customHeight="1">
      <c r="A12" s="405" t="s">
        <v>27</v>
      </c>
      <c r="B12" s="406">
        <v>533.63799171069195</v>
      </c>
      <c r="C12" s="406">
        <v>464.46489548760292</v>
      </c>
      <c r="D12" s="407">
        <v>-12.96255088610534</v>
      </c>
      <c r="E12" s="407">
        <v>108.13647347071966</v>
      </c>
      <c r="F12" s="407">
        <v>127.38440385848743</v>
      </c>
      <c r="G12" s="407">
        <v>17.799665339539274</v>
      </c>
      <c r="H12" s="406">
        <v>422.52786519582878</v>
      </c>
      <c r="I12" s="406">
        <v>355.35644806574157</v>
      </c>
      <c r="J12" s="407">
        <v>-15.897511776875428</v>
      </c>
      <c r="K12" s="406">
        <v>87.708245307345535</v>
      </c>
      <c r="L12" s="406">
        <v>107.35063854764732</v>
      </c>
      <c r="M12" s="407">
        <v>22.395150161163624</v>
      </c>
      <c r="N12" s="406">
        <v>111.1101265148632</v>
      </c>
      <c r="O12" s="406">
        <v>109.10844742186134</v>
      </c>
      <c r="P12" s="407">
        <v>-1.8015271476935046</v>
      </c>
      <c r="Q12" s="406">
        <v>20.428228163374133</v>
      </c>
      <c r="R12" s="406">
        <v>20.033765310840113</v>
      </c>
      <c r="S12" s="407">
        <v>-1.9309694868263394</v>
      </c>
    </row>
    <row r="13" spans="1:19" ht="14.25" customHeight="1">
      <c r="A13" s="405" t="s">
        <v>28</v>
      </c>
      <c r="B13" s="406">
        <v>872.01626241002089</v>
      </c>
      <c r="C13" s="406">
        <v>903.72481984099659</v>
      </c>
      <c r="D13" s="407">
        <v>3.6362346435308002</v>
      </c>
      <c r="E13" s="407">
        <v>228.05017157889424</v>
      </c>
      <c r="F13" s="407">
        <v>240.2488443193192</v>
      </c>
      <c r="G13" s="407">
        <v>5.3491179839804781</v>
      </c>
      <c r="H13" s="406">
        <v>590.1208512954006</v>
      </c>
      <c r="I13" s="406">
        <v>617.52437477807098</v>
      </c>
      <c r="J13" s="407">
        <v>4.643713812605621</v>
      </c>
      <c r="K13" s="406">
        <v>182.05102700670631</v>
      </c>
      <c r="L13" s="406">
        <v>192.68658312345593</v>
      </c>
      <c r="M13" s="407">
        <v>5.8420742204095655</v>
      </c>
      <c r="N13" s="406">
        <v>281.89541111462029</v>
      </c>
      <c r="O13" s="406">
        <v>286.20044506292567</v>
      </c>
      <c r="P13" s="407">
        <v>1.5271741853771781</v>
      </c>
      <c r="Q13" s="406">
        <v>45.99914457218793</v>
      </c>
      <c r="R13" s="406">
        <v>47.562261195863265</v>
      </c>
      <c r="S13" s="407">
        <v>3.3981428094217891</v>
      </c>
    </row>
    <row r="14" spans="1:19" ht="14.25" customHeight="1">
      <c r="A14" s="405" t="s">
        <v>29</v>
      </c>
      <c r="B14" s="406">
        <v>785.30918049253387</v>
      </c>
      <c r="C14" s="406">
        <v>815.71859077212355</v>
      </c>
      <c r="D14" s="407">
        <v>3.8722850865588132</v>
      </c>
      <c r="E14" s="407">
        <v>160.84900300816031</v>
      </c>
      <c r="F14" s="407">
        <v>196.03743502204725</v>
      </c>
      <c r="G14" s="407">
        <v>21.876686430006487</v>
      </c>
      <c r="H14" s="406">
        <v>616.94272186976673</v>
      </c>
      <c r="I14" s="406">
        <v>633.9219889504642</v>
      </c>
      <c r="J14" s="407">
        <v>2.7521626366283192</v>
      </c>
      <c r="K14" s="406">
        <v>133.08219705066691</v>
      </c>
      <c r="L14" s="406">
        <v>165.50976849924615</v>
      </c>
      <c r="M14" s="407">
        <v>24.366573566735951</v>
      </c>
      <c r="N14" s="406">
        <v>168.36645862276714</v>
      </c>
      <c r="O14" s="406">
        <v>181.79660182165935</v>
      </c>
      <c r="P14" s="407">
        <v>7.9767331977820266</v>
      </c>
      <c r="Q14" s="406">
        <v>27.766805957493396</v>
      </c>
      <c r="R14" s="406">
        <v>30.527666522801095</v>
      </c>
      <c r="S14" s="407">
        <v>9.9430253862620823</v>
      </c>
    </row>
    <row r="15" spans="1:19" ht="14.25" customHeight="1">
      <c r="A15" s="405" t="s">
        <v>30</v>
      </c>
      <c r="B15" s="406">
        <v>330.58813921088245</v>
      </c>
      <c r="C15" s="406">
        <v>287.87822813771101</v>
      </c>
      <c r="D15" s="407">
        <v>-12.91937187314719</v>
      </c>
      <c r="E15" s="407">
        <v>95.863526990771874</v>
      </c>
      <c r="F15" s="407">
        <v>90.42574487226328</v>
      </c>
      <c r="G15" s="407">
        <v>-5.6724202511681536</v>
      </c>
      <c r="H15" s="406">
        <v>281.45804628976521</v>
      </c>
      <c r="I15" s="406">
        <v>240.10141487427126</v>
      </c>
      <c r="J15" s="407">
        <v>-14.693710824993323</v>
      </c>
      <c r="K15" s="406">
        <v>86.425061315327525</v>
      </c>
      <c r="L15" s="406">
        <v>81.36744514448236</v>
      </c>
      <c r="M15" s="407">
        <v>-5.8520249727010532</v>
      </c>
      <c r="N15" s="406">
        <v>49.130092921117267</v>
      </c>
      <c r="O15" s="406">
        <v>47.776813263439749</v>
      </c>
      <c r="P15" s="407">
        <v>-2.754482186407281</v>
      </c>
      <c r="Q15" s="406">
        <v>9.4384656754443412</v>
      </c>
      <c r="R15" s="406">
        <v>9.0582997277809145</v>
      </c>
      <c r="S15" s="407">
        <v>-4.0278363108581132</v>
      </c>
    </row>
    <row r="16" spans="1:19" ht="14.25" customHeight="1">
      <c r="A16" s="405" t="s">
        <v>155</v>
      </c>
      <c r="B16" s="406">
        <v>647.09816839765381</v>
      </c>
      <c r="C16" s="406">
        <v>668.42671520013391</v>
      </c>
      <c r="D16" s="407">
        <v>3.2960295429816933</v>
      </c>
      <c r="E16" s="407">
        <v>113.85391560512143</v>
      </c>
      <c r="F16" s="407">
        <v>113.87353592469462</v>
      </c>
      <c r="G16" s="407">
        <v>1.7232889592699863E-2</v>
      </c>
      <c r="H16" s="406">
        <v>489.52987364571482</v>
      </c>
      <c r="I16" s="406">
        <v>507.44897441473415</v>
      </c>
      <c r="J16" s="407">
        <v>3.660471348881944</v>
      </c>
      <c r="K16" s="406">
        <v>86.970393527889669</v>
      </c>
      <c r="L16" s="406">
        <v>87.079957392135356</v>
      </c>
      <c r="M16" s="407">
        <v>0.12597834711480793</v>
      </c>
      <c r="N16" s="406">
        <v>157.56829475193896</v>
      </c>
      <c r="O16" s="406">
        <v>160.97774078539979</v>
      </c>
      <c r="P16" s="407">
        <v>2.1637893834088429</v>
      </c>
      <c r="Q16" s="406">
        <v>26.883522077231763</v>
      </c>
      <c r="R16" s="406">
        <v>26.793578532559263</v>
      </c>
      <c r="S16" s="407">
        <v>-0.33456756303771318</v>
      </c>
    </row>
    <row r="17" spans="1:19" ht="14.25" customHeight="1">
      <c r="A17" s="405" t="s">
        <v>31</v>
      </c>
      <c r="B17" s="406">
        <v>1609.2748115018244</v>
      </c>
      <c r="C17" s="406">
        <v>1680.2038636016346</v>
      </c>
      <c r="D17" s="407">
        <v>4.4075164535519518</v>
      </c>
      <c r="E17" s="407">
        <v>239.63074655305252</v>
      </c>
      <c r="F17" s="407">
        <v>259.55090923115898</v>
      </c>
      <c r="G17" s="407">
        <v>8.3128575796913786</v>
      </c>
      <c r="H17" s="406">
        <v>1004.66352342817</v>
      </c>
      <c r="I17" s="406">
        <v>1069.3422778258732</v>
      </c>
      <c r="J17" s="407">
        <v>6.4378523644416541</v>
      </c>
      <c r="K17" s="406">
        <v>138.71236623952447</v>
      </c>
      <c r="L17" s="406">
        <v>156.44124895889703</v>
      </c>
      <c r="M17" s="407">
        <v>12.781039787583781</v>
      </c>
      <c r="N17" s="406">
        <v>604.61128807365446</v>
      </c>
      <c r="O17" s="406">
        <v>610.86158577576123</v>
      </c>
      <c r="P17" s="407">
        <v>1.0337712552507483</v>
      </c>
      <c r="Q17" s="406">
        <v>100.91838031352803</v>
      </c>
      <c r="R17" s="406">
        <v>103.10966027226196</v>
      </c>
      <c r="S17" s="407">
        <v>2.1713388105577769</v>
      </c>
    </row>
    <row r="18" spans="1:19" ht="14.25" customHeight="1">
      <c r="A18" s="405" t="s">
        <v>362</v>
      </c>
      <c r="B18" s="406">
        <v>1138.2091404646567</v>
      </c>
      <c r="C18" s="406">
        <v>1157.6230268271518</v>
      </c>
      <c r="D18" s="407">
        <v>1.7056519467564257</v>
      </c>
      <c r="E18" s="407">
        <v>267.93495612894418</v>
      </c>
      <c r="F18" s="407">
        <v>263.62991641126661</v>
      </c>
      <c r="G18" s="407">
        <v>-1.6067480629909925</v>
      </c>
      <c r="H18" s="406">
        <v>1025.8873039215719</v>
      </c>
      <c r="I18" s="406">
        <v>1034.4216162362463</v>
      </c>
      <c r="J18" s="407">
        <v>0.83189569478547831</v>
      </c>
      <c r="K18" s="406">
        <v>250.20290542312756</v>
      </c>
      <c r="L18" s="406">
        <v>244.13913233811601</v>
      </c>
      <c r="M18" s="407">
        <v>-2.4235422345543434</v>
      </c>
      <c r="N18" s="406">
        <v>112.32183654308473</v>
      </c>
      <c r="O18" s="406">
        <v>123.20141059090544</v>
      </c>
      <c r="P18" s="407">
        <v>9.686072078822793</v>
      </c>
      <c r="Q18" s="406">
        <v>17.732050705816597</v>
      </c>
      <c r="R18" s="406">
        <v>19.4907840731506</v>
      </c>
      <c r="S18" s="407">
        <v>9.9183867478852328</v>
      </c>
    </row>
    <row r="19" spans="1:19" ht="14.25" customHeight="1">
      <c r="A19" s="405" t="s">
        <v>32</v>
      </c>
      <c r="B19" s="406">
        <v>2364.7294616176337</v>
      </c>
      <c r="C19" s="406">
        <v>2292.3537195073718</v>
      </c>
      <c r="D19" s="407">
        <v>-3.0606351925243858</v>
      </c>
      <c r="E19" s="407">
        <v>411.06637163030746</v>
      </c>
      <c r="F19" s="407">
        <v>520.3609071597399</v>
      </c>
      <c r="G19" s="407">
        <v>26.588050755882907</v>
      </c>
      <c r="H19" s="406">
        <v>1358.6282221612612</v>
      </c>
      <c r="I19" s="406">
        <v>1283.8927161069921</v>
      </c>
      <c r="J19" s="407">
        <v>-5.5008062422980064</v>
      </c>
      <c r="K19" s="406">
        <v>244.31002827628964</v>
      </c>
      <c r="L19" s="406">
        <v>349.87238484412416</v>
      </c>
      <c r="M19" s="407">
        <v>43.208360013963201</v>
      </c>
      <c r="N19" s="406">
        <v>1006.1012394563725</v>
      </c>
      <c r="O19" s="406">
        <v>1008.4610034003798</v>
      </c>
      <c r="P19" s="407">
        <v>0.2345453768929362</v>
      </c>
      <c r="Q19" s="406">
        <v>166.75634335401782</v>
      </c>
      <c r="R19" s="406">
        <v>170.48852231561571</v>
      </c>
      <c r="S19" s="407">
        <v>2.2381031429039133</v>
      </c>
    </row>
    <row r="20" spans="1:19" ht="14.25" customHeight="1">
      <c r="A20" s="405" t="s">
        <v>33</v>
      </c>
      <c r="B20" s="406">
        <v>745.28659532225458</v>
      </c>
      <c r="C20" s="406">
        <v>738.14683816249146</v>
      </c>
      <c r="D20" s="407">
        <v>-0.95798813564813567</v>
      </c>
      <c r="E20" s="407">
        <v>247.36715078777888</v>
      </c>
      <c r="F20" s="407">
        <v>314.99949624647348</v>
      </c>
      <c r="G20" s="407">
        <v>27.340875796688824</v>
      </c>
      <c r="H20" s="406">
        <v>629.26574096358036</v>
      </c>
      <c r="I20" s="406">
        <v>625.93537875533104</v>
      </c>
      <c r="J20" s="407">
        <v>-0.52924575285945297</v>
      </c>
      <c r="K20" s="406">
        <v>227.60466666077929</v>
      </c>
      <c r="L20" s="406">
        <v>295.5049782885211</v>
      </c>
      <c r="M20" s="407">
        <v>29.832565660413302</v>
      </c>
      <c r="N20" s="406">
        <v>116.02085435867421</v>
      </c>
      <c r="O20" s="406">
        <v>112.21145940716045</v>
      </c>
      <c r="P20" s="407">
        <v>-3.2833708841146447</v>
      </c>
      <c r="Q20" s="406">
        <v>19.762484126999581</v>
      </c>
      <c r="R20" s="406">
        <v>19.494517957952404</v>
      </c>
      <c r="S20" s="407">
        <v>-1.355933633267703</v>
      </c>
    </row>
    <row r="21" spans="1:19" ht="14.25" customHeight="1">
      <c r="A21" s="405" t="s">
        <v>34</v>
      </c>
      <c r="B21" s="406">
        <v>3467.5992993101954</v>
      </c>
      <c r="C21" s="406">
        <v>3485.5058574357699</v>
      </c>
      <c r="D21" s="407">
        <v>0.51639640511913498</v>
      </c>
      <c r="E21" s="407">
        <v>598.3390962828596</v>
      </c>
      <c r="F21" s="407">
        <v>619.96783888572952</v>
      </c>
      <c r="G21" s="407">
        <v>3.6147968162597133</v>
      </c>
      <c r="H21" s="406">
        <v>753.5438359268303</v>
      </c>
      <c r="I21" s="406">
        <v>763.54725188813211</v>
      </c>
      <c r="J21" s="407">
        <v>1.3275161290382087</v>
      </c>
      <c r="K21" s="406">
        <v>137.70775704851158</v>
      </c>
      <c r="L21" s="406">
        <v>148.53803375176093</v>
      </c>
      <c r="M21" s="407">
        <v>7.864681652925376</v>
      </c>
      <c r="N21" s="406">
        <v>2714.0554633833653</v>
      </c>
      <c r="O21" s="406">
        <v>2721.9586055476379</v>
      </c>
      <c r="P21" s="407">
        <v>0.29119309722656084</v>
      </c>
      <c r="Q21" s="406">
        <v>460.63133923434799</v>
      </c>
      <c r="R21" s="406">
        <v>471.42980513396856</v>
      </c>
      <c r="S21" s="407">
        <v>2.3442751241306237</v>
      </c>
    </row>
    <row r="22" spans="1:19" ht="14.25" customHeight="1">
      <c r="A22" s="405" t="s">
        <v>35</v>
      </c>
      <c r="B22" s="406">
        <v>272.34925848419175</v>
      </c>
      <c r="C22" s="406">
        <v>274.14549880156937</v>
      </c>
      <c r="D22" s="407">
        <v>0.65953560049141213</v>
      </c>
      <c r="E22" s="407">
        <v>37.850204048878027</v>
      </c>
      <c r="F22" s="407">
        <v>38.16734295727715</v>
      </c>
      <c r="G22" s="407">
        <v>0.8378789926458019</v>
      </c>
      <c r="H22" s="406">
        <v>197.76556998349892</v>
      </c>
      <c r="I22" s="406">
        <v>200.93815572605973</v>
      </c>
      <c r="J22" s="407">
        <v>1.6042154065672332</v>
      </c>
      <c r="K22" s="406">
        <v>24.958616145370726</v>
      </c>
      <c r="L22" s="406">
        <v>25.366950520452356</v>
      </c>
      <c r="M22" s="407">
        <v>1.6360457354818836</v>
      </c>
      <c r="N22" s="406">
        <v>74.583688500692801</v>
      </c>
      <c r="O22" s="406">
        <v>73.207343075509627</v>
      </c>
      <c r="P22" s="407">
        <v>-1.8453705533353904</v>
      </c>
      <c r="Q22" s="406">
        <v>12.891587903507302</v>
      </c>
      <c r="R22" s="406">
        <v>12.800392436824792</v>
      </c>
      <c r="S22" s="407">
        <v>-0.70740289997711647</v>
      </c>
    </row>
    <row r="23" spans="1:19" ht="14.25" customHeight="1">
      <c r="A23" s="405" t="s">
        <v>54</v>
      </c>
      <c r="B23" s="406">
        <v>94.286922633601847</v>
      </c>
      <c r="C23" s="406">
        <v>97.033776044387807</v>
      </c>
      <c r="D23" s="407">
        <v>2.9132920388760697</v>
      </c>
      <c r="E23" s="407">
        <v>12.929600496577276</v>
      </c>
      <c r="F23" s="407">
        <v>13.757366878136605</v>
      </c>
      <c r="G23" s="407">
        <v>6.4021033115327475</v>
      </c>
      <c r="H23" s="406">
        <v>55.961976067353056</v>
      </c>
      <c r="I23" s="406">
        <v>59.004795170775608</v>
      </c>
      <c r="J23" s="407">
        <v>5.4372974602618918</v>
      </c>
      <c r="K23" s="406">
        <v>6.9921643537096738</v>
      </c>
      <c r="L23" s="406">
        <v>7.5314943167181401</v>
      </c>
      <c r="M23" s="407">
        <v>7.7133479095399915</v>
      </c>
      <c r="N23" s="406">
        <v>38.324946566248784</v>
      </c>
      <c r="O23" s="406">
        <v>38.028980873612198</v>
      </c>
      <c r="P23" s="407">
        <v>-0.77225337320425691</v>
      </c>
      <c r="Q23" s="406">
        <v>5.9374361428676021</v>
      </c>
      <c r="R23" s="406">
        <v>6.2258725614184645</v>
      </c>
      <c r="S23" s="407">
        <v>4.8579287694293649</v>
      </c>
    </row>
    <row r="24" spans="1:19" ht="14.25" customHeight="1">
      <c r="A24" s="405" t="s">
        <v>64</v>
      </c>
      <c r="B24" s="406">
        <v>93.994542668374905</v>
      </c>
      <c r="C24" s="406">
        <v>88.618995683727292</v>
      </c>
      <c r="D24" s="407">
        <v>-5.7189990312663692</v>
      </c>
      <c r="E24" s="407">
        <v>15.529585323255379</v>
      </c>
      <c r="F24" s="407">
        <v>13.753970002605378</v>
      </c>
      <c r="G24" s="407">
        <v>-11.433758749443468</v>
      </c>
      <c r="H24" s="406">
        <v>79.209537379577242</v>
      </c>
      <c r="I24" s="406">
        <v>72.977344475809218</v>
      </c>
      <c r="J24" s="407">
        <v>-7.8679829600606705</v>
      </c>
      <c r="K24" s="406">
        <v>13.108747719076284</v>
      </c>
      <c r="L24" s="406">
        <v>11.036105682943919</v>
      </c>
      <c r="M24" s="407">
        <v>-15.811136811460546</v>
      </c>
      <c r="N24" s="406">
        <v>14.78500528879766</v>
      </c>
      <c r="O24" s="406">
        <v>15.641651207918068</v>
      </c>
      <c r="P24" s="407">
        <v>5.7940183475583495</v>
      </c>
      <c r="Q24" s="406">
        <v>2.4208376041790958</v>
      </c>
      <c r="R24" s="406">
        <v>2.7178643196614587</v>
      </c>
      <c r="S24" s="407">
        <v>12.269584501232345</v>
      </c>
    </row>
    <row r="25" spans="1:19" ht="14.25" customHeight="1">
      <c r="A25" s="405" t="s">
        <v>36</v>
      </c>
      <c r="B25" s="406">
        <v>284.84498221596164</v>
      </c>
      <c r="C25" s="406">
        <v>300.69904454158268</v>
      </c>
      <c r="D25" s="407">
        <v>5.5658562781355059</v>
      </c>
      <c r="E25" s="407">
        <v>90.150948708579961</v>
      </c>
      <c r="F25" s="407">
        <v>89.504260164155454</v>
      </c>
      <c r="G25" s="407">
        <v>-0.71733969934689723</v>
      </c>
      <c r="H25" s="406">
        <v>234.97074916200194</v>
      </c>
      <c r="I25" s="406">
        <v>249.63135841667906</v>
      </c>
      <c r="J25" s="407">
        <v>6.2393337498231727</v>
      </c>
      <c r="K25" s="406">
        <v>80.160203303088068</v>
      </c>
      <c r="L25" s="406">
        <v>79.456039126339306</v>
      </c>
      <c r="M25" s="407">
        <v>-0.87844609635818749</v>
      </c>
      <c r="N25" s="406">
        <v>49.874233053959678</v>
      </c>
      <c r="O25" s="406">
        <v>51.067686124903645</v>
      </c>
      <c r="P25" s="407">
        <v>2.3929251596766399</v>
      </c>
      <c r="Q25" s="406">
        <v>9.9907454054918929</v>
      </c>
      <c r="R25" s="406">
        <v>10.048221037816148</v>
      </c>
      <c r="S25" s="407">
        <v>0.57528872963434896</v>
      </c>
    </row>
    <row r="26" spans="1:19" ht="14.25" customHeight="1">
      <c r="A26" s="405" t="s">
        <v>37</v>
      </c>
      <c r="B26" s="406">
        <v>768.12361685284259</v>
      </c>
      <c r="C26" s="406">
        <v>729.04908228802753</v>
      </c>
      <c r="D26" s="407">
        <v>-5.0870112189638554</v>
      </c>
      <c r="E26" s="407">
        <v>229.07593776112893</v>
      </c>
      <c r="F26" s="407">
        <v>205.60998897628485</v>
      </c>
      <c r="G26" s="407">
        <v>-10.243742321514981</v>
      </c>
      <c r="H26" s="406">
        <v>608.14850843569934</v>
      </c>
      <c r="I26" s="406">
        <v>568.69144609055422</v>
      </c>
      <c r="J26" s="407">
        <v>-6.4880636551486344</v>
      </c>
      <c r="K26" s="406">
        <v>200.69497537328337</v>
      </c>
      <c r="L26" s="406">
        <v>176.84761855788301</v>
      </c>
      <c r="M26" s="407">
        <v>-11.882388570538637</v>
      </c>
      <c r="N26" s="406">
        <v>159.97510841714319</v>
      </c>
      <c r="O26" s="406">
        <v>160.35763619747328</v>
      </c>
      <c r="P26" s="407">
        <v>0.23911706271992905</v>
      </c>
      <c r="Q26" s="406">
        <v>28.380962387845557</v>
      </c>
      <c r="R26" s="406">
        <v>28.762370418401829</v>
      </c>
      <c r="S26" s="407">
        <v>1.3438868821432637</v>
      </c>
    </row>
    <row r="27" spans="1:19" ht="14.25" customHeight="1">
      <c r="A27" s="405" t="s">
        <v>38</v>
      </c>
      <c r="B27" s="406">
        <v>1396.7844104578458</v>
      </c>
      <c r="C27" s="406">
        <v>1478.5911301046006</v>
      </c>
      <c r="D27" s="407">
        <v>5.8567892821727474</v>
      </c>
      <c r="E27" s="407">
        <v>98.210813773657463</v>
      </c>
      <c r="F27" s="407">
        <v>104.3763287428325</v>
      </c>
      <c r="G27" s="407">
        <v>6.2778371670806576</v>
      </c>
      <c r="H27" s="406">
        <v>1064.4431170382916</v>
      </c>
      <c r="I27" s="406">
        <v>1143.8404569794643</v>
      </c>
      <c r="J27" s="407">
        <v>7.4590495884916841</v>
      </c>
      <c r="K27" s="406">
        <v>42.296122437110988</v>
      </c>
      <c r="L27" s="406">
        <v>47.405229108523521</v>
      </c>
      <c r="M27" s="407">
        <v>12.079373656554759</v>
      </c>
      <c r="N27" s="406">
        <v>332.34129341955418</v>
      </c>
      <c r="O27" s="406">
        <v>334.7506731251363</v>
      </c>
      <c r="P27" s="407">
        <v>0.72497151370849444</v>
      </c>
      <c r="Q27" s="406">
        <v>55.914691336546483</v>
      </c>
      <c r="R27" s="406">
        <v>56.971099634308977</v>
      </c>
      <c r="S27" s="407">
        <v>1.8893215226818416</v>
      </c>
    </row>
    <row r="28" spans="1:19" ht="14.25" customHeight="1">
      <c r="A28" s="405" t="s">
        <v>67</v>
      </c>
      <c r="B28" s="406">
        <v>1473.3357358788351</v>
      </c>
      <c r="C28" s="406">
        <v>1336.0660262122985</v>
      </c>
      <c r="D28" s="407">
        <v>-9.3169334268985224</v>
      </c>
      <c r="E28" s="407">
        <v>255.83799221984515</v>
      </c>
      <c r="F28" s="407">
        <v>260.84851206450566</v>
      </c>
      <c r="G28" s="407">
        <v>1.958473720492182</v>
      </c>
      <c r="H28" s="406">
        <v>1316.8404481003292</v>
      </c>
      <c r="I28" s="406">
        <v>1177.2310098796447</v>
      </c>
      <c r="J28" s="407">
        <v>-10.601849177862421</v>
      </c>
      <c r="K28" s="406">
        <v>230.64145917495199</v>
      </c>
      <c r="L28" s="406">
        <v>234.40097565258168</v>
      </c>
      <c r="M28" s="407">
        <v>1.6300263149037431</v>
      </c>
      <c r="N28" s="406">
        <v>156.49528777850583</v>
      </c>
      <c r="O28" s="406">
        <v>158.83501633265374</v>
      </c>
      <c r="P28" s="407">
        <v>1.4950792368006782</v>
      </c>
      <c r="Q28" s="406">
        <v>25.196533044893144</v>
      </c>
      <c r="R28" s="406">
        <v>26.447536411923959</v>
      </c>
      <c r="S28" s="407">
        <v>4.9649821457653731</v>
      </c>
    </row>
    <row r="29" spans="1:19" ht="14.25" customHeight="1">
      <c r="A29" s="405" t="s">
        <v>65</v>
      </c>
      <c r="B29" s="406">
        <v>421.95823515489502</v>
      </c>
      <c r="C29" s="406">
        <v>411.34731031321581</v>
      </c>
      <c r="D29" s="407">
        <v>-2.5146860418031824</v>
      </c>
      <c r="E29" s="407">
        <v>52.066837702120374</v>
      </c>
      <c r="F29" s="407">
        <v>87.263933708879975</v>
      </c>
      <c r="G29" s="407">
        <v>67.599834290159393</v>
      </c>
      <c r="H29" s="406">
        <v>342.12074124887556</v>
      </c>
      <c r="I29" s="406">
        <v>332.37271617980389</v>
      </c>
      <c r="J29" s="407">
        <v>-2.8492938000448387</v>
      </c>
      <c r="K29" s="406">
        <v>38.542821835809882</v>
      </c>
      <c r="L29" s="406">
        <v>73.593788100659964</v>
      </c>
      <c r="M29" s="407">
        <v>90.940321946756015</v>
      </c>
      <c r="N29" s="406">
        <v>79.837493906019461</v>
      </c>
      <c r="O29" s="406">
        <v>78.974594133411912</v>
      </c>
      <c r="P29" s="407">
        <v>-1.0808202141506462</v>
      </c>
      <c r="Q29" s="406">
        <v>13.524015866310492</v>
      </c>
      <c r="R29" s="406">
        <v>13.670145608220009</v>
      </c>
      <c r="S29" s="407">
        <v>1.0805203377018957</v>
      </c>
    </row>
    <row r="30" spans="1:19" ht="14.25" customHeight="1">
      <c r="A30" s="405" t="s">
        <v>66</v>
      </c>
      <c r="B30" s="406">
        <v>87.783203092004157</v>
      </c>
      <c r="C30" s="406">
        <v>103.2202006791951</v>
      </c>
      <c r="D30" s="407">
        <v>17.585366042079453</v>
      </c>
      <c r="E30" s="407">
        <v>41.783183301708682</v>
      </c>
      <c r="F30" s="407">
        <v>49.218518691489166</v>
      </c>
      <c r="G30" s="407">
        <v>17.795042891038946</v>
      </c>
      <c r="H30" s="406">
        <v>82.397509374467575</v>
      </c>
      <c r="I30" s="406">
        <v>98.382499555072684</v>
      </c>
      <c r="J30" s="407">
        <v>19.399846308410829</v>
      </c>
      <c r="K30" s="406">
        <v>40.880941269492581</v>
      </c>
      <c r="L30" s="406">
        <v>48.394492429420403</v>
      </c>
      <c r="M30" s="407">
        <v>18.379105095446558</v>
      </c>
      <c r="N30" s="406">
        <v>5.3856937175365838</v>
      </c>
      <c r="O30" s="406">
        <v>4.8377011241224173</v>
      </c>
      <c r="P30" s="407">
        <v>-10.174967648639665</v>
      </c>
      <c r="Q30" s="406">
        <v>0.902242032216102</v>
      </c>
      <c r="R30" s="406">
        <v>0.82402626206875973</v>
      </c>
      <c r="S30" s="407">
        <v>-8.6690452621928316</v>
      </c>
    </row>
    <row r="31" spans="1:19" ht="14.25" customHeight="1">
      <c r="A31" s="408" t="s">
        <v>68</v>
      </c>
      <c r="B31" s="409">
        <v>328.62785483666028</v>
      </c>
      <c r="C31" s="409">
        <v>382.02991898409567</v>
      </c>
      <c r="D31" s="410">
        <v>16.25001148304306</v>
      </c>
      <c r="E31" s="410">
        <v>63.105655900777485</v>
      </c>
      <c r="F31" s="410">
        <v>82.7101368728392</v>
      </c>
      <c r="G31" s="410">
        <v>31.066123459498307</v>
      </c>
      <c r="H31" s="409">
        <v>281.87945260333498</v>
      </c>
      <c r="I31" s="409">
        <v>335.35435553221913</v>
      </c>
      <c r="J31" s="410">
        <v>18.97084105812241</v>
      </c>
      <c r="K31" s="409">
        <v>53.793537658411623</v>
      </c>
      <c r="L31" s="409">
        <v>73.190067805492802</v>
      </c>
      <c r="M31" s="410">
        <v>36.057361146703037</v>
      </c>
      <c r="N31" s="409">
        <v>46.748402233325265</v>
      </c>
      <c r="O31" s="409">
        <v>46.675563451876535</v>
      </c>
      <c r="P31" s="410">
        <v>-0.15581020520271105</v>
      </c>
      <c r="Q31" s="409">
        <v>9.3121182423658606</v>
      </c>
      <c r="R31" s="409">
        <v>9.5200690673463981</v>
      </c>
      <c r="S31" s="410">
        <v>2.2331205378649077</v>
      </c>
    </row>
    <row r="32" spans="1:19" ht="9" customHeight="1">
      <c r="A32" s="168" t="s">
        <v>201</v>
      </c>
      <c r="B32" s="168"/>
      <c r="C32" s="168"/>
      <c r="D32" s="167"/>
      <c r="E32" s="167"/>
      <c r="F32" s="167"/>
      <c r="H32" s="167"/>
      <c r="I32" s="167"/>
      <c r="K32" s="167"/>
      <c r="L32" s="167"/>
      <c r="M32" s="245"/>
    </row>
    <row r="33" spans="1:15" ht="9" customHeight="1">
      <c r="A33" s="164" t="s">
        <v>358</v>
      </c>
      <c r="B33" s="168"/>
      <c r="C33" s="168"/>
      <c r="D33" s="167"/>
      <c r="E33" s="167"/>
      <c r="F33" s="167"/>
      <c r="H33" s="167"/>
      <c r="I33" s="167"/>
      <c r="K33" s="167"/>
      <c r="L33" s="167"/>
      <c r="M33" s="245"/>
      <c r="N33" s="63"/>
      <c r="O33" s="63"/>
    </row>
    <row r="34" spans="1:15" ht="17.25" customHeight="1">
      <c r="H34" s="63"/>
      <c r="I34" s="63"/>
    </row>
    <row r="35" spans="1:15" ht="17.25" customHeight="1">
      <c r="B35" s="109"/>
      <c r="C35" s="109"/>
      <c r="D35" s="78"/>
      <c r="E35" s="109"/>
      <c r="F35" s="109"/>
      <c r="G35" s="78"/>
      <c r="H35" s="63"/>
      <c r="I35" s="63"/>
      <c r="J35" s="78"/>
    </row>
    <row r="64" spans="5:6" ht="17.25" customHeight="1">
      <c r="E64" s="167"/>
      <c r="F64" s="167"/>
    </row>
    <row r="65" spans="5:6" ht="17.25" customHeight="1">
      <c r="E65" s="167"/>
      <c r="F65" s="167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zoomScaleNormal="100" workbookViewId="0">
      <selection activeCell="K14" sqref="K14"/>
    </sheetView>
  </sheetViews>
  <sheetFormatPr baseColWidth="10" defaultColWidth="0" defaultRowHeight="17.25" customHeight="1"/>
  <cols>
    <col min="1" max="1" width="2" style="162" customWidth="1"/>
    <col min="2" max="2" width="18.42578125" style="162" customWidth="1"/>
    <col min="3" max="4" width="10.28515625" style="162" customWidth="1"/>
    <col min="5" max="5" width="6.85546875" style="162" customWidth="1"/>
    <col min="6" max="6" width="8.42578125" style="162" customWidth="1"/>
    <col min="7" max="7" width="8.28515625" style="162" customWidth="1"/>
    <col min="8" max="8" width="7.42578125" style="162" customWidth="1"/>
    <col min="9" max="238" width="10.85546875" style="162" customWidth="1"/>
    <col min="239" max="239" width="2" style="162" customWidth="1"/>
    <col min="240" max="240" width="17.140625" style="162" customWidth="1"/>
    <col min="241" max="241" width="11.28515625" style="162" customWidth="1"/>
    <col min="242" max="242" width="12.42578125" style="162" customWidth="1"/>
    <col min="243" max="243" width="6.42578125" style="162" customWidth="1"/>
    <col min="244" max="244" width="9.85546875" style="162" customWidth="1"/>
    <col min="245" max="245" width="8.42578125" style="162" customWidth="1"/>
    <col min="246" max="246" width="7.7109375" style="162" customWidth="1"/>
    <col min="247" max="16384" width="0" style="162" hidden="1"/>
  </cols>
  <sheetData>
    <row r="1" spans="1:11" s="42" customFormat="1" ht="16.5" customHeight="1">
      <c r="A1" s="178" t="s">
        <v>110</v>
      </c>
      <c r="B1" s="178"/>
    </row>
    <row r="2" spans="1:11" s="42" customFormat="1" ht="12" customHeight="1">
      <c r="A2" s="17" t="s">
        <v>446</v>
      </c>
      <c r="B2" s="17"/>
    </row>
    <row r="3" spans="1:11" s="42" customFormat="1" ht="11.25" customHeight="1">
      <c r="A3" s="17" t="s">
        <v>2</v>
      </c>
      <c r="B3" s="17"/>
    </row>
    <row r="4" spans="1:11" ht="3.95" customHeight="1">
      <c r="A4" s="43"/>
      <c r="B4" s="58"/>
      <c r="C4" s="43"/>
      <c r="D4" s="43"/>
      <c r="E4" s="43"/>
    </row>
    <row r="5" spans="1:11" s="44" customFormat="1" ht="12" customHeight="1">
      <c r="A5" s="489" t="s">
        <v>234</v>
      </c>
      <c r="B5" s="490"/>
      <c r="C5" s="476" t="s">
        <v>457</v>
      </c>
      <c r="D5" s="477"/>
      <c r="E5" s="478"/>
      <c r="F5" s="476" t="s">
        <v>458</v>
      </c>
      <c r="G5" s="477"/>
      <c r="H5" s="478"/>
    </row>
    <row r="6" spans="1:11" s="22" customFormat="1" ht="12" customHeight="1">
      <c r="A6" s="491"/>
      <c r="B6" s="492"/>
      <c r="C6" s="383" t="s">
        <v>344</v>
      </c>
      <c r="D6" s="383" t="s">
        <v>351</v>
      </c>
      <c r="E6" s="383" t="s">
        <v>53</v>
      </c>
      <c r="F6" s="383" t="s">
        <v>344</v>
      </c>
      <c r="G6" s="383" t="s">
        <v>351</v>
      </c>
      <c r="H6" s="383" t="s">
        <v>53</v>
      </c>
    </row>
    <row r="7" spans="1:11" ht="15.95" customHeight="1">
      <c r="A7" s="493" t="s">
        <v>58</v>
      </c>
      <c r="B7" s="493"/>
      <c r="C7" s="427">
        <v>20687.92791292895</v>
      </c>
      <c r="D7" s="427">
        <v>20670.47410142047</v>
      </c>
      <c r="E7" s="385">
        <v>-8.4367132280904755E-2</v>
      </c>
      <c r="F7" s="427">
        <v>3932.3019248392857</v>
      </c>
      <c r="G7" s="427">
        <v>4278.7815567029256</v>
      </c>
      <c r="H7" s="385">
        <v>8.8111146724268998</v>
      </c>
    </row>
    <row r="8" spans="1:11" ht="15.95" customHeight="1">
      <c r="A8" s="428" t="s">
        <v>79</v>
      </c>
      <c r="B8" s="429"/>
      <c r="C8" s="430">
        <v>13474.549109848896</v>
      </c>
      <c r="D8" s="430">
        <v>13421.420117043681</v>
      </c>
      <c r="E8" s="397">
        <v>-0.39429143322043947</v>
      </c>
      <c r="F8" s="430">
        <v>2719.6966875801591</v>
      </c>
      <c r="G8" s="430">
        <v>3039.1588865882331</v>
      </c>
      <c r="H8" s="397">
        <v>11.746243633230824</v>
      </c>
    </row>
    <row r="9" spans="1:11" ht="14.1" customHeight="1">
      <c r="A9" s="393"/>
      <c r="B9" s="394" t="s">
        <v>280</v>
      </c>
      <c r="C9" s="431">
        <v>1901.1402829360404</v>
      </c>
      <c r="D9" s="431">
        <v>1765.5916204423829</v>
      </c>
      <c r="E9" s="391">
        <v>-7.1298611528193945</v>
      </c>
      <c r="F9" s="431">
        <v>509.12713032054597</v>
      </c>
      <c r="G9" s="431">
        <v>668.89558538917765</v>
      </c>
      <c r="H9" s="391">
        <v>31.380856676807145</v>
      </c>
      <c r="K9" s="33"/>
    </row>
    <row r="10" spans="1:11" ht="14.1" customHeight="1">
      <c r="A10" s="22"/>
      <c r="B10" s="394" t="s">
        <v>281</v>
      </c>
      <c r="C10" s="431">
        <v>1857.6076674091389</v>
      </c>
      <c r="D10" s="431">
        <v>1898.6022097006762</v>
      </c>
      <c r="E10" s="391">
        <v>2.206846096232673</v>
      </c>
      <c r="F10" s="431">
        <v>282.09255239695801</v>
      </c>
      <c r="G10" s="431">
        <v>300.43691281774562</v>
      </c>
      <c r="H10" s="391">
        <v>6.5029580770262996</v>
      </c>
      <c r="K10" s="33"/>
    </row>
    <row r="11" spans="1:11" ht="14.1" customHeight="1">
      <c r="A11" s="22"/>
      <c r="B11" s="394" t="s">
        <v>81</v>
      </c>
      <c r="C11" s="431">
        <v>1310.9611326744036</v>
      </c>
      <c r="D11" s="431">
        <v>1248.9869559210081</v>
      </c>
      <c r="E11" s="391">
        <v>-4.7273847567826932</v>
      </c>
      <c r="F11" s="431">
        <v>428.91007770878014</v>
      </c>
      <c r="G11" s="431">
        <v>434.76432969722038</v>
      </c>
      <c r="H11" s="391">
        <v>1.3649136014041385</v>
      </c>
      <c r="K11" s="34"/>
    </row>
    <row r="12" spans="1:11" ht="14.1" customHeight="1">
      <c r="A12" s="22"/>
      <c r="B12" s="394" t="s">
        <v>282</v>
      </c>
      <c r="C12" s="431">
        <v>571.03144776451768</v>
      </c>
      <c r="D12" s="431">
        <v>494.03972984955652</v>
      </c>
      <c r="E12" s="391">
        <v>-13.482920812219623</v>
      </c>
      <c r="F12" s="431">
        <v>92.143017792823485</v>
      </c>
      <c r="G12" s="431">
        <v>69.154745467615911</v>
      </c>
      <c r="H12" s="391">
        <v>-24.948469103643799</v>
      </c>
      <c r="K12" s="33"/>
    </row>
    <row r="13" spans="1:11" ht="14.1" customHeight="1">
      <c r="A13" s="22"/>
      <c r="B13" s="394" t="s">
        <v>169</v>
      </c>
      <c r="C13" s="431">
        <v>379.96125300514149</v>
      </c>
      <c r="D13" s="431">
        <v>401.7265758918798</v>
      </c>
      <c r="E13" s="391">
        <v>5.7283006397612413</v>
      </c>
      <c r="F13" s="431">
        <v>78.928142575288504</v>
      </c>
      <c r="G13" s="431">
        <v>116.09908092786419</v>
      </c>
      <c r="H13" s="391">
        <v>47.094657418447206</v>
      </c>
      <c r="K13" s="33"/>
    </row>
    <row r="14" spans="1:11" ht="14.1" customHeight="1">
      <c r="A14" s="22"/>
      <c r="B14" s="394" t="s">
        <v>283</v>
      </c>
      <c r="C14" s="431">
        <v>513.66216649579519</v>
      </c>
      <c r="D14" s="431">
        <v>513.41168532909956</v>
      </c>
      <c r="E14" s="391">
        <v>-4.876379516217666E-2</v>
      </c>
      <c r="F14" s="431">
        <v>65.143585475141023</v>
      </c>
      <c r="G14" s="431">
        <v>60.366527547861324</v>
      </c>
      <c r="H14" s="391">
        <v>-7.3331209702951261</v>
      </c>
      <c r="K14" s="33"/>
    </row>
    <row r="15" spans="1:11" ht="14.1" customHeight="1">
      <c r="A15" s="22"/>
      <c r="B15" s="394" t="s">
        <v>284</v>
      </c>
      <c r="C15" s="431">
        <v>390.80909227913054</v>
      </c>
      <c r="D15" s="431">
        <v>387.36670036629494</v>
      </c>
      <c r="E15" s="391">
        <v>-0.88083721204135212</v>
      </c>
      <c r="F15" s="431">
        <v>63.386093394520785</v>
      </c>
      <c r="G15" s="431">
        <v>64.403320593621885</v>
      </c>
      <c r="H15" s="391">
        <v>1.6048113152671961</v>
      </c>
      <c r="K15" s="48"/>
    </row>
    <row r="16" spans="1:11" ht="14.1" customHeight="1">
      <c r="A16" s="22"/>
      <c r="B16" s="394" t="s">
        <v>285</v>
      </c>
      <c r="C16" s="431">
        <v>40.960584159842107</v>
      </c>
      <c r="D16" s="431">
        <v>25.336229736531816</v>
      </c>
      <c r="E16" s="391">
        <v>-38.14485253027339</v>
      </c>
      <c r="F16" s="431">
        <v>4.2542885292127846</v>
      </c>
      <c r="G16" s="431">
        <v>0.91176641996551211</v>
      </c>
      <c r="H16" s="391">
        <v>-78.568298466248464</v>
      </c>
      <c r="K16" s="33"/>
    </row>
    <row r="17" spans="1:11" ht="14.1" customHeight="1">
      <c r="A17" s="22"/>
      <c r="B17" s="394" t="s">
        <v>286</v>
      </c>
      <c r="C17" s="431">
        <v>281.73412907639988</v>
      </c>
      <c r="D17" s="431">
        <v>252.59108920583506</v>
      </c>
      <c r="E17" s="391">
        <v>-10.344163827827158</v>
      </c>
      <c r="F17" s="431">
        <v>54.536723933999987</v>
      </c>
      <c r="G17" s="431">
        <v>43.549955752799988</v>
      </c>
      <c r="H17" s="391">
        <v>-20.145632866572839</v>
      </c>
      <c r="K17" s="33"/>
    </row>
    <row r="18" spans="1:11" ht="14.1" customHeight="1">
      <c r="A18" s="22"/>
      <c r="B18" s="394" t="s">
        <v>287</v>
      </c>
      <c r="C18" s="431">
        <v>215.59149937478762</v>
      </c>
      <c r="D18" s="431">
        <v>209.70900448401605</v>
      </c>
      <c r="E18" s="391">
        <v>-2.7285374923550876</v>
      </c>
      <c r="F18" s="431">
        <v>36.83481478875855</v>
      </c>
      <c r="G18" s="431">
        <v>38.310600470366211</v>
      </c>
      <c r="H18" s="391">
        <v>4.0064968157734526</v>
      </c>
      <c r="K18" s="33"/>
    </row>
    <row r="19" spans="1:11" ht="14.1" customHeight="1">
      <c r="A19" s="22"/>
      <c r="B19" s="394" t="s">
        <v>288</v>
      </c>
      <c r="C19" s="431">
        <v>136.27573064445852</v>
      </c>
      <c r="D19" s="431">
        <v>164.58740632220062</v>
      </c>
      <c r="E19" s="391">
        <v>20.775288119061241</v>
      </c>
      <c r="F19" s="431">
        <v>22.383768338513406</v>
      </c>
      <c r="G19" s="431">
        <v>37.176545975557922</v>
      </c>
      <c r="H19" s="391">
        <v>66.087074407360319</v>
      </c>
      <c r="K19" s="33"/>
    </row>
    <row r="20" spans="1:11" ht="14.1" customHeight="1">
      <c r="A20" s="22"/>
      <c r="B20" s="394" t="s">
        <v>289</v>
      </c>
      <c r="C20" s="431">
        <v>277.80798560611885</v>
      </c>
      <c r="D20" s="431">
        <v>268.50783937618309</v>
      </c>
      <c r="E20" s="391">
        <v>-3.3476885877289586</v>
      </c>
      <c r="F20" s="431">
        <v>119.60893903189822</v>
      </c>
      <c r="G20" s="431">
        <v>133.58075314733151</v>
      </c>
      <c r="H20" s="391">
        <v>11.68124575681353</v>
      </c>
      <c r="K20" s="33"/>
    </row>
    <row r="21" spans="1:11" ht="14.1" customHeight="1">
      <c r="A21" s="22"/>
      <c r="B21" s="394" t="s">
        <v>290</v>
      </c>
      <c r="C21" s="431">
        <v>490.50510953280934</v>
      </c>
      <c r="D21" s="431">
        <v>586.19437852968485</v>
      </c>
      <c r="E21" s="391">
        <v>19.508312377829572</v>
      </c>
      <c r="F21" s="431">
        <v>8.1310922968893475</v>
      </c>
      <c r="G21" s="431">
        <v>13.692183344052426</v>
      </c>
      <c r="H21" s="391">
        <v>68.392915048947913</v>
      </c>
      <c r="K21" s="33"/>
    </row>
    <row r="22" spans="1:11" ht="14.1" customHeight="1">
      <c r="A22" s="22"/>
      <c r="B22" s="394" t="s">
        <v>45</v>
      </c>
      <c r="C22" s="431">
        <v>129.25506940425873</v>
      </c>
      <c r="D22" s="431">
        <v>113.78676178847583</v>
      </c>
      <c r="E22" s="391">
        <v>-11.967273459429395</v>
      </c>
      <c r="F22" s="431">
        <v>25.376753573845718</v>
      </c>
      <c r="G22" s="431">
        <v>17.406326893832567</v>
      </c>
      <c r="H22" s="391">
        <v>-31.408377974035993</v>
      </c>
      <c r="K22" s="33"/>
    </row>
    <row r="23" spans="1:11" ht="14.1" customHeight="1">
      <c r="A23" s="22"/>
      <c r="B23" s="394" t="s">
        <v>291</v>
      </c>
      <c r="C23" s="431">
        <v>29.442878736190597</v>
      </c>
      <c r="D23" s="431">
        <v>38.55812112024968</v>
      </c>
      <c r="E23" s="391">
        <v>30.95907321336351</v>
      </c>
      <c r="F23" s="431">
        <v>2.4471403104832463</v>
      </c>
      <c r="G23" s="431">
        <v>4.1444071204008006</v>
      </c>
      <c r="H23" s="391">
        <v>69.357151392042098</v>
      </c>
      <c r="K23" s="33"/>
    </row>
    <row r="24" spans="1:11" ht="14.1" customHeight="1">
      <c r="A24" s="22"/>
      <c r="B24" s="394" t="s">
        <v>252</v>
      </c>
      <c r="C24" s="431">
        <v>157.11838899685927</v>
      </c>
      <c r="D24" s="431">
        <v>159.90453048721125</v>
      </c>
      <c r="E24" s="391">
        <v>1.7732752404988616</v>
      </c>
      <c r="F24" s="431">
        <v>9.8872552388857287</v>
      </c>
      <c r="G24" s="431">
        <v>13.27622342000006</v>
      </c>
      <c r="H24" s="391">
        <v>34.276127188320274</v>
      </c>
      <c r="K24" s="33"/>
    </row>
    <row r="25" spans="1:11" ht="14.1" customHeight="1">
      <c r="A25" s="22"/>
      <c r="B25" s="394" t="s">
        <v>253</v>
      </c>
      <c r="C25" s="431">
        <v>81.159870638173444</v>
      </c>
      <c r="D25" s="431">
        <v>88.801397649164315</v>
      </c>
      <c r="E25" s="391">
        <v>9.4154006788136577</v>
      </c>
      <c r="F25" s="431">
        <v>33.841390847572946</v>
      </c>
      <c r="G25" s="431">
        <v>41.053634175733457</v>
      </c>
      <c r="H25" s="391">
        <v>21.311899858506433</v>
      </c>
      <c r="K25" s="33"/>
    </row>
    <row r="26" spans="1:11" ht="14.1" customHeight="1">
      <c r="A26" s="22"/>
      <c r="B26" s="394" t="s">
        <v>254</v>
      </c>
      <c r="C26" s="431">
        <v>209.12998378659663</v>
      </c>
      <c r="D26" s="431">
        <v>191.0446459133862</v>
      </c>
      <c r="E26" s="391">
        <v>-8.6478933081472036</v>
      </c>
      <c r="F26" s="431">
        <v>0.36444739010737692</v>
      </c>
      <c r="G26" s="431">
        <v>0.12188796005796576</v>
      </c>
      <c r="H26" s="391">
        <v>-66.555403230613351</v>
      </c>
      <c r="K26" s="33"/>
    </row>
    <row r="27" spans="1:11" ht="14.1" customHeight="1">
      <c r="A27" s="22"/>
      <c r="B27" s="394" t="s">
        <v>255</v>
      </c>
      <c r="C27" s="431">
        <v>442.79854783660255</v>
      </c>
      <c r="D27" s="431">
        <v>420.81126720699331</v>
      </c>
      <c r="E27" s="391">
        <v>-4.9655268150795244</v>
      </c>
      <c r="F27" s="431">
        <v>100.7670400449251</v>
      </c>
      <c r="G27" s="431">
        <v>100.75221737663796</v>
      </c>
      <c r="H27" s="391">
        <v>-1.4709837939597126E-2</v>
      </c>
      <c r="K27" s="33"/>
    </row>
    <row r="28" spans="1:11" ht="14.1" customHeight="1">
      <c r="A28" s="22"/>
      <c r="B28" s="394" t="s">
        <v>256</v>
      </c>
      <c r="C28" s="431">
        <v>41.820387955174013</v>
      </c>
      <c r="D28" s="431">
        <v>32.856929362055517</v>
      </c>
      <c r="E28" s="391">
        <v>-21.433226785763328</v>
      </c>
      <c r="F28" s="431">
        <v>35.078914807945608</v>
      </c>
      <c r="G28" s="431">
        <v>27.947097365550952</v>
      </c>
      <c r="H28" s="391">
        <v>-20.330781272570185</v>
      </c>
      <c r="K28" s="33"/>
    </row>
    <row r="29" spans="1:11" ht="14.1" customHeight="1">
      <c r="A29" s="22"/>
      <c r="B29" s="394" t="s">
        <v>257</v>
      </c>
      <c r="C29" s="431">
        <v>113.16216224775862</v>
      </c>
      <c r="D29" s="431">
        <v>116.30995041435936</v>
      </c>
      <c r="E29" s="391">
        <v>2.7816613822815972</v>
      </c>
      <c r="F29" s="431">
        <v>28.358142054260952</v>
      </c>
      <c r="G29" s="431">
        <v>32.486166503811482</v>
      </c>
      <c r="H29" s="391">
        <v>14.556752137188322</v>
      </c>
      <c r="K29" s="33"/>
    </row>
    <row r="30" spans="1:11" ht="14.1" customHeight="1">
      <c r="A30" s="22"/>
      <c r="B30" s="394" t="s">
        <v>258</v>
      </c>
      <c r="C30" s="431">
        <v>579.05096970896454</v>
      </c>
      <c r="D30" s="431">
        <v>628.76555119883369</v>
      </c>
      <c r="E30" s="391">
        <v>8.585527715264174</v>
      </c>
      <c r="F30" s="431">
        <v>159.58424059873462</v>
      </c>
      <c r="G30" s="431">
        <v>174.61711842524318</v>
      </c>
      <c r="H30" s="391">
        <v>9.4200265452951903</v>
      </c>
      <c r="K30" s="33"/>
    </row>
    <row r="31" spans="1:11" ht="14.1" customHeight="1">
      <c r="A31" s="22"/>
      <c r="B31" s="394" t="s">
        <v>144</v>
      </c>
      <c r="C31" s="431">
        <v>188.95113227848742</v>
      </c>
      <c r="D31" s="431">
        <v>221.01889540487409</v>
      </c>
      <c r="E31" s="391">
        <v>16.971458566928987</v>
      </c>
      <c r="F31" s="431">
        <v>58.002052220933038</v>
      </c>
      <c r="G31" s="431">
        <v>67.064839570309701</v>
      </c>
      <c r="H31" s="391">
        <v>15.624942570749045</v>
      </c>
      <c r="K31" s="33"/>
    </row>
    <row r="32" spans="1:11" ht="14.1" customHeight="1">
      <c r="A32" s="22"/>
      <c r="B32" s="394" t="s">
        <v>145</v>
      </c>
      <c r="C32" s="431">
        <v>69.674927569253413</v>
      </c>
      <c r="D32" s="431">
        <v>85.305826709676893</v>
      </c>
      <c r="E32" s="391">
        <v>22.434037157609012</v>
      </c>
      <c r="F32" s="431">
        <v>5.5346815982605975</v>
      </c>
      <c r="G32" s="431">
        <v>9.0997070309495367</v>
      </c>
      <c r="H32" s="391">
        <v>64.41247557599938</v>
      </c>
      <c r="K32" s="33"/>
    </row>
    <row r="33" spans="1:11" ht="14.1" customHeight="1">
      <c r="A33" s="22"/>
      <c r="B33" s="394" t="s">
        <v>139</v>
      </c>
      <c r="C33" s="431">
        <v>78.247711529252925</v>
      </c>
      <c r="D33" s="431">
        <v>79.834983078694961</v>
      </c>
      <c r="E33" s="391">
        <v>2.0285213694059667</v>
      </c>
      <c r="F33" s="431">
        <v>11.713120620257081</v>
      </c>
      <c r="G33" s="431">
        <v>10.116563184078693</v>
      </c>
      <c r="H33" s="391">
        <v>-13.630504525132658</v>
      </c>
      <c r="K33" s="33"/>
    </row>
    <row r="34" spans="1:11" ht="14.1" customHeight="1">
      <c r="A34" s="22"/>
      <c r="B34" s="394" t="s">
        <v>146</v>
      </c>
      <c r="C34" s="431">
        <v>347.94949776629579</v>
      </c>
      <c r="D34" s="431">
        <v>284.74219849264011</v>
      </c>
      <c r="E34" s="391">
        <v>-18.165653256987767</v>
      </c>
      <c r="F34" s="431">
        <v>46.113855942270213</v>
      </c>
      <c r="G34" s="431">
        <v>68.066589173038636</v>
      </c>
      <c r="H34" s="391">
        <v>47.605503339931012</v>
      </c>
      <c r="K34" s="33"/>
    </row>
    <row r="35" spans="1:11" ht="14.1" customHeight="1">
      <c r="A35" s="22"/>
      <c r="B35" s="394" t="s">
        <v>147</v>
      </c>
      <c r="C35" s="431">
        <v>60.563226114026726</v>
      </c>
      <c r="D35" s="431">
        <v>54.054354312044467</v>
      </c>
      <c r="E35" s="391">
        <v>-10.747234286574392</v>
      </c>
      <c r="F35" s="431">
        <v>33.100494725176368</v>
      </c>
      <c r="G35" s="431">
        <v>28.609394504321738</v>
      </c>
      <c r="H35" s="391">
        <v>-13.568075819237468</v>
      </c>
      <c r="K35" s="48"/>
    </row>
    <row r="36" spans="1:11" ht="14.1" customHeight="1">
      <c r="A36" s="22"/>
      <c r="B36" s="394" t="s">
        <v>261</v>
      </c>
      <c r="C36" s="431">
        <v>57.296639047073683</v>
      </c>
      <c r="D36" s="431">
        <v>56.566390747836422</v>
      </c>
      <c r="E36" s="391">
        <v>-1.2745045981445879</v>
      </c>
      <c r="F36" s="431">
        <v>8.1190988792356968</v>
      </c>
      <c r="G36" s="431">
        <v>8.8004107929016584</v>
      </c>
      <c r="H36" s="391">
        <v>8.3914720561957026</v>
      </c>
      <c r="K36" s="33"/>
    </row>
    <row r="37" spans="1:11" ht="14.1" customHeight="1">
      <c r="A37" s="22"/>
      <c r="B37" s="394" t="s">
        <v>262</v>
      </c>
      <c r="C37" s="431">
        <v>17.909228235623708</v>
      </c>
      <c r="D37" s="431">
        <v>19.860033005514317</v>
      </c>
      <c r="E37" s="391">
        <v>10.892734986816532</v>
      </c>
      <c r="F37" s="431">
        <v>4.5871911128387675</v>
      </c>
      <c r="G37" s="431">
        <v>5.1433032443072007</v>
      </c>
      <c r="H37" s="391">
        <v>12.123151571164549</v>
      </c>
      <c r="K37" s="33"/>
    </row>
    <row r="38" spans="1:11" ht="14.1" customHeight="1">
      <c r="A38" s="22"/>
      <c r="B38" s="394" t="s">
        <v>205</v>
      </c>
      <c r="C38" s="431">
        <v>69.942606980069684</v>
      </c>
      <c r="D38" s="431">
        <v>70.274086925964355</v>
      </c>
      <c r="E38" s="391">
        <v>0.47393135630349192</v>
      </c>
      <c r="F38" s="431">
        <v>11.381786237966358</v>
      </c>
      <c r="G38" s="431">
        <v>12.920086587066375</v>
      </c>
      <c r="H38" s="391">
        <v>13.51545633468929</v>
      </c>
      <c r="K38" s="33"/>
    </row>
    <row r="39" spans="1:11" ht="14.1" customHeight="1">
      <c r="A39" s="22"/>
      <c r="B39" s="394" t="s">
        <v>206</v>
      </c>
      <c r="C39" s="431">
        <v>55.829317627875618</v>
      </c>
      <c r="D39" s="431">
        <v>38.661087614006163</v>
      </c>
      <c r="E39" s="391">
        <v>-30.751280408445012</v>
      </c>
      <c r="F39" s="431">
        <v>9.4404413581654243</v>
      </c>
      <c r="G39" s="431">
        <v>6.7241108662317668</v>
      </c>
      <c r="H39" s="391">
        <v>-28.773342144477088</v>
      </c>
      <c r="K39" s="33"/>
    </row>
    <row r="40" spans="1:11" ht="14.1" customHeight="1">
      <c r="A40" s="22"/>
      <c r="B40" s="394" t="s">
        <v>207</v>
      </c>
      <c r="C40" s="431">
        <v>107.83844707786315</v>
      </c>
      <c r="D40" s="431">
        <v>109.61716846642314</v>
      </c>
      <c r="E40" s="391">
        <v>1.6494315680155136</v>
      </c>
      <c r="F40" s="431">
        <v>15.835045320709581</v>
      </c>
      <c r="G40" s="431">
        <v>15.721170234200477</v>
      </c>
      <c r="H40" s="391">
        <v>-0.71913331602641017</v>
      </c>
      <c r="K40" s="33"/>
    </row>
    <row r="41" spans="1:11" ht="14.1" customHeight="1">
      <c r="A41" s="22"/>
      <c r="B41" s="394" t="s">
        <v>268</v>
      </c>
      <c r="C41" s="431">
        <v>9.6849986628940403</v>
      </c>
      <c r="D41" s="431">
        <v>13.28524584758588</v>
      </c>
      <c r="E41" s="391">
        <v>37.173440183171124</v>
      </c>
      <c r="F41" s="431">
        <v>1.3111060010157074</v>
      </c>
      <c r="G41" s="431">
        <v>1.7047149907498096</v>
      </c>
      <c r="H41" s="391">
        <v>30.021141649048609</v>
      </c>
      <c r="K41" s="48"/>
    </row>
    <row r="42" spans="1:11" ht="14.1" customHeight="1">
      <c r="A42" s="22"/>
      <c r="B42" s="394" t="s">
        <v>300</v>
      </c>
      <c r="C42" s="431">
        <v>77.044019195029492</v>
      </c>
      <c r="D42" s="431">
        <v>75.862917115938359</v>
      </c>
      <c r="E42" s="391">
        <v>-1.5330224090481126</v>
      </c>
      <c r="F42" s="431">
        <v>21.367385812718478</v>
      </c>
      <c r="G42" s="431">
        <v>24.009295059469654</v>
      </c>
      <c r="H42" s="391">
        <v>12.364213712931772</v>
      </c>
      <c r="K42" s="33"/>
    </row>
    <row r="43" spans="1:11" ht="14.1" customHeight="1">
      <c r="A43" s="22"/>
      <c r="B43" s="394" t="s">
        <v>301</v>
      </c>
      <c r="C43" s="431">
        <v>126.8626421606684</v>
      </c>
      <c r="D43" s="431">
        <v>161.33269055508546</v>
      </c>
      <c r="E43" s="391">
        <v>27.171157566434402</v>
      </c>
      <c r="F43" s="431">
        <v>17.100914869327742</v>
      </c>
      <c r="G43" s="431">
        <v>26.450623946131905</v>
      </c>
      <c r="H43" s="391">
        <v>54.673736161179498</v>
      </c>
      <c r="K43" s="33"/>
    </row>
    <row r="44" spans="1:11" ht="14.1" customHeight="1">
      <c r="A44" s="22"/>
      <c r="B44" s="394" t="s">
        <v>263</v>
      </c>
      <c r="C44" s="431">
        <v>68.723704859897495</v>
      </c>
      <c r="D44" s="431">
        <v>64.18805249122137</v>
      </c>
      <c r="E44" s="391">
        <v>-6.599836807288928</v>
      </c>
      <c r="F44" s="431">
        <v>31.831332469452803</v>
      </c>
      <c r="G44" s="431">
        <v>31.108449550807006</v>
      </c>
      <c r="H44" s="391">
        <v>-2.2709791345980168</v>
      </c>
      <c r="K44" s="33"/>
    </row>
    <row r="45" spans="1:11" ht="14.1" customHeight="1">
      <c r="A45" s="22"/>
      <c r="B45" s="394" t="s">
        <v>264</v>
      </c>
      <c r="C45" s="431">
        <v>29.611499936076967</v>
      </c>
      <c r="D45" s="431">
        <v>31.528186751916195</v>
      </c>
      <c r="E45" s="391">
        <v>6.4727785487963319</v>
      </c>
      <c r="F45" s="431">
        <v>16.859937894411267</v>
      </c>
      <c r="G45" s="431">
        <v>17.419403821330476</v>
      </c>
      <c r="H45" s="391">
        <v>3.318315467251276</v>
      </c>
      <c r="K45" s="33"/>
    </row>
    <row r="46" spans="1:11" ht="14.1" customHeight="1">
      <c r="A46" s="22"/>
      <c r="B46" s="394" t="s">
        <v>265</v>
      </c>
      <c r="C46" s="431">
        <v>29.688360476458936</v>
      </c>
      <c r="D46" s="431">
        <v>28.749105534753667</v>
      </c>
      <c r="E46" s="391">
        <v>-3.1637144208419343</v>
      </c>
      <c r="F46" s="431">
        <v>4.1129797977113309</v>
      </c>
      <c r="G46" s="431">
        <v>3.9489856168341411</v>
      </c>
      <c r="H46" s="391">
        <v>-3.9872352635538011</v>
      </c>
      <c r="K46" s="33"/>
    </row>
    <row r="47" spans="1:11" ht="14.1" customHeight="1">
      <c r="A47" s="22"/>
      <c r="B47" s="394" t="s">
        <v>266</v>
      </c>
      <c r="C47" s="431">
        <v>44.130006371729827</v>
      </c>
      <c r="D47" s="431">
        <v>48.58373003376223</v>
      </c>
      <c r="E47" s="391">
        <v>10.092279671379135</v>
      </c>
      <c r="F47" s="431">
        <v>3.8354320358392524</v>
      </c>
      <c r="G47" s="431">
        <v>6.3650864818761592</v>
      </c>
      <c r="H47" s="391">
        <v>65.954876071304923</v>
      </c>
      <c r="K47" s="48"/>
    </row>
    <row r="48" spans="1:11" ht="14.1" customHeight="1">
      <c r="A48" s="22"/>
      <c r="B48" s="394" t="s">
        <v>84</v>
      </c>
      <c r="C48" s="431">
        <v>31.452207516351866</v>
      </c>
      <c r="D48" s="431">
        <v>31.314852972859917</v>
      </c>
      <c r="E48" s="391">
        <v>-0.43670875381494056</v>
      </c>
      <c r="F48" s="431">
        <v>3.5573201685625762</v>
      </c>
      <c r="G48" s="431">
        <v>3.8037259112549826</v>
      </c>
      <c r="H48" s="391">
        <v>6.9267237981554208</v>
      </c>
      <c r="K48" s="48"/>
    </row>
    <row r="49" spans="1:11" ht="14.1" customHeight="1">
      <c r="A49" s="22"/>
      <c r="B49" s="394" t="s">
        <v>215</v>
      </c>
      <c r="C49" s="431">
        <v>32.79315532327935</v>
      </c>
      <c r="D49" s="431">
        <v>38.910928807804424</v>
      </c>
      <c r="E49" s="391">
        <v>18.655641472176843</v>
      </c>
      <c r="F49" s="431">
        <v>5.2733747297876432</v>
      </c>
      <c r="G49" s="431">
        <v>4.855540446504663</v>
      </c>
      <c r="H49" s="391">
        <v>-7.9234703523488488</v>
      </c>
      <c r="K49" s="48"/>
    </row>
    <row r="50" spans="1:11" ht="14.1" customHeight="1">
      <c r="A50" s="68"/>
      <c r="B50" s="432" t="s">
        <v>267</v>
      </c>
      <c r="C50" s="433">
        <v>42.630984789077878</v>
      </c>
      <c r="D50" s="433">
        <v>42.817931982520626</v>
      </c>
      <c r="E50" s="401">
        <v>0.43852421980794531</v>
      </c>
      <c r="F50" s="433">
        <v>9.9790403046558982</v>
      </c>
      <c r="G50" s="433">
        <v>10.624243948027022</v>
      </c>
      <c r="H50" s="401">
        <v>6.4655881094106027</v>
      </c>
      <c r="K50" s="33"/>
    </row>
    <row r="51" spans="1:11" ht="14.25" customHeight="1">
      <c r="A51" s="16"/>
      <c r="B51" s="27"/>
      <c r="C51" s="8"/>
      <c r="D51" s="8"/>
      <c r="E51" s="246"/>
      <c r="F51" s="8"/>
      <c r="G51" s="8"/>
      <c r="H51" s="110" t="s">
        <v>0</v>
      </c>
      <c r="K51" s="33"/>
    </row>
    <row r="52" spans="1:11" ht="14.25" customHeight="1">
      <c r="A52" s="61" t="s">
        <v>109</v>
      </c>
      <c r="B52" s="27"/>
      <c r="C52" s="8"/>
      <c r="D52" s="8"/>
      <c r="E52" s="59"/>
      <c r="F52" s="8"/>
      <c r="G52" s="8"/>
      <c r="H52" s="59"/>
      <c r="K52" s="33"/>
    </row>
    <row r="53" spans="1:11" ht="12" customHeight="1">
      <c r="A53" s="489" t="s">
        <v>234</v>
      </c>
      <c r="B53" s="490"/>
      <c r="C53" s="434" t="s">
        <v>468</v>
      </c>
      <c r="D53" s="435"/>
      <c r="E53" s="276"/>
      <c r="F53" s="476" t="s">
        <v>458</v>
      </c>
      <c r="G53" s="477"/>
      <c r="H53" s="478"/>
      <c r="K53" s="33"/>
    </row>
    <row r="54" spans="1:11" ht="12" customHeight="1">
      <c r="A54" s="491"/>
      <c r="B54" s="492"/>
      <c r="C54" s="383" t="s">
        <v>344</v>
      </c>
      <c r="D54" s="383" t="s">
        <v>351</v>
      </c>
      <c r="E54" s="383" t="s">
        <v>53</v>
      </c>
      <c r="F54" s="383" t="s">
        <v>344</v>
      </c>
      <c r="G54" s="383" t="s">
        <v>351</v>
      </c>
      <c r="H54" s="383" t="s">
        <v>53</v>
      </c>
      <c r="K54" s="33"/>
    </row>
    <row r="55" spans="1:11" ht="14.1" customHeight="1">
      <c r="A55" s="22"/>
      <c r="B55" s="394" t="s">
        <v>61</v>
      </c>
      <c r="C55" s="431">
        <v>26.397785132193835</v>
      </c>
      <c r="D55" s="431">
        <v>27.925343448386485</v>
      </c>
      <c r="E55" s="391">
        <v>5.7866912263396353</v>
      </c>
      <c r="F55" s="431">
        <v>4.3255011898607991</v>
      </c>
      <c r="G55" s="431">
        <v>4.7874840798493903</v>
      </c>
      <c r="H55" s="391">
        <v>10.680447645500667</v>
      </c>
      <c r="K55" s="34"/>
    </row>
    <row r="56" spans="1:11" ht="14.1" customHeight="1">
      <c r="A56" s="22"/>
      <c r="B56" s="394" t="s">
        <v>62</v>
      </c>
      <c r="C56" s="431">
        <v>107.72117508265164</v>
      </c>
      <c r="D56" s="431">
        <v>111.74892600285534</v>
      </c>
      <c r="E56" s="392">
        <v>3.7390521567494117</v>
      </c>
      <c r="F56" s="431">
        <v>16.625335889709788</v>
      </c>
      <c r="G56" s="431">
        <v>29.127492951866255</v>
      </c>
      <c r="H56" s="392">
        <v>75.199425413682292</v>
      </c>
      <c r="K56" s="50"/>
    </row>
    <row r="57" spans="1:11" ht="14.1" customHeight="1">
      <c r="A57" s="22"/>
      <c r="B57" s="394" t="s">
        <v>88</v>
      </c>
      <c r="C57" s="431">
        <v>33.799851697409437</v>
      </c>
      <c r="D57" s="431">
        <v>32.727992957744448</v>
      </c>
      <c r="E57" s="392">
        <v>-3.1711936172404642</v>
      </c>
      <c r="F57" s="431">
        <v>2.664353297966561</v>
      </c>
      <c r="G57" s="431">
        <v>3.9798506538827962</v>
      </c>
      <c r="H57" s="392">
        <v>49.373983432310766</v>
      </c>
      <c r="K57" s="34"/>
    </row>
    <row r="58" spans="1:11" ht="14.1" customHeight="1">
      <c r="A58" s="22"/>
      <c r="B58" s="394" t="s">
        <v>63</v>
      </c>
      <c r="C58" s="431">
        <v>30.012456935750862</v>
      </c>
      <c r="D58" s="431">
        <v>24.735233650506817</v>
      </c>
      <c r="E58" s="392">
        <v>-17.583443090118401</v>
      </c>
      <c r="F58" s="431">
        <v>0.65163937974171926</v>
      </c>
      <c r="G58" s="431">
        <v>0.23542408617334781</v>
      </c>
      <c r="H58" s="392">
        <v>-63.872028994524641</v>
      </c>
      <c r="K58" s="34"/>
    </row>
    <row r="59" spans="1:11" ht="14.1" customHeight="1">
      <c r="A59" s="22"/>
      <c r="B59" s="394" t="s">
        <v>140</v>
      </c>
      <c r="C59" s="431">
        <v>6.3725217921224235</v>
      </c>
      <c r="D59" s="431">
        <v>8.5774116142274188</v>
      </c>
      <c r="E59" s="392">
        <v>34.59995734860621</v>
      </c>
      <c r="F59" s="431">
        <v>2.0545219942928896</v>
      </c>
      <c r="G59" s="431">
        <v>4.4318685609916191</v>
      </c>
      <c r="H59" s="392">
        <v>115.71287984760401</v>
      </c>
      <c r="K59" s="34"/>
    </row>
    <row r="60" spans="1:11" ht="14.1" customHeight="1">
      <c r="A60" s="22"/>
      <c r="B60" s="394" t="s">
        <v>115</v>
      </c>
      <c r="C60" s="431">
        <v>28.934812851432948</v>
      </c>
      <c r="D60" s="431">
        <v>31.369223847993705</v>
      </c>
      <c r="E60" s="392">
        <v>8.4134326669411905</v>
      </c>
      <c r="F60" s="431">
        <v>2.499522633911865</v>
      </c>
      <c r="G60" s="431">
        <v>2.3167087669262556</v>
      </c>
      <c r="H60" s="392">
        <v>-7.3139512523436316</v>
      </c>
      <c r="K60" s="34"/>
    </row>
    <row r="61" spans="1:11" ht="14.1" customHeight="1">
      <c r="A61" s="22"/>
      <c r="B61" s="394" t="s">
        <v>116</v>
      </c>
      <c r="C61" s="431">
        <v>19.668558259617871</v>
      </c>
      <c r="D61" s="431">
        <v>20.318636112853593</v>
      </c>
      <c r="E61" s="392">
        <v>3.3051627102247627</v>
      </c>
      <c r="F61" s="431">
        <v>4.6412534612914529</v>
      </c>
      <c r="G61" s="431">
        <v>4.9730263876324887</v>
      </c>
      <c r="H61" s="392">
        <v>7.1483475123273799</v>
      </c>
      <c r="K61" s="34"/>
    </row>
    <row r="62" spans="1:11" ht="14.1" customHeight="1">
      <c r="A62" s="22"/>
      <c r="B62" s="394" t="s">
        <v>60</v>
      </c>
      <c r="C62" s="431">
        <v>22.173368351017984</v>
      </c>
      <c r="D62" s="431">
        <v>19.809299840626366</v>
      </c>
      <c r="E62" s="392">
        <v>-10.661747340173889</v>
      </c>
      <c r="F62" s="431">
        <v>1.6067304483741192</v>
      </c>
      <c r="G62" s="431">
        <v>1.9974866921396224</v>
      </c>
      <c r="H62" s="392">
        <v>24.319962577476328</v>
      </c>
      <c r="K62" s="34"/>
    </row>
    <row r="63" spans="1:11" ht="14.1" customHeight="1">
      <c r="A63" s="22"/>
      <c r="B63" s="394" t="s">
        <v>117</v>
      </c>
      <c r="C63" s="431">
        <v>0.96463040252379073</v>
      </c>
      <c r="D63" s="431">
        <v>0.86937766927799998</v>
      </c>
      <c r="E63" s="392">
        <v>-9.8745315300635568</v>
      </c>
      <c r="F63" s="431">
        <v>0</v>
      </c>
      <c r="G63" s="431">
        <v>4.7783549351023691E-2</v>
      </c>
      <c r="H63" s="392">
        <v>0</v>
      </c>
      <c r="K63" s="34"/>
    </row>
    <row r="64" spans="1:11" ht="14.1" customHeight="1">
      <c r="A64" s="22"/>
      <c r="B64" s="394" t="s">
        <v>118</v>
      </c>
      <c r="C64" s="431">
        <v>35.264875389477382</v>
      </c>
      <c r="D64" s="431">
        <v>38.82842507472516</v>
      </c>
      <c r="E64" s="392">
        <v>10.105096490178145</v>
      </c>
      <c r="F64" s="431">
        <v>6.150824231225779</v>
      </c>
      <c r="G64" s="431">
        <v>7.2562825747885498</v>
      </c>
      <c r="H64" s="392">
        <v>17.972523713987965</v>
      </c>
      <c r="K64" s="34"/>
    </row>
    <row r="65" spans="1:11" ht="14.1" customHeight="1">
      <c r="A65" s="22"/>
      <c r="B65" s="394" t="s">
        <v>126</v>
      </c>
      <c r="C65" s="431">
        <v>17.610527545227725</v>
      </c>
      <c r="D65" s="431">
        <v>17.617619793693212</v>
      </c>
      <c r="E65" s="392">
        <v>4.0272776878902405E-2</v>
      </c>
      <c r="F65" s="431">
        <v>2.0264846394549858</v>
      </c>
      <c r="G65" s="431">
        <v>1.9955396953345788</v>
      </c>
      <c r="H65" s="392">
        <v>-1.5270258415938209</v>
      </c>
      <c r="K65" s="34"/>
    </row>
    <row r="66" spans="1:11" ht="14.1" customHeight="1">
      <c r="A66" s="22"/>
      <c r="B66" s="394" t="s">
        <v>137</v>
      </c>
      <c r="C66" s="431">
        <v>23.256811353200817</v>
      </c>
      <c r="D66" s="431">
        <v>22.336366557762567</v>
      </c>
      <c r="E66" s="392">
        <v>-3.9577428799652314</v>
      </c>
      <c r="F66" s="431">
        <v>3.9570214211739261</v>
      </c>
      <c r="G66" s="431">
        <v>3.6510744611574406</v>
      </c>
      <c r="H66" s="392">
        <v>-7.7317488952516333</v>
      </c>
      <c r="K66" s="34"/>
    </row>
    <row r="67" spans="1:11" ht="14.1" customHeight="1">
      <c r="A67" s="22"/>
      <c r="B67" s="394" t="s">
        <v>170</v>
      </c>
      <c r="C67" s="431">
        <v>27.141768340599167</v>
      </c>
      <c r="D67" s="431">
        <v>31.064571553879233</v>
      </c>
      <c r="E67" s="392">
        <v>14.453012655819709</v>
      </c>
      <c r="F67" s="431">
        <v>4.4493469730151523</v>
      </c>
      <c r="G67" s="431">
        <v>4.5057970054479961</v>
      </c>
      <c r="H67" s="392">
        <v>1.2687262372480301</v>
      </c>
      <c r="K67" s="34"/>
    </row>
    <row r="68" spans="1:11" ht="14.1" customHeight="1">
      <c r="A68" s="22"/>
      <c r="B68" s="394" t="s">
        <v>138</v>
      </c>
      <c r="C68" s="431">
        <v>11.218927967767449</v>
      </c>
      <c r="D68" s="431">
        <v>12.669516043828564</v>
      </c>
      <c r="E68" s="392">
        <v>12.929827878641586</v>
      </c>
      <c r="F68" s="431">
        <v>0.59828544392660254</v>
      </c>
      <c r="G68" s="431">
        <v>1.2444172547059589</v>
      </c>
      <c r="H68" s="392">
        <v>107.99724735717011</v>
      </c>
      <c r="K68" s="34"/>
    </row>
    <row r="69" spans="1:11" ht="14.1" customHeight="1">
      <c r="A69" s="22"/>
      <c r="B69" s="394" t="s">
        <v>44</v>
      </c>
      <c r="C69" s="431">
        <v>21.303137813723861</v>
      </c>
      <c r="D69" s="431">
        <v>34.955793170998497</v>
      </c>
      <c r="E69" s="392">
        <v>64.087532440781331</v>
      </c>
      <c r="F69" s="431">
        <v>3.7225500019570381</v>
      </c>
      <c r="G69" s="431">
        <v>6.4170189884221323</v>
      </c>
      <c r="H69" s="392">
        <v>72.38234503360718</v>
      </c>
      <c r="K69" s="34"/>
    </row>
    <row r="70" spans="1:11" ht="14.1" customHeight="1">
      <c r="A70" s="22"/>
      <c r="B70" s="394" t="s">
        <v>42</v>
      </c>
      <c r="C70" s="431">
        <v>7.1795796116126205</v>
      </c>
      <c r="D70" s="431">
        <v>5.7706915635613889</v>
      </c>
      <c r="E70" s="392">
        <v>-19.62354516930802</v>
      </c>
      <c r="F70" s="431">
        <v>4.8484061811288228</v>
      </c>
      <c r="G70" s="431">
        <v>3.7336342805922973</v>
      </c>
      <c r="H70" s="392">
        <v>-22.992543505853313</v>
      </c>
      <c r="K70" s="34"/>
    </row>
    <row r="71" spans="1:11" ht="14.1" customHeight="1">
      <c r="A71" s="22"/>
      <c r="B71" s="394" t="s">
        <v>43</v>
      </c>
      <c r="C71" s="431">
        <v>3.6042984219857708</v>
      </c>
      <c r="D71" s="431">
        <v>4.0707953849569014</v>
      </c>
      <c r="E71" s="392">
        <v>12.94279519491386</v>
      </c>
      <c r="F71" s="431">
        <v>0.73876948342823212</v>
      </c>
      <c r="G71" s="431">
        <v>0.61562615618440786</v>
      </c>
      <c r="H71" s="392">
        <v>-16.668707899571356</v>
      </c>
      <c r="K71" s="34"/>
    </row>
    <row r="72" spans="1:11" ht="14.1" customHeight="1">
      <c r="A72" s="22"/>
      <c r="B72" s="394" t="s">
        <v>183</v>
      </c>
      <c r="C72" s="431">
        <v>96.803423730000034</v>
      </c>
      <c r="D72" s="431">
        <v>119.89032900000002</v>
      </c>
      <c r="E72" s="392">
        <v>23.849265222677452</v>
      </c>
      <c r="F72" s="431">
        <v>9.2437643999999999</v>
      </c>
      <c r="G72" s="431">
        <v>13.932204</v>
      </c>
      <c r="H72" s="392">
        <v>50.720024841827424</v>
      </c>
      <c r="K72" s="34"/>
    </row>
    <row r="73" spans="1:11" ht="14.1" customHeight="1">
      <c r="A73" s="22"/>
      <c r="B73" s="394" t="s">
        <v>184</v>
      </c>
      <c r="C73" s="431">
        <v>29.611883212204354</v>
      </c>
      <c r="D73" s="431">
        <v>33.876083980854602</v>
      </c>
      <c r="E73" s="392">
        <v>14.400302534263631</v>
      </c>
      <c r="F73" s="431">
        <v>17.365288692047116</v>
      </c>
      <c r="G73" s="431">
        <v>17.491858803755115</v>
      </c>
      <c r="H73" s="392">
        <v>0.72886845679660528</v>
      </c>
      <c r="K73" s="34"/>
    </row>
    <row r="74" spans="1:11" ht="14.1" customHeight="1">
      <c r="A74" s="22"/>
      <c r="B74" s="394" t="s">
        <v>185</v>
      </c>
      <c r="C74" s="431">
        <v>14.666212377176482</v>
      </c>
      <c r="D74" s="431">
        <v>16.15292275662118</v>
      </c>
      <c r="E74" s="436">
        <v>10.136975663589286</v>
      </c>
      <c r="F74" s="431">
        <v>3.8935237524116979</v>
      </c>
      <c r="G74" s="431">
        <v>4.3550678663548821</v>
      </c>
      <c r="H74" s="436">
        <v>11.854149179321126</v>
      </c>
      <c r="K74" s="34"/>
    </row>
    <row r="75" spans="1:11" ht="14.1" customHeight="1">
      <c r="A75" s="22"/>
      <c r="B75" s="394" t="s">
        <v>59</v>
      </c>
      <c r="C75" s="431">
        <v>23.393341761059947</v>
      </c>
      <c r="D75" s="431">
        <v>22.005034281015327</v>
      </c>
      <c r="E75" s="392">
        <v>-5.9346265883037148</v>
      </c>
      <c r="F75" s="431">
        <v>1.2825568090077326</v>
      </c>
      <c r="G75" s="431">
        <v>1.4776638273819391</v>
      </c>
      <c r="H75" s="392">
        <v>15.212349036231277</v>
      </c>
      <c r="K75" s="34"/>
    </row>
    <row r="76" spans="1:11" ht="14.1" customHeight="1">
      <c r="A76" s="22"/>
      <c r="B76" s="394" t="s">
        <v>186</v>
      </c>
      <c r="C76" s="431">
        <v>2.6691238743868095</v>
      </c>
      <c r="D76" s="431">
        <v>2.5686197468505987</v>
      </c>
      <c r="E76" s="392">
        <v>-3.7654351115232521</v>
      </c>
      <c r="F76" s="431">
        <v>2.0955403701198798</v>
      </c>
      <c r="G76" s="431">
        <v>2.2297847037894396</v>
      </c>
      <c r="H76" s="392">
        <v>6.4061917195076479</v>
      </c>
      <c r="K76" s="34"/>
    </row>
    <row r="77" spans="1:11" ht="14.1" customHeight="1">
      <c r="A77" s="22"/>
      <c r="B77" s="394" t="s">
        <v>187</v>
      </c>
      <c r="C77" s="431">
        <v>14.957208243453454</v>
      </c>
      <c r="D77" s="431">
        <v>11.303674960467889</v>
      </c>
      <c r="E77" s="392">
        <v>-24.426572282194858</v>
      </c>
      <c r="F77" s="431">
        <v>5.2931850614944782</v>
      </c>
      <c r="G77" s="431">
        <v>4.0230388927214893</v>
      </c>
      <c r="H77" s="392">
        <v>-23.995876849512154</v>
      </c>
      <c r="K77" s="34"/>
    </row>
    <row r="78" spans="1:11" ht="14.1" customHeight="1">
      <c r="A78" s="22"/>
      <c r="B78" s="394" t="s">
        <v>127</v>
      </c>
      <c r="C78" s="431">
        <v>14.930099815222649</v>
      </c>
      <c r="D78" s="431">
        <v>10.437816076034757</v>
      </c>
      <c r="E78" s="392">
        <v>-30.088772310869505</v>
      </c>
      <c r="F78" s="431">
        <v>2.0585725250381062</v>
      </c>
      <c r="G78" s="431">
        <v>0.69824712239816911</v>
      </c>
      <c r="H78" s="392">
        <v>-66.081004487065911</v>
      </c>
      <c r="K78" s="34"/>
    </row>
    <row r="79" spans="1:11" ht="14.1" customHeight="1">
      <c r="A79" s="22"/>
      <c r="B79" s="394" t="s">
        <v>188</v>
      </c>
      <c r="C79" s="431">
        <v>0.81116986304585692</v>
      </c>
      <c r="D79" s="431">
        <v>0.77425801114991188</v>
      </c>
      <c r="E79" s="392">
        <v>-4.5504466545816857</v>
      </c>
      <c r="F79" s="431">
        <v>0.3670254508693474</v>
      </c>
      <c r="G79" s="431">
        <v>0.30837980254729863</v>
      </c>
      <c r="H79" s="392">
        <v>-15.978632594317077</v>
      </c>
      <c r="K79" s="34"/>
    </row>
    <row r="80" spans="1:11" ht="14.1" customHeight="1">
      <c r="A80" s="22"/>
      <c r="B80" s="394" t="s">
        <v>189</v>
      </c>
      <c r="C80" s="431">
        <v>2.6399022839783969E-2</v>
      </c>
      <c r="D80" s="431">
        <v>0.20679234557830778</v>
      </c>
      <c r="E80" s="392">
        <v>683.33333333333337</v>
      </c>
      <c r="F80" s="431">
        <v>2.6399022839783969E-2</v>
      </c>
      <c r="G80" s="431">
        <v>2.6399022839783969E-2</v>
      </c>
      <c r="H80" s="392">
        <v>0</v>
      </c>
      <c r="K80" s="34"/>
    </row>
    <row r="81" spans="1:11" ht="14.1" customHeight="1">
      <c r="A81" s="22"/>
      <c r="B81" s="394" t="s">
        <v>50</v>
      </c>
      <c r="C81" s="431">
        <v>4.2965002684854632</v>
      </c>
      <c r="D81" s="431">
        <v>5.5619519644770028</v>
      </c>
      <c r="E81" s="392">
        <v>29.453080807966934</v>
      </c>
      <c r="F81" s="431">
        <v>0.34199185876782673</v>
      </c>
      <c r="G81" s="431">
        <v>0.968559287398569</v>
      </c>
      <c r="H81" s="392">
        <v>183.21121177802939</v>
      </c>
      <c r="K81" s="34"/>
    </row>
    <row r="82" spans="1:11" ht="14.1" customHeight="1">
      <c r="A82" s="22"/>
      <c r="B82" s="394" t="s">
        <v>208</v>
      </c>
      <c r="C82" s="431">
        <v>6.3393326603641338</v>
      </c>
      <c r="D82" s="431">
        <v>5.9787942984884284</v>
      </c>
      <c r="E82" s="392">
        <v>-5.6873235905401387</v>
      </c>
      <c r="F82" s="431">
        <v>0.80185545623062104</v>
      </c>
      <c r="G82" s="431">
        <v>1.0225858125285945</v>
      </c>
      <c r="H82" s="392">
        <v>27.527449564986096</v>
      </c>
      <c r="K82" s="34"/>
    </row>
    <row r="83" spans="1:11" ht="14.1" customHeight="1">
      <c r="A83" s="22"/>
      <c r="B83" s="394" t="s">
        <v>209</v>
      </c>
      <c r="C83" s="431">
        <v>1.018826114260349</v>
      </c>
      <c r="D83" s="431">
        <v>0.97837277986970828</v>
      </c>
      <c r="E83" s="392">
        <v>-3.9705827937095206</v>
      </c>
      <c r="F83" s="431">
        <v>0.84408942454354174</v>
      </c>
      <c r="G83" s="431">
        <v>0.79551187081439578</v>
      </c>
      <c r="H83" s="392">
        <v>-5.7550245645377256</v>
      </c>
      <c r="K83" s="34"/>
    </row>
    <row r="84" spans="1:11" ht="14.1" customHeight="1">
      <c r="A84" s="22"/>
      <c r="B84" s="394" t="s">
        <v>210</v>
      </c>
      <c r="C84" s="431">
        <v>0.50735681972893687</v>
      </c>
      <c r="D84" s="431">
        <v>0.52423856471593988</v>
      </c>
      <c r="E84" s="392">
        <v>3.3273909663858126</v>
      </c>
      <c r="F84" s="431">
        <v>5.2935108900596328E-2</v>
      </c>
      <c r="G84" s="431">
        <v>5.3592400389218642E-2</v>
      </c>
      <c r="H84" s="392">
        <v>1.2416928996152654</v>
      </c>
      <c r="K84" s="34"/>
    </row>
    <row r="85" spans="1:11" ht="14.1" customHeight="1">
      <c r="A85" s="22"/>
      <c r="B85" s="394" t="s">
        <v>211</v>
      </c>
      <c r="C85" s="431">
        <v>1144.0824913519027</v>
      </c>
      <c r="D85" s="431">
        <v>1181.7667568424749</v>
      </c>
      <c r="E85" s="392">
        <v>3.2938416395169812</v>
      </c>
      <c r="F85" s="431">
        <v>134.22726942804047</v>
      </c>
      <c r="G85" s="431">
        <v>154.75584527702586</v>
      </c>
      <c r="H85" s="392">
        <v>15.293893659954684</v>
      </c>
      <c r="K85" s="34"/>
    </row>
    <row r="86" spans="1:11" ht="15.95" customHeight="1">
      <c r="A86" s="428" t="s">
        <v>212</v>
      </c>
      <c r="B86" s="437"/>
      <c r="C86" s="430">
        <v>7213.3788030800542</v>
      </c>
      <c r="D86" s="430">
        <v>7249.0539843767874</v>
      </c>
      <c r="E86" s="398">
        <v>0.49456963609757487</v>
      </c>
      <c r="F86" s="430">
        <v>1212.6052372591269</v>
      </c>
      <c r="G86" s="430">
        <v>1239.6226701146923</v>
      </c>
      <c r="H86" s="398">
        <v>2.228048504609248</v>
      </c>
      <c r="K86" s="34"/>
    </row>
    <row r="87" spans="1:11" ht="14.1" customHeight="1">
      <c r="A87" s="22"/>
      <c r="B87" s="438" t="s">
        <v>302</v>
      </c>
      <c r="C87" s="431">
        <v>3940.6245896939536</v>
      </c>
      <c r="D87" s="431">
        <v>3916.3581606364614</v>
      </c>
      <c r="E87" s="392">
        <v>-0.61580159452278016</v>
      </c>
      <c r="F87" s="431">
        <v>665.36678056927326</v>
      </c>
      <c r="G87" s="431">
        <v>678.43794717149251</v>
      </c>
      <c r="H87" s="392">
        <v>1.9645054402980255</v>
      </c>
      <c r="K87" s="34"/>
    </row>
    <row r="88" spans="1:11" ht="14.1" customHeight="1">
      <c r="A88" s="22"/>
      <c r="B88" s="438" t="s">
        <v>304</v>
      </c>
      <c r="C88" s="431">
        <v>199.2432775083208</v>
      </c>
      <c r="D88" s="431">
        <v>202.67035879156006</v>
      </c>
      <c r="E88" s="392">
        <v>1.7200486390795078</v>
      </c>
      <c r="F88" s="431">
        <v>37.684009422402802</v>
      </c>
      <c r="G88" s="431">
        <v>38.367085559834145</v>
      </c>
      <c r="H88" s="392">
        <v>1.8126418815330725</v>
      </c>
    </row>
    <row r="89" spans="1:11" ht="14.1" customHeight="1">
      <c r="A89" s="22"/>
      <c r="B89" s="438" t="s">
        <v>294</v>
      </c>
      <c r="C89" s="431">
        <v>391.19931074373778</v>
      </c>
      <c r="D89" s="431">
        <v>401.25597376115473</v>
      </c>
      <c r="E89" s="392">
        <v>2.5707261595879327</v>
      </c>
      <c r="F89" s="431">
        <v>64.180602212112774</v>
      </c>
      <c r="G89" s="431">
        <v>67.489942229702322</v>
      </c>
      <c r="H89" s="392">
        <v>5.1562931844303828</v>
      </c>
    </row>
    <row r="90" spans="1:11" ht="14.1" customHeight="1">
      <c r="A90" s="22"/>
      <c r="B90" s="438" t="s">
        <v>101</v>
      </c>
      <c r="C90" s="431">
        <v>787.33493027821851</v>
      </c>
      <c r="D90" s="431">
        <v>800.18271686736909</v>
      </c>
      <c r="E90" s="392">
        <v>1.6318070105959315</v>
      </c>
      <c r="F90" s="431">
        <v>135.14559076410995</v>
      </c>
      <c r="G90" s="431">
        <v>138.9613931024129</v>
      </c>
      <c r="H90" s="392">
        <v>2.8234752733910851</v>
      </c>
    </row>
    <row r="91" spans="1:11" ht="14.1" customHeight="1">
      <c r="A91" s="22"/>
      <c r="B91" s="438" t="s">
        <v>103</v>
      </c>
      <c r="C91" s="431">
        <v>22.765776260411354</v>
      </c>
      <c r="D91" s="431">
        <v>22.832705428469225</v>
      </c>
      <c r="E91" s="392">
        <v>0.29399027422691848</v>
      </c>
      <c r="F91" s="431">
        <v>4.1992510649471502</v>
      </c>
      <c r="G91" s="431">
        <v>4.1899481986518099</v>
      </c>
      <c r="H91" s="392">
        <v>-0.22153632044045191</v>
      </c>
    </row>
    <row r="92" spans="1:11" ht="14.1" customHeight="1">
      <c r="A92" s="22"/>
      <c r="B92" s="438" t="s">
        <v>105</v>
      </c>
      <c r="C92" s="431">
        <v>117.83263310945151</v>
      </c>
      <c r="D92" s="431">
        <v>121.18319370935814</v>
      </c>
      <c r="E92" s="392">
        <v>2.8434912396418932</v>
      </c>
      <c r="F92" s="431">
        <v>21.668651565063421</v>
      </c>
      <c r="G92" s="431">
        <v>22.640532426182471</v>
      </c>
      <c r="H92" s="392">
        <v>4.4851930827390474</v>
      </c>
    </row>
    <row r="93" spans="1:11" ht="14.1" customHeight="1">
      <c r="A93" s="22"/>
      <c r="B93" s="438" t="s">
        <v>107</v>
      </c>
      <c r="C93" s="431">
        <v>15.505824886658036</v>
      </c>
      <c r="D93" s="431">
        <v>16.197753310024503</v>
      </c>
      <c r="E93" s="392">
        <v>4.462377386718952</v>
      </c>
      <c r="F93" s="431">
        <v>2.8503379869917072</v>
      </c>
      <c r="G93" s="431">
        <v>3.0238439091033702</v>
      </c>
      <c r="H93" s="392">
        <v>6.0872051982433062</v>
      </c>
    </row>
    <row r="94" spans="1:11" ht="14.1" customHeight="1">
      <c r="A94" s="22"/>
      <c r="B94" s="394" t="s">
        <v>129</v>
      </c>
      <c r="C94" s="431">
        <v>761.88232507879809</v>
      </c>
      <c r="D94" s="431">
        <v>771.56467359075543</v>
      </c>
      <c r="E94" s="392">
        <v>1.2708456664821455</v>
      </c>
      <c r="F94" s="431">
        <v>127.08593705265262</v>
      </c>
      <c r="G94" s="431">
        <v>128.35223509169001</v>
      </c>
      <c r="H94" s="392">
        <v>0.99641082908548118</v>
      </c>
    </row>
    <row r="95" spans="1:11" ht="14.1" customHeight="1">
      <c r="A95" s="22"/>
      <c r="B95" s="394" t="s">
        <v>130</v>
      </c>
      <c r="C95" s="431">
        <v>917.7296426612196</v>
      </c>
      <c r="D95" s="431">
        <v>935.74722016557848</v>
      </c>
      <c r="E95" s="392">
        <v>1.9632772732622872</v>
      </c>
      <c r="F95" s="431">
        <v>152.51374123820554</v>
      </c>
      <c r="G95" s="431">
        <v>156.33356912473431</v>
      </c>
      <c r="H95" s="392">
        <v>2.5045794926522147</v>
      </c>
    </row>
    <row r="96" spans="1:11" ht="14.1" customHeight="1">
      <c r="A96" s="22"/>
      <c r="B96" s="394" t="s">
        <v>131</v>
      </c>
      <c r="C96" s="431">
        <v>31.618609469732938</v>
      </c>
      <c r="D96" s="431">
        <v>31.48015402361397</v>
      </c>
      <c r="E96" s="392">
        <v>-0.43789226800597936</v>
      </c>
      <c r="F96" s="431">
        <v>0.89335904045335401</v>
      </c>
      <c r="G96" s="431">
        <v>0.83050125629390303</v>
      </c>
      <c r="H96" s="392">
        <v>-7.036116646623114</v>
      </c>
    </row>
    <row r="97" spans="1:8" ht="14.1" customHeight="1">
      <c r="A97" s="22"/>
      <c r="B97" s="394" t="s">
        <v>132</v>
      </c>
      <c r="C97" s="431">
        <v>1.6572700383845462</v>
      </c>
      <c r="D97" s="431">
        <v>1.691977455442744</v>
      </c>
      <c r="E97" s="392">
        <v>2.0942523701224625</v>
      </c>
      <c r="F97" s="431">
        <v>1.9313774687079999E-2</v>
      </c>
      <c r="G97" s="431">
        <v>1.9361802863199998E-2</v>
      </c>
      <c r="H97" s="392">
        <v>0.2486731718586821</v>
      </c>
    </row>
    <row r="98" spans="1:8" ht="14.1" customHeight="1">
      <c r="A98" s="68"/>
      <c r="B98" s="432" t="s">
        <v>200</v>
      </c>
      <c r="C98" s="433">
        <v>25.984613351166949</v>
      </c>
      <c r="D98" s="433">
        <v>27.889096636999923</v>
      </c>
      <c r="E98" s="402">
        <v>7.3292731359708485</v>
      </c>
      <c r="F98" s="433">
        <v>0.99766256822720023</v>
      </c>
      <c r="G98" s="433">
        <v>0.97631024173120007</v>
      </c>
      <c r="H98" s="402">
        <v>-2.1402353035999133</v>
      </c>
    </row>
    <row r="99" spans="1:8" ht="9" customHeight="1">
      <c r="A99" s="164" t="s">
        <v>201</v>
      </c>
      <c r="B99" s="111"/>
      <c r="C99" s="247"/>
      <c r="D99" s="247"/>
      <c r="F99" s="60"/>
    </row>
    <row r="100" spans="1:8" ht="9" customHeight="1">
      <c r="A100" s="164" t="s">
        <v>358</v>
      </c>
      <c r="B100" s="111"/>
      <c r="C100" s="247"/>
      <c r="D100" s="247"/>
      <c r="F100" s="60"/>
    </row>
    <row r="101" spans="1:8" ht="12.75">
      <c r="A101" s="112"/>
      <c r="B101" s="112"/>
      <c r="C101" s="60"/>
    </row>
    <row r="102" spans="1:8" ht="17.25" customHeight="1">
      <c r="B102" s="27"/>
      <c r="C102" s="161"/>
      <c r="D102" s="161"/>
      <c r="E102" s="161"/>
    </row>
    <row r="103" spans="1:8" ht="17.25" customHeight="1">
      <c r="B103" s="27"/>
      <c r="C103" s="161"/>
      <c r="D103" s="161"/>
      <c r="E103" s="161"/>
    </row>
    <row r="104" spans="1:8" ht="17.25" customHeight="1">
      <c r="B104" s="27"/>
      <c r="C104" s="161"/>
      <c r="D104" s="161"/>
      <c r="E104" s="161"/>
    </row>
    <row r="105" spans="1:8" ht="17.25" customHeight="1">
      <c r="B105" s="27"/>
      <c r="C105" s="54"/>
      <c r="D105" s="161"/>
      <c r="E105" s="161"/>
    </row>
    <row r="106" spans="1:8" ht="17.25" customHeight="1">
      <c r="B106" s="27"/>
      <c r="C106" s="161"/>
      <c r="D106" s="161"/>
      <c r="E106" s="161"/>
    </row>
    <row r="107" spans="1:8" ht="17.25" customHeight="1">
      <c r="B107" s="27"/>
      <c r="C107" s="161"/>
      <c r="D107" s="161"/>
      <c r="E107" s="161"/>
    </row>
    <row r="108" spans="1:8" ht="17.25" customHeight="1">
      <c r="B108" s="27"/>
      <c r="C108" s="161"/>
      <c r="D108" s="161"/>
      <c r="E108" s="161"/>
    </row>
    <row r="109" spans="1:8" ht="17.25" customHeight="1">
      <c r="B109" s="27"/>
      <c r="C109" s="161"/>
      <c r="D109" s="161"/>
      <c r="E109" s="161"/>
    </row>
    <row r="110" spans="1:8" ht="17.25" customHeight="1">
      <c r="B110" s="27"/>
      <c r="C110" s="161"/>
      <c r="D110" s="161"/>
      <c r="E110" s="161"/>
    </row>
    <row r="111" spans="1:8" ht="17.25" customHeight="1">
      <c r="A111" s="62"/>
      <c r="B111" s="27"/>
      <c r="C111" s="161"/>
      <c r="D111" s="161"/>
      <c r="E111" s="161"/>
    </row>
    <row r="112" spans="1:8" ht="17.25" customHeight="1">
      <c r="B112" s="27"/>
      <c r="C112" s="161"/>
      <c r="D112" s="161"/>
      <c r="E112" s="161"/>
    </row>
    <row r="113" spans="2:5" ht="17.25" customHeight="1">
      <c r="B113" s="27"/>
      <c r="C113" s="161"/>
      <c r="D113" s="161"/>
      <c r="E113" s="161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6">
    <mergeCell ref="F5:H5"/>
    <mergeCell ref="F53:H53"/>
    <mergeCell ref="A5:B6"/>
    <mergeCell ref="A53:B54"/>
    <mergeCell ref="A7:B7"/>
    <mergeCell ref="C5:E5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topLeftCell="A26" zoomScaleNormal="100" zoomScalePageLayoutView="150" workbookViewId="0">
      <selection activeCell="M82" sqref="M82"/>
    </sheetView>
  </sheetViews>
  <sheetFormatPr baseColWidth="10" defaultColWidth="2.140625" defaultRowHeight="17.25" customHeight="1"/>
  <cols>
    <col min="1" max="1" width="2.140625" style="162"/>
    <col min="2" max="2" width="17" style="162" customWidth="1"/>
    <col min="3" max="6" width="9.85546875" style="162" customWidth="1"/>
    <col min="7" max="7" width="6.7109375" style="162" bestFit="1" customWidth="1"/>
    <col min="8" max="8" width="6.42578125" style="162" bestFit="1" customWidth="1"/>
    <col min="9" max="9" width="7.85546875" style="162" bestFit="1" customWidth="1"/>
    <col min="10" max="10" width="6.42578125" style="162" bestFit="1" customWidth="1"/>
    <col min="11" max="240" width="10.85546875" style="162" customWidth="1"/>
    <col min="241" max="241" width="2" style="162" customWidth="1"/>
    <col min="242" max="242" width="17.140625" style="162" customWidth="1"/>
    <col min="243" max="243" width="11.28515625" style="162" customWidth="1"/>
    <col min="244" max="244" width="12.42578125" style="162" customWidth="1"/>
    <col min="245" max="245" width="6.42578125" style="162" customWidth="1"/>
    <col min="246" max="246" width="9.85546875" style="162" customWidth="1"/>
    <col min="247" max="247" width="8.42578125" style="162" customWidth="1"/>
    <col min="248" max="248" width="7.7109375" style="162" customWidth="1"/>
    <col min="249" max="252" width="0" style="162" hidden="1" customWidth="1"/>
    <col min="253" max="253" width="4" style="162" customWidth="1"/>
    <col min="254" max="16384" width="2.140625" style="162"/>
  </cols>
  <sheetData>
    <row r="1" spans="1:13" s="42" customFormat="1" ht="16.5" customHeight="1">
      <c r="A1" s="178" t="s">
        <v>108</v>
      </c>
      <c r="B1" s="178"/>
      <c r="C1" s="15"/>
      <c r="D1" s="15"/>
      <c r="E1" s="76"/>
    </row>
    <row r="2" spans="1:13" s="42" customFormat="1" ht="12" customHeight="1">
      <c r="A2" s="41" t="s">
        <v>447</v>
      </c>
      <c r="B2" s="15"/>
      <c r="C2" s="15"/>
      <c r="D2" s="15"/>
    </row>
    <row r="3" spans="1:13" s="42" customFormat="1" ht="12" customHeight="1">
      <c r="A3" s="41" t="s">
        <v>6</v>
      </c>
      <c r="B3" s="15"/>
      <c r="C3" s="15"/>
      <c r="D3" s="15"/>
      <c r="E3" s="77"/>
    </row>
    <row r="4" spans="1:13" ht="3.95" customHeight="1">
      <c r="A4" s="43"/>
      <c r="B4" s="43"/>
      <c r="C4" s="43"/>
      <c r="D4" s="43"/>
    </row>
    <row r="5" spans="1:13" s="44" customFormat="1" ht="12.95" customHeight="1">
      <c r="A5" s="489" t="s">
        <v>234</v>
      </c>
      <c r="B5" s="490"/>
      <c r="C5" s="435" t="s">
        <v>459</v>
      </c>
      <c r="D5" s="435"/>
      <c r="E5" s="434" t="s">
        <v>458</v>
      </c>
      <c r="F5" s="439"/>
    </row>
    <row r="6" spans="1:13" s="22" customFormat="1" ht="12.95" customHeight="1">
      <c r="A6" s="491"/>
      <c r="B6" s="492"/>
      <c r="C6" s="383" t="s">
        <v>344</v>
      </c>
      <c r="D6" s="383" t="s">
        <v>351</v>
      </c>
      <c r="E6" s="383" t="s">
        <v>344</v>
      </c>
      <c r="F6" s="383" t="s">
        <v>351</v>
      </c>
    </row>
    <row r="7" spans="1:13" ht="16.5" customHeight="1">
      <c r="A7" s="440" t="s">
        <v>500</v>
      </c>
      <c r="B7" s="441"/>
      <c r="C7" s="441"/>
      <c r="D7" s="441"/>
      <c r="E7" s="442"/>
      <c r="F7" s="442"/>
    </row>
    <row r="8" spans="1:13" ht="13.5" customHeight="1">
      <c r="A8" s="443" t="s">
        <v>79</v>
      </c>
      <c r="B8" s="444"/>
      <c r="C8" s="441"/>
      <c r="D8" s="441"/>
      <c r="E8" s="442"/>
      <c r="F8" s="442"/>
      <c r="G8" s="46"/>
      <c r="H8" s="45"/>
      <c r="I8" s="47"/>
    </row>
    <row r="9" spans="1:13" ht="13.5" customHeight="1">
      <c r="A9" s="393"/>
      <c r="B9" s="394" t="s">
        <v>280</v>
      </c>
      <c r="C9" s="292">
        <v>2327.7421880000002</v>
      </c>
      <c r="D9" s="292">
        <v>2161.7774020000002</v>
      </c>
      <c r="E9" s="292">
        <v>623.37151600000004</v>
      </c>
      <c r="F9" s="292">
        <v>818.99083799999994</v>
      </c>
      <c r="M9" s="33"/>
    </row>
    <row r="10" spans="1:13" ht="13.5" customHeight="1">
      <c r="A10" s="22"/>
      <c r="B10" s="394" t="s">
        <v>281</v>
      </c>
      <c r="C10" s="292">
        <v>4112.65852</v>
      </c>
      <c r="D10" s="292">
        <v>4203.4185639999996</v>
      </c>
      <c r="E10" s="292">
        <v>624.54002500000013</v>
      </c>
      <c r="F10" s="292">
        <v>665.15360099999987</v>
      </c>
      <c r="M10" s="33"/>
    </row>
    <row r="11" spans="1:13" ht="13.5" customHeight="1">
      <c r="A11" s="22"/>
      <c r="B11" s="394" t="s">
        <v>81</v>
      </c>
      <c r="C11" s="292">
        <v>273.67139900000001</v>
      </c>
      <c r="D11" s="292">
        <v>260.73389900000001</v>
      </c>
      <c r="E11" s="292">
        <v>89.537682000000004</v>
      </c>
      <c r="F11" s="292">
        <v>90.759794000000014</v>
      </c>
      <c r="M11" s="34"/>
    </row>
    <row r="12" spans="1:13" ht="13.5" customHeight="1">
      <c r="A12" s="22"/>
      <c r="B12" s="394" t="s">
        <v>282</v>
      </c>
      <c r="C12" s="292">
        <v>187.18843899999999</v>
      </c>
      <c r="D12" s="292">
        <v>161.94997000000001</v>
      </c>
      <c r="E12" s="292">
        <v>30.205179999999995</v>
      </c>
      <c r="F12" s="292">
        <v>22.669450000000001</v>
      </c>
      <c r="M12" s="33"/>
    </row>
    <row r="13" spans="1:13" ht="13.5" customHeight="1">
      <c r="A13" s="22"/>
      <c r="B13" s="394" t="s">
        <v>229</v>
      </c>
      <c r="C13" s="292">
        <v>578.65431799999999</v>
      </c>
      <c r="D13" s="292">
        <v>611.801377</v>
      </c>
      <c r="E13" s="292">
        <v>120.20202100000002</v>
      </c>
      <c r="F13" s="292">
        <v>176.81075099999998</v>
      </c>
      <c r="M13" s="33"/>
    </row>
    <row r="14" spans="1:13" ht="13.5" customHeight="1">
      <c r="A14" s="22"/>
      <c r="B14" s="394" t="s">
        <v>283</v>
      </c>
      <c r="C14" s="292">
        <v>4398.6137519999993</v>
      </c>
      <c r="D14" s="292">
        <v>4396.4688210000004</v>
      </c>
      <c r="E14" s="292">
        <v>557.84032699999989</v>
      </c>
      <c r="F14" s="292">
        <v>516.93322100000012</v>
      </c>
      <c r="M14" s="33"/>
    </row>
    <row r="15" spans="1:13" ht="13.5" customHeight="1">
      <c r="A15" s="22"/>
      <c r="B15" s="394" t="s">
        <v>284</v>
      </c>
      <c r="C15" s="292">
        <v>1153.7596120000001</v>
      </c>
      <c r="D15" s="292">
        <v>1143.5968680000001</v>
      </c>
      <c r="E15" s="292">
        <v>187.13053500000001</v>
      </c>
      <c r="F15" s="292">
        <v>190.13362700000002</v>
      </c>
      <c r="M15" s="48"/>
    </row>
    <row r="16" spans="1:13" ht="13.5" customHeight="1">
      <c r="A16" s="22"/>
      <c r="B16" s="394" t="s">
        <v>285</v>
      </c>
      <c r="C16" s="292">
        <v>16.038918999999996</v>
      </c>
      <c r="D16" s="292">
        <v>9.9208969999999983</v>
      </c>
      <c r="E16" s="292">
        <v>1.6658499999999998</v>
      </c>
      <c r="F16" s="292">
        <v>0.35702</v>
      </c>
      <c r="M16" s="33"/>
    </row>
    <row r="17" spans="1:13" ht="13.5" customHeight="1">
      <c r="A17" s="22"/>
      <c r="B17" s="394" t="s">
        <v>286</v>
      </c>
      <c r="C17" s="292">
        <v>4791.3967530000009</v>
      </c>
      <c r="D17" s="292">
        <v>4295.7668232284886</v>
      </c>
      <c r="E17" s="292">
        <v>927.49530499999992</v>
      </c>
      <c r="F17" s="292">
        <v>740.64550599999995</v>
      </c>
      <c r="M17" s="33"/>
    </row>
    <row r="18" spans="1:13" ht="13.5" customHeight="1">
      <c r="A18" s="22"/>
      <c r="B18" s="394" t="s">
        <v>287</v>
      </c>
      <c r="C18" s="292">
        <v>646.28890200000001</v>
      </c>
      <c r="D18" s="292">
        <v>628.65466700000002</v>
      </c>
      <c r="E18" s="292">
        <v>110.42147799999999</v>
      </c>
      <c r="F18" s="292">
        <v>114.845511</v>
      </c>
      <c r="M18" s="33"/>
    </row>
    <row r="19" spans="1:13" ht="13.5" customHeight="1">
      <c r="A19" s="22"/>
      <c r="B19" s="394" t="s">
        <v>288</v>
      </c>
      <c r="C19" s="292">
        <v>249.06144599999996</v>
      </c>
      <c r="D19" s="292">
        <v>300.80467900000008</v>
      </c>
      <c r="E19" s="292">
        <v>40.909219000000007</v>
      </c>
      <c r="F19" s="292">
        <v>67.944924999999984</v>
      </c>
      <c r="M19" s="33"/>
    </row>
    <row r="20" spans="1:13" ht="13.5" customHeight="1">
      <c r="A20" s="22"/>
      <c r="B20" s="394" t="s">
        <v>289</v>
      </c>
      <c r="C20" s="292">
        <v>229.85172599999996</v>
      </c>
      <c r="D20" s="292">
        <v>222.157006</v>
      </c>
      <c r="E20" s="292">
        <v>98.961593999999991</v>
      </c>
      <c r="F20" s="292">
        <v>110.521541</v>
      </c>
      <c r="M20" s="33"/>
    </row>
    <row r="21" spans="1:13" ht="13.5" customHeight="1">
      <c r="A21" s="22"/>
      <c r="B21" s="394" t="s">
        <v>290</v>
      </c>
      <c r="C21" s="292">
        <v>344.15501300000005</v>
      </c>
      <c r="D21" s="292">
        <v>411.29384800000008</v>
      </c>
      <c r="E21" s="292">
        <v>5.70505</v>
      </c>
      <c r="F21" s="292">
        <v>9.6068999999999996</v>
      </c>
      <c r="M21" s="33"/>
    </row>
    <row r="22" spans="1:13" ht="13.5" customHeight="1">
      <c r="A22" s="22"/>
      <c r="B22" s="394" t="s">
        <v>45</v>
      </c>
      <c r="C22" s="292">
        <v>21.108250000000002</v>
      </c>
      <c r="D22" s="292">
        <v>18.582167999999999</v>
      </c>
      <c r="E22" s="292">
        <v>4.1441999999999997</v>
      </c>
      <c r="F22" s="292">
        <v>2.8425739999999999</v>
      </c>
      <c r="M22" s="33"/>
    </row>
    <row r="23" spans="1:13" ht="13.5" customHeight="1">
      <c r="A23" s="22"/>
      <c r="B23" s="394" t="s">
        <v>291</v>
      </c>
      <c r="C23" s="292">
        <v>20.138400000000001</v>
      </c>
      <c r="D23" s="292">
        <v>26.373061999999997</v>
      </c>
      <c r="E23" s="292">
        <v>1.6738</v>
      </c>
      <c r="F23" s="292">
        <v>2.8346999999999998</v>
      </c>
      <c r="M23" s="33"/>
    </row>
    <row r="24" spans="1:13" ht="13.5" customHeight="1">
      <c r="A24" s="22"/>
      <c r="B24" s="394" t="s">
        <v>252</v>
      </c>
      <c r="C24" s="292">
        <v>281.60191300000002</v>
      </c>
      <c r="D24" s="292">
        <v>286.59549000000004</v>
      </c>
      <c r="E24" s="292">
        <v>17.720841</v>
      </c>
      <c r="F24" s="292">
        <v>23.794858999999999</v>
      </c>
      <c r="M24" s="33"/>
    </row>
    <row r="25" spans="1:13" ht="13.5" customHeight="1">
      <c r="A25" s="22"/>
      <c r="B25" s="394" t="s">
        <v>253</v>
      </c>
      <c r="C25" s="292">
        <v>40.366896000000011</v>
      </c>
      <c r="D25" s="292">
        <v>44.167601000000026</v>
      </c>
      <c r="E25" s="292">
        <v>16.831864000000007</v>
      </c>
      <c r="F25" s="292">
        <v>20.419054000000003</v>
      </c>
      <c r="M25" s="33"/>
    </row>
    <row r="26" spans="1:13" ht="13.5" customHeight="1">
      <c r="A26" s="22"/>
      <c r="B26" s="394" t="s">
        <v>254</v>
      </c>
      <c r="C26" s="292">
        <v>385.084249</v>
      </c>
      <c r="D26" s="292">
        <v>351.78257399999995</v>
      </c>
      <c r="E26" s="292">
        <v>0.6710799999999999</v>
      </c>
      <c r="F26" s="292">
        <v>0.22444</v>
      </c>
      <c r="M26" s="33"/>
    </row>
    <row r="27" spans="1:13" ht="13.5" customHeight="1">
      <c r="A27" s="22"/>
      <c r="B27" s="394" t="s">
        <v>255</v>
      </c>
      <c r="C27" s="292">
        <v>87.826813999999999</v>
      </c>
      <c r="D27" s="292">
        <v>83.46575</v>
      </c>
      <c r="E27" s="292">
        <v>19.986624000000003</v>
      </c>
      <c r="F27" s="292">
        <v>19.983683999999997</v>
      </c>
      <c r="M27" s="33"/>
    </row>
    <row r="28" spans="1:13" ht="13.5" customHeight="1">
      <c r="A28" s="22"/>
      <c r="B28" s="394" t="s">
        <v>256</v>
      </c>
      <c r="C28" s="292">
        <v>51.120828000000003</v>
      </c>
      <c r="D28" s="292">
        <v>40.163985000000004</v>
      </c>
      <c r="E28" s="292">
        <v>42.880118000000003</v>
      </c>
      <c r="F28" s="292">
        <v>34.162254999999995</v>
      </c>
      <c r="M28" s="33"/>
    </row>
    <row r="29" spans="1:13" ht="13.5" customHeight="1">
      <c r="A29" s="22"/>
      <c r="B29" s="394" t="s">
        <v>257</v>
      </c>
      <c r="C29" s="292">
        <v>262.73129600000004</v>
      </c>
      <c r="D29" s="292">
        <v>270.03959099999997</v>
      </c>
      <c r="E29" s="292">
        <v>65.839776000000001</v>
      </c>
      <c r="F29" s="292">
        <v>75.423908999999981</v>
      </c>
      <c r="M29" s="33"/>
    </row>
    <row r="30" spans="1:13" ht="13.5" customHeight="1">
      <c r="A30" s="22"/>
      <c r="B30" s="394" t="s">
        <v>258</v>
      </c>
      <c r="C30" s="292">
        <v>493.53574300000002</v>
      </c>
      <c r="D30" s="292">
        <v>535.90839100000005</v>
      </c>
      <c r="E30" s="292">
        <v>136.01656999999997</v>
      </c>
      <c r="F30" s="292">
        <v>148.82936699999999</v>
      </c>
      <c r="M30" s="33"/>
    </row>
    <row r="31" spans="1:13" ht="13.5" customHeight="1">
      <c r="A31" s="22"/>
      <c r="B31" s="394" t="s">
        <v>144</v>
      </c>
      <c r="C31" s="292">
        <v>261.46588300000002</v>
      </c>
      <c r="D31" s="292">
        <v>305.84045700000001</v>
      </c>
      <c r="E31" s="292">
        <v>80.261798999999996</v>
      </c>
      <c r="F31" s="292">
        <v>92.802659000000006</v>
      </c>
      <c r="M31" s="33"/>
    </row>
    <row r="32" spans="1:13" ht="13.5" customHeight="1">
      <c r="A32" s="22"/>
      <c r="B32" s="394" t="s">
        <v>145</v>
      </c>
      <c r="C32" s="292">
        <v>98.961964999999978</v>
      </c>
      <c r="D32" s="292">
        <v>121.16312899999998</v>
      </c>
      <c r="E32" s="292">
        <v>7.8611199999999988</v>
      </c>
      <c r="F32" s="292">
        <v>12.924661999999998</v>
      </c>
      <c r="M32" s="33"/>
    </row>
    <row r="33" spans="1:13" ht="13.5" customHeight="1">
      <c r="A33" s="22"/>
      <c r="B33" s="394" t="s">
        <v>139</v>
      </c>
      <c r="C33" s="292">
        <v>181.02693199999999</v>
      </c>
      <c r="D33" s="292">
        <v>184.69910199999998</v>
      </c>
      <c r="E33" s="292">
        <v>27.098431999999999</v>
      </c>
      <c r="F33" s="292">
        <v>23.404778999999998</v>
      </c>
      <c r="M33" s="33"/>
    </row>
    <row r="34" spans="1:13" ht="13.5" customHeight="1">
      <c r="A34" s="22"/>
      <c r="B34" s="394" t="s">
        <v>146</v>
      </c>
      <c r="C34" s="292">
        <v>163.73273</v>
      </c>
      <c r="D34" s="292">
        <v>133.98961</v>
      </c>
      <c r="E34" s="292">
        <v>21.699550000000002</v>
      </c>
      <c r="F34" s="292">
        <v>32.029730000000001</v>
      </c>
      <c r="M34" s="33"/>
    </row>
    <row r="35" spans="1:13" ht="13.5" customHeight="1">
      <c r="A35" s="22"/>
      <c r="B35" s="394" t="s">
        <v>147</v>
      </c>
      <c r="C35" s="292">
        <v>98.645071999999985</v>
      </c>
      <c r="D35" s="292">
        <v>88.04345499999998</v>
      </c>
      <c r="E35" s="292">
        <v>53.913916</v>
      </c>
      <c r="F35" s="292">
        <v>46.598835000000001</v>
      </c>
      <c r="M35" s="48"/>
    </row>
    <row r="36" spans="1:13" ht="13.5" customHeight="1">
      <c r="A36" s="22"/>
      <c r="B36" s="394" t="s">
        <v>261</v>
      </c>
      <c r="C36" s="292">
        <v>85.896276999999998</v>
      </c>
      <c r="D36" s="292">
        <v>84.801524999999998</v>
      </c>
      <c r="E36" s="292">
        <v>12.171749999999999</v>
      </c>
      <c r="F36" s="292">
        <v>13.193138999999999</v>
      </c>
      <c r="M36" s="33"/>
    </row>
    <row r="37" spans="1:13" ht="13.5" customHeight="1">
      <c r="A37" s="22"/>
      <c r="B37" s="394" t="s">
        <v>262</v>
      </c>
      <c r="C37" s="292">
        <v>16.897298999999997</v>
      </c>
      <c r="D37" s="292">
        <v>18.737876999999997</v>
      </c>
      <c r="E37" s="292">
        <v>4.3280000000000003</v>
      </c>
      <c r="F37" s="292">
        <v>4.8526900000000008</v>
      </c>
      <c r="M37" s="33"/>
    </row>
    <row r="38" spans="1:13" ht="13.5" customHeight="1">
      <c r="A38" s="22"/>
      <c r="B38" s="394" t="s">
        <v>205</v>
      </c>
      <c r="C38" s="292">
        <v>82.468693999999985</v>
      </c>
      <c r="D38" s="292">
        <v>82.859538999999984</v>
      </c>
      <c r="E38" s="292">
        <v>13.420161</v>
      </c>
      <c r="F38" s="292">
        <v>15.233957</v>
      </c>
      <c r="M38" s="33"/>
    </row>
    <row r="39" spans="1:13" ht="13.5" customHeight="1">
      <c r="A39" s="22"/>
      <c r="B39" s="394" t="s">
        <v>206</v>
      </c>
      <c r="C39" s="292">
        <v>127.434336</v>
      </c>
      <c r="D39" s="292">
        <v>88.246645999999998</v>
      </c>
      <c r="E39" s="292">
        <v>21.548470000000002</v>
      </c>
      <c r="F39" s="292">
        <v>15.348255000000002</v>
      </c>
      <c r="M39" s="33"/>
    </row>
    <row r="40" spans="1:13" ht="13.5" customHeight="1">
      <c r="A40" s="22"/>
      <c r="B40" s="394" t="s">
        <v>207</v>
      </c>
      <c r="C40" s="292">
        <v>288.71704</v>
      </c>
      <c r="D40" s="292">
        <v>293.47922999999997</v>
      </c>
      <c r="E40" s="292">
        <v>42.395337999999995</v>
      </c>
      <c r="F40" s="292">
        <v>42.090458999999996</v>
      </c>
      <c r="G40" s="45"/>
      <c r="H40" s="45"/>
      <c r="I40" s="47"/>
      <c r="M40" s="33"/>
    </row>
    <row r="41" spans="1:13" ht="13.5" customHeight="1">
      <c r="A41" s="22"/>
      <c r="B41" s="394" t="s">
        <v>268</v>
      </c>
      <c r="C41" s="292">
        <v>6.9880000000000004</v>
      </c>
      <c r="D41" s="292">
        <v>9.58568</v>
      </c>
      <c r="E41" s="292">
        <v>0.94599999999999995</v>
      </c>
      <c r="F41" s="292">
        <v>1.23</v>
      </c>
      <c r="G41" s="45"/>
      <c r="H41" s="45"/>
      <c r="M41" s="48"/>
    </row>
    <row r="42" spans="1:13" ht="13.5" customHeight="1">
      <c r="A42" s="22"/>
      <c r="B42" s="394" t="s">
        <v>300</v>
      </c>
      <c r="C42" s="292">
        <v>159.38071000000002</v>
      </c>
      <c r="D42" s="292">
        <v>156.93736799999999</v>
      </c>
      <c r="E42" s="292">
        <v>44.202641</v>
      </c>
      <c r="F42" s="292">
        <v>49.66794999999999</v>
      </c>
      <c r="M42" s="33"/>
    </row>
    <row r="43" spans="1:13" ht="13.5" customHeight="1">
      <c r="A43" s="22"/>
      <c r="B43" s="394" t="s">
        <v>301</v>
      </c>
      <c r="C43" s="292">
        <v>408.73416499999996</v>
      </c>
      <c r="D43" s="292">
        <v>519.79196899999999</v>
      </c>
      <c r="E43" s="292">
        <v>55.096820000000001</v>
      </c>
      <c r="F43" s="292">
        <v>85.220309999999998</v>
      </c>
      <c r="G43" s="45"/>
      <c r="H43" s="45"/>
      <c r="I43" s="47"/>
      <c r="M43" s="33"/>
    </row>
    <row r="44" spans="1:13" ht="13.5" customHeight="1">
      <c r="A44" s="22"/>
      <c r="B44" s="394" t="s">
        <v>263</v>
      </c>
      <c r="C44" s="292">
        <v>60.128910999999995</v>
      </c>
      <c r="D44" s="292">
        <v>56.160500999999996</v>
      </c>
      <c r="E44" s="292">
        <v>27.85041</v>
      </c>
      <c r="F44" s="292">
        <v>27.217933000000002</v>
      </c>
      <c r="G44" s="45"/>
      <c r="H44" s="45"/>
      <c r="M44" s="33"/>
    </row>
    <row r="45" spans="1:13" ht="13.5" customHeight="1">
      <c r="A45" s="22"/>
      <c r="B45" s="394" t="s">
        <v>264</v>
      </c>
      <c r="C45" s="292">
        <v>20.756093999999997</v>
      </c>
      <c r="D45" s="292">
        <v>22.099589999999999</v>
      </c>
      <c r="E45" s="292">
        <v>11.817923999999998</v>
      </c>
      <c r="F45" s="292">
        <v>12.21008</v>
      </c>
      <c r="G45" s="45"/>
      <c r="H45" s="45"/>
      <c r="I45" s="47"/>
      <c r="M45" s="33"/>
    </row>
    <row r="46" spans="1:13" ht="13.5" customHeight="1">
      <c r="A46" s="22"/>
      <c r="B46" s="394" t="s">
        <v>265</v>
      </c>
      <c r="C46" s="292">
        <v>93.078123000000019</v>
      </c>
      <c r="D46" s="292">
        <v>90.133396999999988</v>
      </c>
      <c r="E46" s="292">
        <v>12.8949</v>
      </c>
      <c r="F46" s="292">
        <v>12.380750000000001</v>
      </c>
      <c r="G46" s="45"/>
      <c r="H46" s="45"/>
      <c r="I46" s="47"/>
      <c r="M46" s="33"/>
    </row>
    <row r="47" spans="1:13" ht="13.5" customHeight="1">
      <c r="A47" s="22"/>
      <c r="B47" s="394" t="s">
        <v>266</v>
      </c>
      <c r="C47" s="292">
        <v>104.12217400000002</v>
      </c>
      <c r="D47" s="292">
        <v>114.630475</v>
      </c>
      <c r="E47" s="292">
        <v>9.0494780000000006</v>
      </c>
      <c r="F47" s="292">
        <v>15.018049999999999</v>
      </c>
      <c r="G47" s="45"/>
      <c r="H47" s="45"/>
      <c r="I47" s="47"/>
      <c r="M47" s="48"/>
    </row>
    <row r="48" spans="1:13" ht="13.5" customHeight="1">
      <c r="A48" s="22"/>
      <c r="B48" s="394" t="s">
        <v>84</v>
      </c>
      <c r="C48" s="292">
        <v>23.554141999999999</v>
      </c>
      <c r="D48" s="292">
        <v>23.451279000000003</v>
      </c>
      <c r="E48" s="292">
        <v>2.6640299999999999</v>
      </c>
      <c r="F48" s="292">
        <v>2.84856</v>
      </c>
      <c r="M48" s="48"/>
    </row>
    <row r="49" spans="1:13" ht="13.5" customHeight="1">
      <c r="A49" s="22"/>
      <c r="B49" s="394" t="s">
        <v>215</v>
      </c>
      <c r="C49" s="292">
        <v>24.998138000000004</v>
      </c>
      <c r="D49" s="292">
        <v>29.661701000000001</v>
      </c>
      <c r="E49" s="292">
        <v>4.0198799999999997</v>
      </c>
      <c r="F49" s="292">
        <v>3.7013660000000002</v>
      </c>
      <c r="G49" s="45"/>
      <c r="H49" s="45"/>
      <c r="I49" s="47"/>
      <c r="M49" s="48"/>
    </row>
    <row r="50" spans="1:13" ht="13.5" customHeight="1">
      <c r="A50" s="68"/>
      <c r="B50" s="432" t="s">
        <v>267</v>
      </c>
      <c r="C50" s="445">
        <v>90.630569999999992</v>
      </c>
      <c r="D50" s="445">
        <v>91.028007000000017</v>
      </c>
      <c r="E50" s="445">
        <v>21.214760000000002</v>
      </c>
      <c r="F50" s="445">
        <v>22.586419000000006</v>
      </c>
      <c r="G50" s="45"/>
      <c r="H50" s="45"/>
      <c r="I50" s="47"/>
      <c r="M50" s="33"/>
    </row>
    <row r="51" spans="1:13" ht="13.5" customHeight="1">
      <c r="A51" s="16"/>
      <c r="B51" s="27"/>
      <c r="C51" s="8"/>
      <c r="D51" s="110"/>
      <c r="E51" s="8"/>
      <c r="F51" s="110" t="s">
        <v>359</v>
      </c>
      <c r="G51" s="45"/>
      <c r="H51" s="45"/>
      <c r="I51" s="47"/>
      <c r="M51" s="33"/>
    </row>
    <row r="52" spans="1:13" ht="13.5" customHeight="1">
      <c r="A52" s="61" t="s">
        <v>250</v>
      </c>
      <c r="B52" s="27"/>
      <c r="C52" s="8"/>
      <c r="D52" s="8"/>
      <c r="E52" s="8"/>
      <c r="F52" s="8"/>
      <c r="G52" s="45"/>
      <c r="H52" s="45"/>
      <c r="I52" s="47"/>
      <c r="M52" s="33"/>
    </row>
    <row r="53" spans="1:13" ht="12.95" customHeight="1">
      <c r="A53" s="489" t="s">
        <v>234</v>
      </c>
      <c r="B53" s="490"/>
      <c r="C53" s="435" t="s">
        <v>459</v>
      </c>
      <c r="D53" s="435"/>
      <c r="E53" s="434" t="s">
        <v>458</v>
      </c>
      <c r="F53" s="439"/>
      <c r="G53" s="45"/>
      <c r="H53" s="45"/>
      <c r="I53" s="47"/>
      <c r="M53" s="33"/>
    </row>
    <row r="54" spans="1:13" ht="12.95" customHeight="1">
      <c r="A54" s="491"/>
      <c r="B54" s="492"/>
      <c r="C54" s="383" t="s">
        <v>344</v>
      </c>
      <c r="D54" s="383" t="s">
        <v>351</v>
      </c>
      <c r="E54" s="383" t="s">
        <v>344</v>
      </c>
      <c r="F54" s="383" t="s">
        <v>351</v>
      </c>
      <c r="G54" s="45"/>
      <c r="H54" s="45"/>
      <c r="I54" s="47"/>
      <c r="M54" s="33"/>
    </row>
    <row r="55" spans="1:13" ht="13.5" customHeight="1">
      <c r="A55" s="22"/>
      <c r="B55" s="394" t="s">
        <v>61</v>
      </c>
      <c r="C55" s="292">
        <v>92.540863000000002</v>
      </c>
      <c r="D55" s="292">
        <v>97.895916999999983</v>
      </c>
      <c r="E55" s="292">
        <v>15.163605999999996</v>
      </c>
      <c r="F55" s="292">
        <v>16.783147</v>
      </c>
      <c r="M55" s="34"/>
    </row>
    <row r="56" spans="1:13" ht="13.5" customHeight="1">
      <c r="A56" s="22"/>
      <c r="B56" s="394" t="s">
        <v>62</v>
      </c>
      <c r="C56" s="292">
        <v>88.137337000000002</v>
      </c>
      <c r="D56" s="292">
        <v>91.43283799999999</v>
      </c>
      <c r="E56" s="292">
        <v>13.602829999999999</v>
      </c>
      <c r="F56" s="292">
        <v>23.832079999999998</v>
      </c>
      <c r="G56" s="45"/>
      <c r="H56" s="45"/>
      <c r="I56" s="47"/>
      <c r="M56" s="50"/>
    </row>
    <row r="57" spans="1:13" ht="13.5" customHeight="1">
      <c r="A57" s="22"/>
      <c r="B57" s="394" t="s">
        <v>88</v>
      </c>
      <c r="C57" s="292">
        <v>6.7075689999999994</v>
      </c>
      <c r="D57" s="292">
        <v>6.4948589999999999</v>
      </c>
      <c r="E57" s="292">
        <v>0.52873999999999999</v>
      </c>
      <c r="F57" s="292">
        <v>0.78979999999999995</v>
      </c>
      <c r="G57" s="45"/>
      <c r="H57" s="45"/>
      <c r="I57" s="47"/>
      <c r="M57" s="34"/>
    </row>
    <row r="58" spans="1:13" ht="13.5" customHeight="1">
      <c r="A58" s="22"/>
      <c r="B58" s="394" t="s">
        <v>63</v>
      </c>
      <c r="C58" s="292">
        <v>59.218054999999993</v>
      </c>
      <c r="D58" s="292">
        <v>48.805481999999998</v>
      </c>
      <c r="E58" s="292">
        <v>1.2857600000000002</v>
      </c>
      <c r="F58" s="292">
        <v>0.46451900000000002</v>
      </c>
      <c r="G58" s="45"/>
      <c r="H58" s="45"/>
      <c r="I58" s="47"/>
      <c r="M58" s="34"/>
    </row>
    <row r="59" spans="1:13" ht="13.5" customHeight="1">
      <c r="A59" s="22"/>
      <c r="B59" s="394" t="s">
        <v>140</v>
      </c>
      <c r="C59" s="292">
        <v>4.4125169999999994</v>
      </c>
      <c r="D59" s="292">
        <v>5.9392459999999998</v>
      </c>
      <c r="E59" s="292">
        <v>1.4226100000000002</v>
      </c>
      <c r="F59" s="292">
        <v>3.0687530000000001</v>
      </c>
      <c r="G59" s="45"/>
      <c r="H59" s="45"/>
      <c r="I59" s="47"/>
      <c r="M59" s="34"/>
    </row>
    <row r="60" spans="1:13" ht="13.5" customHeight="1">
      <c r="A60" s="22"/>
      <c r="B60" s="394" t="s">
        <v>115</v>
      </c>
      <c r="C60" s="292">
        <v>57.790846999999999</v>
      </c>
      <c r="D60" s="292">
        <v>62.653041000000009</v>
      </c>
      <c r="E60" s="292">
        <v>4.9922400000000007</v>
      </c>
      <c r="F60" s="292">
        <v>4.6271100000000001</v>
      </c>
      <c r="G60" s="45"/>
      <c r="H60" s="45"/>
      <c r="I60" s="47"/>
      <c r="M60" s="34"/>
    </row>
    <row r="61" spans="1:13" ht="13.5" customHeight="1">
      <c r="A61" s="22"/>
      <c r="B61" s="394" t="s">
        <v>116</v>
      </c>
      <c r="C61" s="292">
        <v>37.324698000000005</v>
      </c>
      <c r="D61" s="292">
        <v>38.558340000000001</v>
      </c>
      <c r="E61" s="292">
        <v>8.8076300000000014</v>
      </c>
      <c r="F61" s="292">
        <v>9.4372300000000013</v>
      </c>
      <c r="G61" s="45"/>
      <c r="H61" s="45"/>
      <c r="I61" s="47"/>
      <c r="M61" s="34"/>
    </row>
    <row r="62" spans="1:13" ht="13.5" customHeight="1">
      <c r="A62" s="22"/>
      <c r="B62" s="394" t="s">
        <v>60</v>
      </c>
      <c r="C62" s="292">
        <v>59.003198999999995</v>
      </c>
      <c r="D62" s="292">
        <v>52.712426999999998</v>
      </c>
      <c r="E62" s="292">
        <v>4.2755000000000001</v>
      </c>
      <c r="F62" s="292">
        <v>5.3152999999999997</v>
      </c>
      <c r="G62" s="45"/>
      <c r="H62" s="45"/>
      <c r="I62" s="47"/>
      <c r="M62" s="34"/>
    </row>
    <row r="63" spans="1:13" ht="13.5" customHeight="1">
      <c r="A63" s="22"/>
      <c r="B63" s="394" t="s">
        <v>117</v>
      </c>
      <c r="C63" s="292">
        <v>0.30684999999999996</v>
      </c>
      <c r="D63" s="292">
        <v>0.27655000000000002</v>
      </c>
      <c r="E63" s="292">
        <v>0</v>
      </c>
      <c r="F63" s="292">
        <v>1.52E-2</v>
      </c>
      <c r="G63" s="45"/>
      <c r="H63" s="45"/>
      <c r="I63" s="47"/>
      <c r="M63" s="34"/>
    </row>
    <row r="64" spans="1:13" ht="13.5" customHeight="1">
      <c r="A64" s="22"/>
      <c r="B64" s="394" t="s">
        <v>118</v>
      </c>
      <c r="C64" s="292">
        <v>26.225518999999995</v>
      </c>
      <c r="D64" s="292">
        <v>28.875632999999997</v>
      </c>
      <c r="E64" s="292">
        <v>4.5741989999999992</v>
      </c>
      <c r="F64" s="292">
        <v>5.3962979999999998</v>
      </c>
      <c r="G64" s="45"/>
      <c r="H64" s="45"/>
      <c r="I64" s="47"/>
      <c r="M64" s="34"/>
    </row>
    <row r="65" spans="1:13" ht="13.5" customHeight="1">
      <c r="A65" s="22"/>
      <c r="B65" s="394" t="s">
        <v>126</v>
      </c>
      <c r="C65" s="292">
        <v>10.50089</v>
      </c>
      <c r="D65" s="292">
        <v>10.505119000000001</v>
      </c>
      <c r="E65" s="292">
        <v>1.2083620000000002</v>
      </c>
      <c r="F65" s="292">
        <v>1.1899099999999998</v>
      </c>
      <c r="G65" s="45"/>
      <c r="H65" s="45"/>
      <c r="I65" s="47"/>
      <c r="M65" s="34"/>
    </row>
    <row r="66" spans="1:13" ht="13.5" customHeight="1">
      <c r="A66" s="22"/>
      <c r="B66" s="394" t="s">
        <v>137</v>
      </c>
      <c r="C66" s="292">
        <v>17.755776999999998</v>
      </c>
      <c r="D66" s="292">
        <v>17.053048999999998</v>
      </c>
      <c r="E66" s="292">
        <v>3.0210500000000002</v>
      </c>
      <c r="F66" s="292">
        <v>2.7874699999999999</v>
      </c>
      <c r="G66" s="45"/>
      <c r="H66" s="45"/>
      <c r="I66" s="47"/>
      <c r="M66" s="34"/>
    </row>
    <row r="67" spans="1:13" ht="13.5" customHeight="1">
      <c r="A67" s="22"/>
      <c r="B67" s="394" t="s">
        <v>170</v>
      </c>
      <c r="C67" s="292">
        <v>41.567990999999999</v>
      </c>
      <c r="D67" s="292">
        <v>47.575817999999991</v>
      </c>
      <c r="E67" s="292">
        <v>6.8142360000000002</v>
      </c>
      <c r="F67" s="292">
        <v>6.90069</v>
      </c>
      <c r="G67" s="45"/>
      <c r="H67" s="45"/>
      <c r="I67" s="47"/>
      <c r="M67" s="34"/>
    </row>
    <row r="68" spans="1:13" ht="13.5" customHeight="1">
      <c r="A68" s="22"/>
      <c r="B68" s="394" t="s">
        <v>138</v>
      </c>
      <c r="C68" s="292">
        <v>32.017758000000001</v>
      </c>
      <c r="D68" s="292">
        <v>36.157599000000005</v>
      </c>
      <c r="E68" s="292">
        <v>1.7074499999999999</v>
      </c>
      <c r="F68" s="292">
        <v>3.5514489999999999</v>
      </c>
      <c r="G68" s="45"/>
      <c r="H68" s="45"/>
      <c r="I68" s="47"/>
      <c r="M68" s="34"/>
    </row>
    <row r="69" spans="1:13" ht="13.5" customHeight="1">
      <c r="A69" s="22"/>
      <c r="B69" s="394" t="s">
        <v>44</v>
      </c>
      <c r="C69" s="292">
        <v>19.156828999999998</v>
      </c>
      <c r="D69" s="292">
        <v>31.433968</v>
      </c>
      <c r="E69" s="292">
        <v>3.3475000000000001</v>
      </c>
      <c r="F69" s="292">
        <v>5.770499</v>
      </c>
      <c r="G69" s="45"/>
      <c r="H69" s="45"/>
      <c r="I69" s="47"/>
      <c r="M69" s="34"/>
    </row>
    <row r="70" spans="1:13" ht="13.5" customHeight="1">
      <c r="A70" s="22"/>
      <c r="B70" s="394" t="s">
        <v>42</v>
      </c>
      <c r="C70" s="292">
        <v>5.1217300000000003</v>
      </c>
      <c r="D70" s="292">
        <v>4.1166650000000011</v>
      </c>
      <c r="E70" s="292">
        <v>3.4587299999999996</v>
      </c>
      <c r="F70" s="292">
        <v>2.6634799999999998</v>
      </c>
      <c r="G70" s="45"/>
      <c r="H70" s="45"/>
      <c r="I70" s="47"/>
      <c r="M70" s="34"/>
    </row>
    <row r="71" spans="1:13" ht="13.5" customHeight="1">
      <c r="A71" s="22"/>
      <c r="B71" s="394" t="s">
        <v>43</v>
      </c>
      <c r="C71" s="292">
        <v>3.9835289999999999</v>
      </c>
      <c r="D71" s="292">
        <v>4.4991089999999998</v>
      </c>
      <c r="E71" s="292">
        <v>0.8165</v>
      </c>
      <c r="F71" s="292">
        <v>0.6804</v>
      </c>
      <c r="G71" s="45"/>
      <c r="H71" s="45"/>
      <c r="I71" s="47"/>
      <c r="M71" s="34"/>
    </row>
    <row r="72" spans="1:13" ht="13.5" customHeight="1">
      <c r="A72" s="22"/>
      <c r="B72" s="394" t="s">
        <v>183</v>
      </c>
      <c r="C72" s="292">
        <v>10.791909000000002</v>
      </c>
      <c r="D72" s="292">
        <v>13.3657</v>
      </c>
      <c r="E72" s="292">
        <v>1.0305199999999999</v>
      </c>
      <c r="F72" s="292">
        <v>1.5532000000000001</v>
      </c>
      <c r="G72" s="45"/>
      <c r="H72" s="45"/>
      <c r="I72" s="47"/>
      <c r="M72" s="34"/>
    </row>
    <row r="73" spans="1:13" ht="13.5" customHeight="1">
      <c r="A73" s="22"/>
      <c r="B73" s="394" t="s">
        <v>184</v>
      </c>
      <c r="C73" s="292">
        <v>4.0801989999999995</v>
      </c>
      <c r="D73" s="292">
        <v>4.6677600000000004</v>
      </c>
      <c r="E73" s="292">
        <v>2.3927499999999999</v>
      </c>
      <c r="F73" s="292">
        <v>2.4101900000000001</v>
      </c>
      <c r="G73" s="45"/>
      <c r="H73" s="45"/>
      <c r="I73" s="47"/>
      <c r="M73" s="34"/>
    </row>
    <row r="74" spans="1:13" ht="13.5" customHeight="1">
      <c r="A74" s="22"/>
      <c r="B74" s="394" t="s">
        <v>185</v>
      </c>
      <c r="C74" s="292">
        <v>41.465030000000006</v>
      </c>
      <c r="D74" s="292">
        <v>45.668330000000005</v>
      </c>
      <c r="E74" s="292">
        <v>11.007959999999999</v>
      </c>
      <c r="F74" s="292">
        <v>12.312859999999999</v>
      </c>
      <c r="G74" s="45"/>
      <c r="H74" s="45"/>
      <c r="I74" s="47"/>
      <c r="M74" s="34"/>
    </row>
    <row r="75" spans="1:13" ht="13.5" customHeight="1">
      <c r="A75" s="22"/>
      <c r="B75" s="394" t="s">
        <v>59</v>
      </c>
      <c r="C75" s="292">
        <v>22.80499</v>
      </c>
      <c r="D75" s="292">
        <v>21.451598999999998</v>
      </c>
      <c r="E75" s="292">
        <v>1.2503</v>
      </c>
      <c r="F75" s="292">
        <v>1.4404999999999999</v>
      </c>
      <c r="G75" s="45"/>
      <c r="H75" s="45"/>
      <c r="I75" s="47"/>
      <c r="M75" s="34"/>
    </row>
    <row r="76" spans="1:13" ht="13.5" customHeight="1">
      <c r="A76" s="22"/>
      <c r="B76" s="394" t="s">
        <v>186</v>
      </c>
      <c r="C76" s="292">
        <v>4.0978000000000003</v>
      </c>
      <c r="D76" s="292">
        <v>3.9434999999999989</v>
      </c>
      <c r="E76" s="292">
        <v>3.2172000000000001</v>
      </c>
      <c r="F76" s="292">
        <v>3.4232999999999993</v>
      </c>
      <c r="G76" s="45"/>
      <c r="H76" s="45"/>
      <c r="I76" s="47"/>
      <c r="M76" s="34"/>
    </row>
    <row r="77" spans="1:13" ht="13.5" customHeight="1">
      <c r="A77" s="22"/>
      <c r="B77" s="394" t="s">
        <v>187</v>
      </c>
      <c r="C77" s="292">
        <v>19.73771</v>
      </c>
      <c r="D77" s="292">
        <v>14.916464</v>
      </c>
      <c r="E77" s="292">
        <v>6.9849499999999995</v>
      </c>
      <c r="F77" s="292">
        <v>5.3088499999999996</v>
      </c>
      <c r="G77" s="45"/>
      <c r="H77" s="45"/>
      <c r="I77" s="47"/>
      <c r="M77" s="34"/>
    </row>
    <row r="78" spans="1:13" ht="13.5" customHeight="1">
      <c r="A78" s="22"/>
      <c r="B78" s="394" t="s">
        <v>127</v>
      </c>
      <c r="C78" s="292">
        <v>18.093366999999997</v>
      </c>
      <c r="D78" s="292">
        <v>12.649295</v>
      </c>
      <c r="E78" s="292">
        <v>2.494726</v>
      </c>
      <c r="F78" s="292">
        <v>0.84618599999999999</v>
      </c>
      <c r="G78" s="45"/>
      <c r="H78" s="45"/>
      <c r="I78" s="47"/>
      <c r="M78" s="34"/>
    </row>
    <row r="79" spans="1:13" ht="13.5" customHeight="1">
      <c r="A79" s="22"/>
      <c r="B79" s="394" t="s">
        <v>188</v>
      </c>
      <c r="C79" s="292">
        <v>0.48986400000000002</v>
      </c>
      <c r="D79" s="292">
        <v>0.46757299999999996</v>
      </c>
      <c r="E79" s="292">
        <v>0.22164599999999998</v>
      </c>
      <c r="F79" s="292">
        <v>0.18622999999999998</v>
      </c>
      <c r="G79" s="45"/>
      <c r="H79" s="45"/>
      <c r="I79" s="47"/>
      <c r="M79" s="34"/>
    </row>
    <row r="80" spans="1:13" ht="13.5" customHeight="1">
      <c r="A80" s="22"/>
      <c r="B80" s="394" t="s">
        <v>189</v>
      </c>
      <c r="C80" s="292">
        <v>8.9999999999999993E-3</v>
      </c>
      <c r="D80" s="292">
        <v>7.0499999999999993E-2</v>
      </c>
      <c r="E80" s="292">
        <v>8.9999999999999993E-3</v>
      </c>
      <c r="F80" s="292">
        <v>8.9999999999999993E-3</v>
      </c>
      <c r="G80" s="45"/>
      <c r="H80" s="45"/>
      <c r="I80" s="47"/>
      <c r="M80" s="34"/>
    </row>
    <row r="81" spans="1:13" ht="13.5" customHeight="1">
      <c r="A81" s="22"/>
      <c r="B81" s="394" t="s">
        <v>50</v>
      </c>
      <c r="C81" s="292">
        <v>8.8746199999999984</v>
      </c>
      <c r="D81" s="292">
        <v>11.488469</v>
      </c>
      <c r="E81" s="292">
        <v>0.70640000000000003</v>
      </c>
      <c r="F81" s="292">
        <v>2.0006039999999996</v>
      </c>
      <c r="G81" s="45"/>
      <c r="H81" s="45"/>
      <c r="I81" s="47"/>
      <c r="M81" s="34"/>
    </row>
    <row r="82" spans="1:13" ht="13.5" customHeight="1">
      <c r="A82" s="22"/>
      <c r="B82" s="394" t="s">
        <v>208</v>
      </c>
      <c r="C82" s="292">
        <v>14.566253999999999</v>
      </c>
      <c r="D82" s="292">
        <v>13.737824</v>
      </c>
      <c r="E82" s="292">
        <v>1.8424700000000003</v>
      </c>
      <c r="F82" s="292">
        <v>2.3496549999999998</v>
      </c>
      <c r="G82" s="45"/>
      <c r="H82" s="45"/>
      <c r="I82" s="47"/>
      <c r="M82" s="34"/>
    </row>
    <row r="83" spans="1:13" ht="13.5" customHeight="1">
      <c r="A83" s="22"/>
      <c r="B83" s="394" t="s">
        <v>209</v>
      </c>
      <c r="C83" s="292">
        <v>0.54049999999999998</v>
      </c>
      <c r="D83" s="292">
        <v>0.51903900000000003</v>
      </c>
      <c r="E83" s="292">
        <v>0.44780000000000003</v>
      </c>
      <c r="F83" s="292">
        <v>0.42202899999999999</v>
      </c>
      <c r="G83" s="45"/>
      <c r="H83" s="45"/>
      <c r="I83" s="47"/>
      <c r="M83" s="34"/>
    </row>
    <row r="84" spans="1:13" ht="13.5" customHeight="1">
      <c r="A84" s="22"/>
      <c r="B84" s="394" t="s">
        <v>210</v>
      </c>
      <c r="C84" s="292">
        <v>1.0960840000000001</v>
      </c>
      <c r="D84" s="292">
        <v>1.132555</v>
      </c>
      <c r="E84" s="292">
        <v>0.11436</v>
      </c>
      <c r="F84" s="292">
        <v>0.11578000000000001</v>
      </c>
      <c r="G84" s="45"/>
      <c r="H84" s="45"/>
      <c r="I84" s="47"/>
      <c r="M84" s="34"/>
    </row>
    <row r="85" spans="1:13" ht="5.25" customHeight="1">
      <c r="A85" s="22"/>
      <c r="B85" s="443"/>
      <c r="C85" s="292"/>
      <c r="D85" s="292"/>
      <c r="E85" s="292"/>
      <c r="F85" s="292"/>
      <c r="G85" s="51"/>
      <c r="H85" s="51"/>
      <c r="I85" s="51"/>
      <c r="J85" s="51"/>
      <c r="M85" s="34"/>
    </row>
    <row r="86" spans="1:13" ht="13.5" customHeight="1">
      <c r="A86" s="443" t="s">
        <v>212</v>
      </c>
      <c r="B86" s="446"/>
      <c r="C86" s="292"/>
      <c r="D86" s="292"/>
      <c r="E86" s="292"/>
      <c r="F86" s="292"/>
      <c r="G86" s="45"/>
      <c r="H86" s="45"/>
      <c r="I86" s="47"/>
      <c r="M86" s="34"/>
    </row>
    <row r="87" spans="1:13" ht="13.5" customHeight="1">
      <c r="A87" s="22"/>
      <c r="B87" s="438" t="s">
        <v>303</v>
      </c>
      <c r="C87" s="292">
        <v>1047.4501544915236</v>
      </c>
      <c r="D87" s="292">
        <v>1040.9999397383333</v>
      </c>
      <c r="E87" s="292">
        <v>176.85991680698001</v>
      </c>
      <c r="F87" s="292">
        <v>180.33433949435974</v>
      </c>
      <c r="G87" s="45"/>
      <c r="H87" s="45"/>
      <c r="I87" s="52"/>
      <c r="M87" s="34"/>
    </row>
    <row r="88" spans="1:13" ht="13.5" customHeight="1">
      <c r="A88" s="22"/>
      <c r="B88" s="438" t="s">
        <v>213</v>
      </c>
      <c r="C88" s="292">
        <v>40.864173628089105</v>
      </c>
      <c r="D88" s="292">
        <v>41.567057290450137</v>
      </c>
      <c r="E88" s="292">
        <v>7.7288725787764836</v>
      </c>
      <c r="F88" s="292">
        <v>7.8689693601097108</v>
      </c>
      <c r="G88" s="45"/>
      <c r="H88" s="45"/>
      <c r="I88" s="52"/>
    </row>
    <row r="89" spans="1:13" ht="13.5" customHeight="1">
      <c r="A89" s="22"/>
      <c r="B89" s="438" t="s">
        <v>100</v>
      </c>
      <c r="C89" s="292">
        <v>110.07323713108329</v>
      </c>
      <c r="D89" s="292">
        <v>112.90291863271736</v>
      </c>
      <c r="E89" s="292">
        <v>18.0587400143386</v>
      </c>
      <c r="F89" s="292">
        <v>18.989901594891958</v>
      </c>
      <c r="G89" s="45"/>
      <c r="H89" s="45"/>
      <c r="I89" s="52"/>
    </row>
    <row r="90" spans="1:13" ht="13.5" customHeight="1">
      <c r="A90" s="22"/>
      <c r="B90" s="438" t="s">
        <v>102</v>
      </c>
      <c r="C90" s="292">
        <v>180.47861684974069</v>
      </c>
      <c r="D90" s="292">
        <v>183.42367957212124</v>
      </c>
      <c r="E90" s="292">
        <v>30.979051425838172</v>
      </c>
      <c r="F90" s="292">
        <v>31.853737282777832</v>
      </c>
      <c r="G90" s="45"/>
      <c r="H90" s="45"/>
      <c r="I90" s="52"/>
    </row>
    <row r="91" spans="1:13" ht="13.5" customHeight="1">
      <c r="A91" s="22"/>
      <c r="B91" s="438" t="s">
        <v>104</v>
      </c>
      <c r="C91" s="292">
        <v>6.1899793556701974</v>
      </c>
      <c r="D91" s="292">
        <v>6.2081772929525236</v>
      </c>
      <c r="E91" s="292">
        <v>1.1417698700000001</v>
      </c>
      <c r="F91" s="292">
        <v>1.1392404350421044</v>
      </c>
      <c r="G91" s="45"/>
      <c r="H91" s="45"/>
      <c r="I91" s="52"/>
    </row>
    <row r="92" spans="1:13" ht="13.5" customHeight="1">
      <c r="A92" s="22"/>
      <c r="B92" s="438" t="s">
        <v>106</v>
      </c>
      <c r="C92" s="292">
        <v>14.709558023174603</v>
      </c>
      <c r="D92" s="292">
        <v>15.127823016953611</v>
      </c>
      <c r="E92" s="292">
        <v>2.7049916400000003</v>
      </c>
      <c r="F92" s="292">
        <v>2.8263157379259494</v>
      </c>
      <c r="G92" s="45"/>
      <c r="H92" s="45"/>
      <c r="I92" s="52"/>
    </row>
    <row r="93" spans="1:13" ht="13.5" customHeight="1">
      <c r="A93" s="22"/>
      <c r="B93" s="438" t="s">
        <v>128</v>
      </c>
      <c r="C93" s="292">
        <v>4.3729405538888884</v>
      </c>
      <c r="D93" s="292">
        <v>4.5680776643002874</v>
      </c>
      <c r="E93" s="292">
        <v>0.80385008000000002</v>
      </c>
      <c r="F93" s="292">
        <v>0.85278208385584309</v>
      </c>
      <c r="G93" s="45"/>
      <c r="H93" s="45"/>
      <c r="I93" s="52"/>
    </row>
    <row r="94" spans="1:13" ht="13.5" customHeight="1">
      <c r="A94" s="22"/>
      <c r="B94" s="394" t="s">
        <v>129</v>
      </c>
      <c r="C94" s="292">
        <v>246.64367920971131</v>
      </c>
      <c r="D94" s="292">
        <v>249.77813971860004</v>
      </c>
      <c r="E94" s="292">
        <v>41.141449353399992</v>
      </c>
      <c r="F94" s="292">
        <v>41.551387209999994</v>
      </c>
      <c r="G94" s="45"/>
      <c r="H94" s="45"/>
      <c r="I94" s="52"/>
    </row>
    <row r="95" spans="1:13" ht="13.5" customHeight="1">
      <c r="A95" s="22"/>
      <c r="B95" s="394" t="s">
        <v>130</v>
      </c>
      <c r="C95" s="292">
        <v>1104.3678010363653</v>
      </c>
      <c r="D95" s="292">
        <v>1126.0496030873387</v>
      </c>
      <c r="E95" s="292">
        <v>183.53037453454351</v>
      </c>
      <c r="F95" s="292">
        <v>188.12703865792341</v>
      </c>
      <c r="G95" s="45"/>
      <c r="H95" s="45"/>
      <c r="I95" s="52"/>
    </row>
    <row r="96" spans="1:13" ht="13.5" customHeight="1">
      <c r="A96" s="22"/>
      <c r="B96" s="394" t="s">
        <v>131</v>
      </c>
      <c r="C96" s="292">
        <v>1.7244749020999997</v>
      </c>
      <c r="D96" s="292">
        <v>1.7169235598400001</v>
      </c>
      <c r="E96" s="292">
        <v>4.8723687399999993E-2</v>
      </c>
      <c r="F96" s="292">
        <v>4.529543191999999E-2</v>
      </c>
      <c r="G96" s="45"/>
      <c r="H96" s="45"/>
      <c r="I96" s="52"/>
    </row>
    <row r="97" spans="1:9" ht="13.5" customHeight="1">
      <c r="A97" s="22"/>
      <c r="B97" s="394" t="s">
        <v>132</v>
      </c>
      <c r="C97" s="292">
        <v>0.27039061379999996</v>
      </c>
      <c r="D97" s="292">
        <v>0.27605327563809517</v>
      </c>
      <c r="E97" s="292">
        <v>3.1511240000000004E-3</v>
      </c>
      <c r="F97" s="292">
        <v>3.1589600000000002E-3</v>
      </c>
      <c r="G97" s="45"/>
      <c r="H97" s="45"/>
      <c r="I97" s="52"/>
    </row>
    <row r="98" spans="1:9" ht="13.5" customHeight="1">
      <c r="A98" s="68"/>
      <c r="B98" s="432" t="s">
        <v>200</v>
      </c>
      <c r="C98" s="445">
        <v>6.0038385746688876</v>
      </c>
      <c r="D98" s="445">
        <v>6.4438763024491497</v>
      </c>
      <c r="E98" s="445">
        <v>0.2305135324</v>
      </c>
      <c r="F98" s="445">
        <v>0.22558000040000001</v>
      </c>
      <c r="G98" s="45"/>
      <c r="H98" s="45"/>
      <c r="I98" s="52"/>
    </row>
    <row r="99" spans="1:9" ht="9" customHeight="1">
      <c r="A99" s="113" t="s">
        <v>202</v>
      </c>
      <c r="B99" s="111"/>
      <c r="C99" s="115"/>
      <c r="D99" s="53"/>
      <c r="E99" s="115"/>
      <c r="F99" s="53"/>
      <c r="G99" s="45"/>
      <c r="H99" s="45"/>
      <c r="I99" s="47"/>
    </row>
    <row r="100" spans="1:9" ht="9" customHeight="1">
      <c r="A100" s="164" t="s">
        <v>358</v>
      </c>
      <c r="B100" s="111"/>
      <c r="C100" s="116"/>
      <c r="D100" s="116"/>
      <c r="E100" s="115"/>
      <c r="F100" s="53"/>
    </row>
    <row r="101" spans="1:9" ht="17.25" customHeight="1">
      <c r="A101" s="32"/>
      <c r="B101" s="32"/>
      <c r="C101" s="53"/>
      <c r="D101" s="53"/>
    </row>
    <row r="102" spans="1:9" ht="17.25" customHeight="1">
      <c r="A102" s="161"/>
      <c r="B102" s="161"/>
      <c r="C102" s="161"/>
      <c r="D102" s="161"/>
      <c r="E102" s="161"/>
      <c r="F102" s="161"/>
    </row>
    <row r="103" spans="1:9" ht="17.25" customHeight="1">
      <c r="A103" s="161"/>
      <c r="B103" s="161"/>
      <c r="C103" s="161"/>
      <c r="D103" s="161"/>
      <c r="E103" s="161"/>
      <c r="F103" s="161"/>
    </row>
    <row r="104" spans="1:9" ht="17.25" customHeight="1">
      <c r="A104" s="161"/>
      <c r="B104" s="161"/>
      <c r="C104" s="161"/>
      <c r="D104" s="161"/>
      <c r="E104" s="161"/>
      <c r="F104" s="161"/>
    </row>
    <row r="105" spans="1:9" ht="17.25" customHeight="1">
      <c r="A105" s="161"/>
      <c r="B105" s="161"/>
      <c r="C105" s="161"/>
      <c r="D105" s="161"/>
      <c r="E105" s="161"/>
      <c r="F105" s="161"/>
    </row>
    <row r="106" spans="1:9" ht="17.25" customHeight="1">
      <c r="A106" s="161"/>
      <c r="B106" s="161"/>
      <c r="C106" s="161"/>
      <c r="D106" s="161"/>
      <c r="E106" s="161"/>
      <c r="F106" s="161"/>
    </row>
    <row r="107" spans="1:9" ht="17.25" customHeight="1">
      <c r="A107" s="161"/>
      <c r="B107" s="161"/>
      <c r="C107" s="161"/>
      <c r="D107" s="161"/>
      <c r="E107" s="161"/>
      <c r="F107" s="161"/>
    </row>
    <row r="108" spans="1:9" ht="17.25" customHeight="1">
      <c r="A108" s="161"/>
      <c r="B108" s="161"/>
      <c r="C108" s="161"/>
      <c r="D108" s="161"/>
      <c r="E108" s="161"/>
      <c r="F108" s="161"/>
    </row>
    <row r="109" spans="1:9" ht="17.25" customHeight="1">
      <c r="A109" s="161"/>
      <c r="B109" s="161"/>
      <c r="C109" s="161"/>
      <c r="D109" s="161"/>
      <c r="E109" s="161"/>
      <c r="F109" s="161"/>
    </row>
    <row r="110" spans="1:9" ht="17.25" customHeight="1">
      <c r="A110" s="161"/>
      <c r="B110" s="161"/>
      <c r="C110" s="161"/>
      <c r="D110" s="161"/>
      <c r="E110" s="161"/>
      <c r="F110" s="161"/>
    </row>
    <row r="111" spans="1:9" ht="17.25" customHeight="1">
      <c r="A111" s="161"/>
      <c r="B111" s="161"/>
      <c r="C111" s="161"/>
      <c r="D111" s="161"/>
      <c r="E111" s="161"/>
      <c r="F111" s="161"/>
    </row>
    <row r="112" spans="1:9" ht="17.25" customHeight="1">
      <c r="A112" s="161"/>
      <c r="B112" s="161"/>
      <c r="C112" s="161"/>
      <c r="D112" s="161"/>
      <c r="E112" s="161"/>
      <c r="F112" s="161"/>
    </row>
    <row r="113" spans="1:6" ht="17.25" customHeight="1">
      <c r="A113" s="161"/>
      <c r="B113" s="161"/>
      <c r="C113" s="161"/>
      <c r="D113" s="161"/>
      <c r="E113" s="161"/>
      <c r="F113" s="161"/>
    </row>
    <row r="114" spans="1:6" ht="17.25" customHeight="1">
      <c r="A114" s="55"/>
      <c r="B114" s="56"/>
    </row>
    <row r="115" spans="1:6" ht="17.25" customHeight="1">
      <c r="A115" s="55"/>
      <c r="B115" s="56"/>
    </row>
    <row r="116" spans="1:6" ht="17.25" customHeight="1">
      <c r="A116" s="55"/>
      <c r="B116" s="57"/>
    </row>
    <row r="117" spans="1:6" ht="17.25" customHeight="1">
      <c r="A117" s="55"/>
      <c r="B117" s="56"/>
    </row>
    <row r="118" spans="1:6" ht="17.25" customHeight="1">
      <c r="A118" s="55"/>
      <c r="B118" s="57"/>
    </row>
    <row r="119" spans="1:6" ht="17.25" customHeight="1">
      <c r="A119" s="55"/>
      <c r="B119" s="56"/>
    </row>
    <row r="120" spans="1:6" ht="17.25" customHeight="1">
      <c r="A120" s="55"/>
      <c r="B120" s="57"/>
    </row>
    <row r="121" spans="1:6" ht="17.25" customHeight="1">
      <c r="A121" s="55"/>
      <c r="B121" s="57"/>
    </row>
    <row r="122" spans="1:6" ht="17.25" customHeight="1">
      <c r="A122" s="55"/>
      <c r="B122" s="57"/>
    </row>
    <row r="123" spans="1:6" ht="17.25" customHeight="1">
      <c r="A123" s="55"/>
      <c r="B123" s="56"/>
    </row>
    <row r="124" spans="1:6" ht="17.25" customHeight="1">
      <c r="A124" s="55"/>
      <c r="B124" s="57"/>
    </row>
    <row r="125" spans="1:6" ht="17.25" customHeight="1">
      <c r="A125" s="55"/>
      <c r="B125" s="56"/>
    </row>
    <row r="126" spans="1:6" ht="17.25" customHeight="1">
      <c r="A126" s="55"/>
      <c r="B126" s="57"/>
    </row>
    <row r="127" spans="1:6" ht="17.25" customHeight="1">
      <c r="A127" s="55"/>
      <c r="B127" s="56"/>
    </row>
    <row r="128" spans="1:6" ht="17.25" customHeight="1">
      <c r="A128" s="55"/>
      <c r="B128" s="56"/>
    </row>
    <row r="129" spans="2:2" ht="17.25" customHeight="1">
      <c r="B129" s="56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topLeftCell="B1" zoomScaleNormal="100" workbookViewId="0">
      <selection activeCell="AA37" sqref="AA37"/>
    </sheetView>
  </sheetViews>
  <sheetFormatPr baseColWidth="10" defaultColWidth="6.42578125" defaultRowHeight="17.25" customHeight="1"/>
  <cols>
    <col min="1" max="1" width="0.42578125" style="162" customWidth="1"/>
    <col min="2" max="2" width="12.28515625" style="162" customWidth="1"/>
    <col min="3" max="24" width="4.85546875" style="162" customWidth="1"/>
    <col min="25" max="204" width="6.42578125" style="162"/>
    <col min="205" max="205" width="1.42578125" style="162" customWidth="1"/>
    <col min="206" max="206" width="1.28515625" style="162" customWidth="1"/>
    <col min="207" max="207" width="14" style="162" customWidth="1"/>
    <col min="208" max="217" width="0" style="162" hidden="1" customWidth="1"/>
    <col min="218" max="218" width="8.28515625" style="162" customWidth="1"/>
    <col min="219" max="219" width="8" style="162" customWidth="1"/>
    <col min="220" max="226" width="8.28515625" style="162" customWidth="1"/>
    <col min="227" max="227" width="8.7109375" style="162" customWidth="1"/>
    <col min="228" max="236" width="8.42578125" style="162" customWidth="1"/>
    <col min="237" max="237" width="5.140625" style="162" customWidth="1"/>
    <col min="238" max="238" width="6.42578125" style="162" customWidth="1"/>
    <col min="239" max="239" width="14" style="162" customWidth="1"/>
    <col min="240" max="249" width="0" style="162" hidden="1" customWidth="1"/>
    <col min="250" max="250" width="7.140625" style="162" bestFit="1" customWidth="1"/>
    <col min="251" max="251" width="7.140625" style="162" customWidth="1"/>
    <col min="252" max="252" width="6.7109375" style="162" bestFit="1" customWidth="1"/>
    <col min="253" max="254" width="6.42578125" style="162"/>
    <col min="255" max="255" width="6.140625" style="162" customWidth="1"/>
    <col min="256" max="16384" width="6.42578125" style="162"/>
  </cols>
  <sheetData>
    <row r="1" spans="1:24" s="161" customFormat="1" ht="16.5" customHeight="1">
      <c r="A1" s="215" t="s">
        <v>487</v>
      </c>
      <c r="B1" s="40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4" s="161" customFormat="1" ht="13.5">
      <c r="A2" s="207" t="s">
        <v>5</v>
      </c>
      <c r="B2" s="40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4" s="161" customFormat="1" ht="3.95" customHeight="1">
      <c r="A3" s="35"/>
      <c r="B3" s="35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38"/>
      <c r="R3" s="38"/>
      <c r="S3" s="38"/>
      <c r="T3" s="38"/>
      <c r="U3" s="38"/>
      <c r="V3" s="38"/>
    </row>
    <row r="4" spans="1:24" s="161" customFormat="1" ht="14.1" customHeight="1">
      <c r="A4" s="452" t="s">
        <v>234</v>
      </c>
      <c r="B4" s="447"/>
      <c r="C4" s="411" t="s">
        <v>203</v>
      </c>
      <c r="D4" s="411" t="s">
        <v>204</v>
      </c>
      <c r="E4" s="411" t="s">
        <v>299</v>
      </c>
      <c r="F4" s="411" t="s">
        <v>269</v>
      </c>
      <c r="G4" s="411" t="s">
        <v>270</v>
      </c>
      <c r="H4" s="411" t="s">
        <v>271</v>
      </c>
      <c r="I4" s="411" t="s">
        <v>272</v>
      </c>
      <c r="J4" s="411" t="s">
        <v>273</v>
      </c>
      <c r="K4" s="411" t="s">
        <v>274</v>
      </c>
      <c r="L4" s="411" t="s">
        <v>230</v>
      </c>
      <c r="M4" s="411" t="s">
        <v>231</v>
      </c>
      <c r="N4" s="411" t="s">
        <v>232</v>
      </c>
      <c r="O4" s="411" t="s">
        <v>92</v>
      </c>
      <c r="P4" s="411" t="s">
        <v>93</v>
      </c>
      <c r="Q4" s="411" t="s">
        <v>94</v>
      </c>
      <c r="R4" s="411" t="s">
        <v>95</v>
      </c>
      <c r="S4" s="411" t="s">
        <v>96</v>
      </c>
      <c r="T4" s="411" t="s">
        <v>150</v>
      </c>
      <c r="U4" s="411" t="s">
        <v>151</v>
      </c>
      <c r="V4" s="411" t="s">
        <v>148</v>
      </c>
      <c r="W4" s="411" t="s">
        <v>342</v>
      </c>
      <c r="X4" s="411" t="s">
        <v>352</v>
      </c>
    </row>
    <row r="5" spans="1:24" s="161" customFormat="1" ht="15.95" customHeight="1">
      <c r="A5" s="456" t="s">
        <v>58</v>
      </c>
      <c r="B5" s="291"/>
      <c r="C5" s="448">
        <v>9990.9270308468331</v>
      </c>
      <c r="D5" s="448">
        <v>10051.07402539432</v>
      </c>
      <c r="E5" s="448">
        <v>10728.814010975617</v>
      </c>
      <c r="F5" s="448">
        <v>10999.862309687314</v>
      </c>
      <c r="G5" s="448">
        <v>10870.319630552138</v>
      </c>
      <c r="H5" s="448">
        <v>11587.362137035889</v>
      </c>
      <c r="I5" s="448">
        <v>12214.319419546435</v>
      </c>
      <c r="J5" s="448">
        <v>12763.534517806231</v>
      </c>
      <c r="K5" s="448">
        <v>13717.648586127063</v>
      </c>
      <c r="L5" s="448">
        <v>14106.841907056241</v>
      </c>
      <c r="M5" s="448">
        <v>14577.56335675194</v>
      </c>
      <c r="N5" s="448">
        <v>15242.468017303099</v>
      </c>
      <c r="O5" s="448">
        <v>16265.31066197867</v>
      </c>
      <c r="P5" s="448">
        <v>16650.432674971995</v>
      </c>
      <c r="Q5" s="448">
        <v>16819.464145443639</v>
      </c>
      <c r="R5" s="448">
        <v>17388.170872039929</v>
      </c>
      <c r="S5" s="448">
        <v>17663.906365313742</v>
      </c>
      <c r="T5" s="448">
        <v>17755.14447379193</v>
      </c>
      <c r="U5" s="448">
        <v>19439.325618830375</v>
      </c>
      <c r="V5" s="448">
        <v>20094.082622952723</v>
      </c>
      <c r="W5" s="448">
        <v>20687.92790725037</v>
      </c>
      <c r="X5" s="448">
        <v>20670.474095898444</v>
      </c>
    </row>
    <row r="6" spans="1:24" s="161" customFormat="1" ht="15.95" customHeight="1">
      <c r="A6" s="424" t="s">
        <v>79</v>
      </c>
      <c r="B6" s="414"/>
      <c r="C6" s="449">
        <v>7058.6449345454539</v>
      </c>
      <c r="D6" s="449">
        <v>7039.604162030053</v>
      </c>
      <c r="E6" s="449">
        <v>7582.9944877845555</v>
      </c>
      <c r="F6" s="449">
        <v>7717.2476149607992</v>
      </c>
      <c r="G6" s="449">
        <v>7524.8702424438015</v>
      </c>
      <c r="H6" s="449">
        <v>8043.6864872197821</v>
      </c>
      <c r="I6" s="449">
        <v>8410.6031961068238</v>
      </c>
      <c r="J6" s="449">
        <v>8631.0603477252407</v>
      </c>
      <c r="K6" s="449">
        <v>9364.1046490063236</v>
      </c>
      <c r="L6" s="449">
        <v>9478.5161329713519</v>
      </c>
      <c r="M6" s="449">
        <v>9756.4118963061628</v>
      </c>
      <c r="N6" s="449">
        <v>9986.7738583609535</v>
      </c>
      <c r="O6" s="449">
        <v>10758.35799937019</v>
      </c>
      <c r="P6" s="449">
        <v>10968.160409796339</v>
      </c>
      <c r="Q6" s="449">
        <v>10944.873124429809</v>
      </c>
      <c r="R6" s="449">
        <v>11215.812924996344</v>
      </c>
      <c r="S6" s="449">
        <v>11299.154339283605</v>
      </c>
      <c r="T6" s="449">
        <v>11232.274139307488</v>
      </c>
      <c r="U6" s="449">
        <v>12540.355248928683</v>
      </c>
      <c r="V6" s="449">
        <v>12878.743208111939</v>
      </c>
      <c r="W6" s="449">
        <v>13474.549104170314</v>
      </c>
      <c r="X6" s="449">
        <v>13421.420111521653</v>
      </c>
    </row>
    <row r="7" spans="1:24" s="161" customFormat="1" ht="10.35" customHeight="1">
      <c r="A7" s="457"/>
      <c r="B7" s="417" t="s">
        <v>280</v>
      </c>
      <c r="C7" s="450">
        <v>1056.8406103886391</v>
      </c>
      <c r="D7" s="450">
        <v>1204.2841948311855</v>
      </c>
      <c r="E7" s="450">
        <v>1255.3919820497006</v>
      </c>
      <c r="F7" s="450">
        <v>1224.5046306620632</v>
      </c>
      <c r="G7" s="450">
        <v>980.2851638641007</v>
      </c>
      <c r="H7" s="450">
        <v>1194.2206110571929</v>
      </c>
      <c r="I7" s="450">
        <v>1175.3586528362121</v>
      </c>
      <c r="J7" s="450">
        <v>1369.0478064803044</v>
      </c>
      <c r="K7" s="450">
        <v>1467.2925991569377</v>
      </c>
      <c r="L7" s="450">
        <v>1665.3161507593852</v>
      </c>
      <c r="M7" s="450">
        <v>1580.9389176500426</v>
      </c>
      <c r="N7" s="450">
        <v>1224.8016203574546</v>
      </c>
      <c r="O7" s="450">
        <v>1603.3948242681956</v>
      </c>
      <c r="P7" s="450">
        <v>1709.7227886336227</v>
      </c>
      <c r="Q7" s="450">
        <v>1480.7460521872226</v>
      </c>
      <c r="R7" s="450">
        <v>1624.5061581296115</v>
      </c>
      <c r="S7" s="450">
        <v>1689.7360172241449</v>
      </c>
      <c r="T7" s="450">
        <v>1389.2184617117744</v>
      </c>
      <c r="U7" s="450">
        <v>1759.7128633269813</v>
      </c>
      <c r="V7" s="450">
        <v>1629.7094374884523</v>
      </c>
      <c r="W7" s="450">
        <v>1901.1402829360411</v>
      </c>
      <c r="X7" s="450">
        <v>1765.5916204423836</v>
      </c>
    </row>
    <row r="8" spans="1:24" s="161" customFormat="1" ht="10.35" customHeight="1">
      <c r="A8" s="458"/>
      <c r="B8" s="417" t="s">
        <v>281</v>
      </c>
      <c r="C8" s="450">
        <v>1149.198400840399</v>
      </c>
      <c r="D8" s="450">
        <v>864.16106591504683</v>
      </c>
      <c r="E8" s="450">
        <v>1102.904796642129</v>
      </c>
      <c r="F8" s="450">
        <v>1095.9978384170531</v>
      </c>
      <c r="G8" s="450">
        <v>984.37979382815377</v>
      </c>
      <c r="H8" s="450">
        <v>1122.2434860696994</v>
      </c>
      <c r="I8" s="450">
        <v>1052.9948219849402</v>
      </c>
      <c r="J8" s="450">
        <v>1075.4471199174097</v>
      </c>
      <c r="K8" s="450">
        <v>1149.4186447702805</v>
      </c>
      <c r="L8" s="450">
        <v>1191.7728872023754</v>
      </c>
      <c r="M8" s="450">
        <v>1197.3138190497743</v>
      </c>
      <c r="N8" s="450">
        <v>1285.5035053690303</v>
      </c>
      <c r="O8" s="450">
        <v>1438.6428158541507</v>
      </c>
      <c r="P8" s="450">
        <v>1477.7610312664021</v>
      </c>
      <c r="Q8" s="450">
        <v>1511.7889758909782</v>
      </c>
      <c r="R8" s="450">
        <v>1554.9918266177808</v>
      </c>
      <c r="S8" s="450">
        <v>1477.3122853320097</v>
      </c>
      <c r="T8" s="450">
        <v>1533.4128520337624</v>
      </c>
      <c r="U8" s="450">
        <v>1692.3854820610825</v>
      </c>
      <c r="V8" s="450">
        <v>1760.5228020779684</v>
      </c>
      <c r="W8" s="450">
        <v>1857.6076674091389</v>
      </c>
      <c r="X8" s="450">
        <v>1898.602209700676</v>
      </c>
    </row>
    <row r="9" spans="1:24" s="161" customFormat="1" ht="10.35" customHeight="1">
      <c r="A9" s="453"/>
      <c r="B9" s="417" t="s">
        <v>81</v>
      </c>
      <c r="C9" s="450">
        <v>662.32804869688835</v>
      </c>
      <c r="D9" s="450">
        <v>702.9102543198187</v>
      </c>
      <c r="E9" s="450">
        <v>709.48427954661815</v>
      </c>
      <c r="F9" s="450">
        <v>674.0503362097063</v>
      </c>
      <c r="G9" s="450">
        <v>840.26249247212149</v>
      </c>
      <c r="H9" s="450">
        <v>703.9700172930626</v>
      </c>
      <c r="I9" s="450">
        <v>960.72646160009492</v>
      </c>
      <c r="J9" s="450">
        <v>786.86228343665937</v>
      </c>
      <c r="K9" s="450">
        <v>1016.5967268370093</v>
      </c>
      <c r="L9" s="450">
        <v>931.91895771585325</v>
      </c>
      <c r="M9" s="450">
        <v>990.57724416486258</v>
      </c>
      <c r="N9" s="450">
        <v>1189.2816304259657</v>
      </c>
      <c r="O9" s="450">
        <v>1144.6249715332422</v>
      </c>
      <c r="P9" s="450">
        <v>941.55911216517757</v>
      </c>
      <c r="Q9" s="450">
        <v>812.00066217254994</v>
      </c>
      <c r="R9" s="450">
        <v>949.66967926352208</v>
      </c>
      <c r="S9" s="450">
        <v>997.66951865463852</v>
      </c>
      <c r="T9" s="450">
        <v>1177.9471750358903</v>
      </c>
      <c r="U9" s="450">
        <v>1298.580835806928</v>
      </c>
      <c r="V9" s="450">
        <v>1231.3397330448704</v>
      </c>
      <c r="W9" s="450">
        <v>1310.9611326744039</v>
      </c>
      <c r="X9" s="450">
        <v>1248.9869559210081</v>
      </c>
    </row>
    <row r="10" spans="1:24" s="161" customFormat="1" ht="10.35" customHeight="1">
      <c r="A10" s="453"/>
      <c r="B10" s="417" t="s">
        <v>282</v>
      </c>
      <c r="C10" s="450">
        <v>199.12074425201664</v>
      </c>
      <c r="D10" s="450">
        <v>248.47262265204191</v>
      </c>
      <c r="E10" s="450">
        <v>244.33428031879347</v>
      </c>
      <c r="F10" s="450">
        <v>261.76014319491202</v>
      </c>
      <c r="G10" s="450">
        <v>270.73650661058247</v>
      </c>
      <c r="H10" s="450">
        <v>270.99037505105252</v>
      </c>
      <c r="I10" s="450">
        <v>325.63117624363491</v>
      </c>
      <c r="J10" s="450">
        <v>356.09960193730154</v>
      </c>
      <c r="K10" s="450">
        <v>435.59876947010986</v>
      </c>
      <c r="L10" s="450">
        <v>386.44636784636839</v>
      </c>
      <c r="M10" s="450">
        <v>416.62577338075283</v>
      </c>
      <c r="N10" s="450">
        <v>529.72882793180725</v>
      </c>
      <c r="O10" s="450">
        <v>485.88936623871251</v>
      </c>
      <c r="P10" s="450">
        <v>486.59773911255974</v>
      </c>
      <c r="Q10" s="450">
        <v>517.87739985195788</v>
      </c>
      <c r="R10" s="450">
        <v>529.31743415453116</v>
      </c>
      <c r="S10" s="450">
        <v>548.84993224819209</v>
      </c>
      <c r="T10" s="450">
        <v>558.00396086421074</v>
      </c>
      <c r="U10" s="450">
        <v>523.59850300618621</v>
      </c>
      <c r="V10" s="450">
        <v>540.67455701341862</v>
      </c>
      <c r="W10" s="450">
        <v>571.03144776451768</v>
      </c>
      <c r="X10" s="450">
        <v>494.03972984955658</v>
      </c>
    </row>
    <row r="11" spans="1:24" s="161" customFormat="1" ht="10.35" customHeight="1">
      <c r="A11" s="453"/>
      <c r="B11" s="417" t="s">
        <v>229</v>
      </c>
      <c r="C11" s="450">
        <v>285.98620223812105</v>
      </c>
      <c r="D11" s="450">
        <v>324.96283970169048</v>
      </c>
      <c r="E11" s="450">
        <v>301.976061964895</v>
      </c>
      <c r="F11" s="450">
        <v>371.67431493643181</v>
      </c>
      <c r="G11" s="450">
        <v>344.87973399662263</v>
      </c>
      <c r="H11" s="450">
        <v>333.05421393122634</v>
      </c>
      <c r="I11" s="450">
        <v>305.46830039430751</v>
      </c>
      <c r="J11" s="450">
        <v>327.26096400271774</v>
      </c>
      <c r="K11" s="450">
        <v>375.16373117405448</v>
      </c>
      <c r="L11" s="450">
        <v>427.95018567099447</v>
      </c>
      <c r="M11" s="450">
        <v>403.9235970434288</v>
      </c>
      <c r="N11" s="450">
        <v>382.82092452629371</v>
      </c>
      <c r="O11" s="450">
        <v>436.21038711678671</v>
      </c>
      <c r="P11" s="450">
        <v>410.45687976547026</v>
      </c>
      <c r="Q11" s="450">
        <v>404.99001717107461</v>
      </c>
      <c r="R11" s="450">
        <v>440.98155645296856</v>
      </c>
      <c r="S11" s="450">
        <v>392.88381443874357</v>
      </c>
      <c r="T11" s="450">
        <v>377.05064151314872</v>
      </c>
      <c r="U11" s="450">
        <v>396.74318666325729</v>
      </c>
      <c r="V11" s="450">
        <v>379.00259884225807</v>
      </c>
      <c r="W11" s="450">
        <v>379.96125300514143</v>
      </c>
      <c r="X11" s="450">
        <v>401.72657589187975</v>
      </c>
    </row>
    <row r="12" spans="1:24" s="161" customFormat="1" ht="10.35" customHeight="1">
      <c r="A12" s="453"/>
      <c r="B12" s="417" t="s">
        <v>283</v>
      </c>
      <c r="C12" s="450">
        <v>333.83881559011064</v>
      </c>
      <c r="D12" s="450">
        <v>336.20788101551352</v>
      </c>
      <c r="E12" s="450">
        <v>332.89429413949023</v>
      </c>
      <c r="F12" s="450">
        <v>349.03610590473698</v>
      </c>
      <c r="G12" s="450">
        <v>347.27270438906578</v>
      </c>
      <c r="H12" s="450">
        <v>357.42519532565086</v>
      </c>
      <c r="I12" s="450">
        <v>343.09384532551803</v>
      </c>
      <c r="J12" s="450">
        <v>359.69014656902476</v>
      </c>
      <c r="K12" s="450">
        <v>362.53452189567713</v>
      </c>
      <c r="L12" s="450">
        <v>382.84560939989979</v>
      </c>
      <c r="M12" s="450">
        <v>398.30442284327859</v>
      </c>
      <c r="N12" s="450">
        <v>414.20579375839793</v>
      </c>
      <c r="O12" s="450">
        <v>429.54208947717041</v>
      </c>
      <c r="P12" s="450">
        <v>459.74515410314933</v>
      </c>
      <c r="Q12" s="450">
        <v>445.75498806014406</v>
      </c>
      <c r="R12" s="450">
        <v>462.75372377344064</v>
      </c>
      <c r="S12" s="450">
        <v>454.27753919081709</v>
      </c>
      <c r="T12" s="450">
        <v>460.95761245230079</v>
      </c>
      <c r="U12" s="450">
        <v>467.19383819334388</v>
      </c>
      <c r="V12" s="450">
        <v>490.07348681374009</v>
      </c>
      <c r="W12" s="450">
        <v>513.66216649579508</v>
      </c>
      <c r="X12" s="450">
        <v>513.41168532909967</v>
      </c>
    </row>
    <row r="13" spans="1:24" s="161" customFormat="1" ht="10.35" customHeight="1">
      <c r="A13" s="453"/>
      <c r="B13" s="417" t="s">
        <v>284</v>
      </c>
      <c r="C13" s="450">
        <v>252.98070674117929</v>
      </c>
      <c r="D13" s="450">
        <v>267.92424022121298</v>
      </c>
      <c r="E13" s="450">
        <v>264.14785776516277</v>
      </c>
      <c r="F13" s="450">
        <v>276.55528509563987</v>
      </c>
      <c r="G13" s="450">
        <v>284.58845106721105</v>
      </c>
      <c r="H13" s="450">
        <v>289.58343132615175</v>
      </c>
      <c r="I13" s="450">
        <v>302.61294702838342</v>
      </c>
      <c r="J13" s="450">
        <v>318.55213183808058</v>
      </c>
      <c r="K13" s="450">
        <v>305.34982050962134</v>
      </c>
      <c r="L13" s="450">
        <v>316.99680556471583</v>
      </c>
      <c r="M13" s="450">
        <v>336.31532392371321</v>
      </c>
      <c r="N13" s="450">
        <v>334.41344576920238</v>
      </c>
      <c r="O13" s="450">
        <v>352.76667489773882</v>
      </c>
      <c r="P13" s="450">
        <v>357.75804805691587</v>
      </c>
      <c r="Q13" s="450">
        <v>361.96382679563152</v>
      </c>
      <c r="R13" s="450">
        <v>351.50717348454208</v>
      </c>
      <c r="S13" s="450">
        <v>348.73385166421497</v>
      </c>
      <c r="T13" s="450">
        <v>332.32611208108625</v>
      </c>
      <c r="U13" s="450">
        <v>368.3671500249684</v>
      </c>
      <c r="V13" s="450">
        <v>386.15349238136264</v>
      </c>
      <c r="W13" s="450">
        <v>390.80909227913054</v>
      </c>
      <c r="X13" s="450">
        <v>387.36670036629494</v>
      </c>
    </row>
    <row r="14" spans="1:24" s="161" customFormat="1" ht="10.35" customHeight="1">
      <c r="A14" s="453"/>
      <c r="B14" s="417" t="s">
        <v>285</v>
      </c>
      <c r="C14" s="450">
        <v>261.31392360950872</v>
      </c>
      <c r="D14" s="450">
        <v>271.34899307360666</v>
      </c>
      <c r="E14" s="450">
        <v>304.97462809687659</v>
      </c>
      <c r="F14" s="450">
        <v>281.76289430895343</v>
      </c>
      <c r="G14" s="450">
        <v>369.17792648954861</v>
      </c>
      <c r="H14" s="450">
        <v>443.39579735094946</v>
      </c>
      <c r="I14" s="450">
        <v>398.60508171021911</v>
      </c>
      <c r="J14" s="450">
        <v>447.21026111858214</v>
      </c>
      <c r="K14" s="450">
        <v>356.55308745420388</v>
      </c>
      <c r="L14" s="450">
        <v>202.43283121072508</v>
      </c>
      <c r="M14" s="450">
        <v>132.96966568000298</v>
      </c>
      <c r="N14" s="450">
        <v>224.32192141771412</v>
      </c>
      <c r="O14" s="450">
        <v>240.86672271043668</v>
      </c>
      <c r="P14" s="450">
        <v>176.54132341500019</v>
      </c>
      <c r="Q14" s="450">
        <v>190.44691054049545</v>
      </c>
      <c r="R14" s="450">
        <v>157.89819776705818</v>
      </c>
      <c r="S14" s="450">
        <v>109.58654728427787</v>
      </c>
      <c r="T14" s="450">
        <v>51.76588964440954</v>
      </c>
      <c r="U14" s="450">
        <v>82.81024911669148</v>
      </c>
      <c r="V14" s="450">
        <v>113.35634466155379</v>
      </c>
      <c r="W14" s="450">
        <v>40.960584159842114</v>
      </c>
      <c r="X14" s="450">
        <v>25.336229736531816</v>
      </c>
    </row>
    <row r="15" spans="1:24" s="161" customFormat="1" ht="10.35" customHeight="1">
      <c r="A15" s="453"/>
      <c r="B15" s="417" t="s">
        <v>286</v>
      </c>
      <c r="C15" s="450">
        <v>187.2198737304</v>
      </c>
      <c r="D15" s="450">
        <v>179.98574994959998</v>
      </c>
      <c r="E15" s="450">
        <v>219.40718853479996</v>
      </c>
      <c r="F15" s="450">
        <v>247.21694468393994</v>
      </c>
      <c r="G15" s="450">
        <v>201.49672424286715</v>
      </c>
      <c r="H15" s="450">
        <v>155.74037321639995</v>
      </c>
      <c r="I15" s="450">
        <v>175.73482929239995</v>
      </c>
      <c r="J15" s="450">
        <v>202.07175538257638</v>
      </c>
      <c r="K15" s="450">
        <v>238.88482642079993</v>
      </c>
      <c r="L15" s="450">
        <v>266.80823210910955</v>
      </c>
      <c r="M15" s="450">
        <v>262.00673519159994</v>
      </c>
      <c r="N15" s="450">
        <v>261.61684338190798</v>
      </c>
      <c r="O15" s="450">
        <v>259.58220490355995</v>
      </c>
      <c r="P15" s="450">
        <v>303.97428771191989</v>
      </c>
      <c r="Q15" s="450">
        <v>320.27789093747992</v>
      </c>
      <c r="R15" s="450">
        <v>268.09896770579991</v>
      </c>
      <c r="S15" s="450">
        <v>242.65779795179995</v>
      </c>
      <c r="T15" s="450">
        <v>213.65746310999995</v>
      </c>
      <c r="U15" s="450">
        <v>242.34986495075992</v>
      </c>
      <c r="V15" s="450">
        <v>280.9330268807999</v>
      </c>
      <c r="W15" s="450">
        <v>281.73412907639994</v>
      </c>
      <c r="X15" s="450">
        <v>252.59108920583506</v>
      </c>
    </row>
    <row r="16" spans="1:24" s="161" customFormat="1" ht="10.35" customHeight="1">
      <c r="A16" s="453"/>
      <c r="B16" s="417" t="s">
        <v>287</v>
      </c>
      <c r="C16" s="450">
        <v>144.78643984018629</v>
      </c>
      <c r="D16" s="450">
        <v>151.03407654487398</v>
      </c>
      <c r="E16" s="450">
        <v>144.34247084308538</v>
      </c>
      <c r="F16" s="450">
        <v>147.44499387363967</v>
      </c>
      <c r="G16" s="450">
        <v>154.11107841422603</v>
      </c>
      <c r="H16" s="450">
        <v>161.4918838982334</v>
      </c>
      <c r="I16" s="450">
        <v>169.56695163200979</v>
      </c>
      <c r="J16" s="450">
        <v>174.03290832398508</v>
      </c>
      <c r="K16" s="450">
        <v>168.26492540842051</v>
      </c>
      <c r="L16" s="450">
        <v>179.68426667822007</v>
      </c>
      <c r="M16" s="450">
        <v>188.62950373220409</v>
      </c>
      <c r="N16" s="450">
        <v>178.33667891384542</v>
      </c>
      <c r="O16" s="450">
        <v>183.86132880245603</v>
      </c>
      <c r="P16" s="450">
        <v>187.05343008806383</v>
      </c>
      <c r="Q16" s="450">
        <v>184.93161903944355</v>
      </c>
      <c r="R16" s="450">
        <v>200.92222539974426</v>
      </c>
      <c r="S16" s="450">
        <v>197.69425151444221</v>
      </c>
      <c r="T16" s="450">
        <v>189.16783791170093</v>
      </c>
      <c r="U16" s="450">
        <v>201.33455430823946</v>
      </c>
      <c r="V16" s="450">
        <v>207.75568560541876</v>
      </c>
      <c r="W16" s="450">
        <v>215.59149937478759</v>
      </c>
      <c r="X16" s="450">
        <v>209.70900448401605</v>
      </c>
    </row>
    <row r="17" spans="1:24" s="161" customFormat="1" ht="10.35" customHeight="1">
      <c r="A17" s="453"/>
      <c r="B17" s="417" t="s">
        <v>288</v>
      </c>
      <c r="C17" s="450">
        <v>104.10126449456121</v>
      </c>
      <c r="D17" s="450">
        <v>108.32135236248027</v>
      </c>
      <c r="E17" s="450">
        <v>113.86371805807443</v>
      </c>
      <c r="F17" s="450">
        <v>123.51764958295561</v>
      </c>
      <c r="G17" s="450">
        <v>118.16066453223432</v>
      </c>
      <c r="H17" s="450">
        <v>124.90406680365963</v>
      </c>
      <c r="I17" s="450">
        <v>132.89099622737666</v>
      </c>
      <c r="J17" s="450">
        <v>145.70992443782796</v>
      </c>
      <c r="K17" s="450">
        <v>132.24733597251051</v>
      </c>
      <c r="L17" s="450">
        <v>143.9916236257161</v>
      </c>
      <c r="M17" s="450">
        <v>156.59092791332583</v>
      </c>
      <c r="N17" s="450">
        <v>147.55423005122128</v>
      </c>
      <c r="O17" s="450">
        <v>163.89150898201444</v>
      </c>
      <c r="P17" s="450">
        <v>154.66735510827655</v>
      </c>
      <c r="Q17" s="450">
        <v>138.26689102638178</v>
      </c>
      <c r="R17" s="450">
        <v>141.65714023955607</v>
      </c>
      <c r="S17" s="450">
        <v>150.17052011957514</v>
      </c>
      <c r="T17" s="450">
        <v>143.46407283654952</v>
      </c>
      <c r="U17" s="450">
        <v>132.55738088384737</v>
      </c>
      <c r="V17" s="450">
        <v>134.2380476856377</v>
      </c>
      <c r="W17" s="450">
        <v>136.27573064445852</v>
      </c>
      <c r="X17" s="450">
        <v>164.58740632220062</v>
      </c>
    </row>
    <row r="18" spans="1:24" s="161" customFormat="1" ht="10.35" customHeight="1">
      <c r="A18" s="453"/>
      <c r="B18" s="417" t="s">
        <v>289</v>
      </c>
      <c r="C18" s="450">
        <v>243.07326313981548</v>
      </c>
      <c r="D18" s="450">
        <v>206.11148735059879</v>
      </c>
      <c r="E18" s="450">
        <v>228.16293645368654</v>
      </c>
      <c r="F18" s="450">
        <v>233.8101194228795</v>
      </c>
      <c r="G18" s="450">
        <v>208.15127278630996</v>
      </c>
      <c r="H18" s="450">
        <v>238.29217465961293</v>
      </c>
      <c r="I18" s="450">
        <v>236.26712737982265</v>
      </c>
      <c r="J18" s="450">
        <v>224.40727263652983</v>
      </c>
      <c r="K18" s="450">
        <v>225.40940680715349</v>
      </c>
      <c r="L18" s="450">
        <v>252.5401279600068</v>
      </c>
      <c r="M18" s="450">
        <v>233.42978217656926</v>
      </c>
      <c r="N18" s="450">
        <v>223.46692051578393</v>
      </c>
      <c r="O18" s="450">
        <v>245.74396831441209</v>
      </c>
      <c r="P18" s="450">
        <v>273.01187252232</v>
      </c>
      <c r="Q18" s="450">
        <v>268.54978522670268</v>
      </c>
      <c r="R18" s="450">
        <v>262.24623943839697</v>
      </c>
      <c r="S18" s="450">
        <v>249.34671258396935</v>
      </c>
      <c r="T18" s="450">
        <v>226.43812743142593</v>
      </c>
      <c r="U18" s="450">
        <v>250.36551148264272</v>
      </c>
      <c r="V18" s="450">
        <v>253.03355402336257</v>
      </c>
      <c r="W18" s="450">
        <v>277.80798560611879</v>
      </c>
      <c r="X18" s="450">
        <v>268.50783937618309</v>
      </c>
    </row>
    <row r="19" spans="1:24" s="161" customFormat="1" ht="10.35" customHeight="1">
      <c r="A19" s="453"/>
      <c r="B19" s="417" t="s">
        <v>290</v>
      </c>
      <c r="C19" s="450">
        <v>123.0096735531674</v>
      </c>
      <c r="D19" s="450">
        <v>146.71108915649882</v>
      </c>
      <c r="E19" s="450">
        <v>149.20883952629686</v>
      </c>
      <c r="F19" s="450">
        <v>158.32235299745213</v>
      </c>
      <c r="G19" s="450">
        <v>158.92192921514211</v>
      </c>
      <c r="H19" s="450">
        <v>170.83739823581806</v>
      </c>
      <c r="I19" s="450">
        <v>185.56081881048311</v>
      </c>
      <c r="J19" s="450">
        <v>194.82100136360756</v>
      </c>
      <c r="K19" s="450">
        <v>209.04931900785382</v>
      </c>
      <c r="L19" s="450">
        <v>248.60930890813651</v>
      </c>
      <c r="M19" s="450">
        <v>243.69241136411298</v>
      </c>
      <c r="N19" s="450">
        <v>255.92862457913495</v>
      </c>
      <c r="O19" s="450">
        <v>283.77762674162739</v>
      </c>
      <c r="P19" s="450">
        <v>295.99860266552196</v>
      </c>
      <c r="Q19" s="450">
        <v>330.60286280458394</v>
      </c>
      <c r="R19" s="450">
        <v>357.05779891650661</v>
      </c>
      <c r="S19" s="450">
        <v>378.99418482762411</v>
      </c>
      <c r="T19" s="450">
        <v>424.50542081173108</v>
      </c>
      <c r="U19" s="450">
        <v>446.53636173222668</v>
      </c>
      <c r="V19" s="450">
        <v>460.09354589794395</v>
      </c>
      <c r="W19" s="450">
        <v>490.50510953280934</v>
      </c>
      <c r="X19" s="450">
        <v>586.19437852968497</v>
      </c>
    </row>
    <row r="20" spans="1:24" s="161" customFormat="1" ht="10.35" customHeight="1">
      <c r="A20" s="453"/>
      <c r="B20" s="417" t="s">
        <v>45</v>
      </c>
      <c r="C20" s="450">
        <v>0</v>
      </c>
      <c r="D20" s="450">
        <v>29.798182297844395</v>
      </c>
      <c r="E20" s="450">
        <v>109.82111283427797</v>
      </c>
      <c r="F20" s="450">
        <v>83.283049160707378</v>
      </c>
      <c r="G20" s="450">
        <v>99.797656455476741</v>
      </c>
      <c r="H20" s="450">
        <v>207.0002645449915</v>
      </c>
      <c r="I20" s="450">
        <v>228.35878107533566</v>
      </c>
      <c r="J20" s="450">
        <v>161.49085782853749</v>
      </c>
      <c r="K20" s="450">
        <v>212.81384475094245</v>
      </c>
      <c r="L20" s="450">
        <v>205.51361003762892</v>
      </c>
      <c r="M20" s="450">
        <v>176.64099158309332</v>
      </c>
      <c r="N20" s="450">
        <v>195.06376027008977</v>
      </c>
      <c r="O20" s="450">
        <v>210.59159995436477</v>
      </c>
      <c r="P20" s="450">
        <v>154.19122933562932</v>
      </c>
      <c r="Q20" s="450">
        <v>115.33844721204761</v>
      </c>
      <c r="R20" s="450">
        <v>126.31178360819408</v>
      </c>
      <c r="S20" s="450">
        <v>127.6218626447648</v>
      </c>
      <c r="T20" s="450">
        <v>95.673245112902578</v>
      </c>
      <c r="U20" s="450">
        <v>103.80165038117198</v>
      </c>
      <c r="V20" s="450">
        <v>104.43658971278535</v>
      </c>
      <c r="W20" s="450">
        <v>129.25506940425871</v>
      </c>
      <c r="X20" s="450">
        <v>113.78676178847584</v>
      </c>
    </row>
    <row r="21" spans="1:24" s="161" customFormat="1" ht="10.35" customHeight="1">
      <c r="A21" s="453"/>
      <c r="B21" s="417" t="s">
        <v>291</v>
      </c>
      <c r="C21" s="450">
        <v>4.1958997011961285</v>
      </c>
      <c r="D21" s="450">
        <v>5.49254195150165</v>
      </c>
      <c r="E21" s="450">
        <v>4.8641628707000608</v>
      </c>
      <c r="F21" s="450">
        <v>4.5812607019352694</v>
      </c>
      <c r="G21" s="450">
        <v>8.1997621937759479</v>
      </c>
      <c r="H21" s="450">
        <v>16.586736908018732</v>
      </c>
      <c r="I21" s="450">
        <v>17.94886333475306</v>
      </c>
      <c r="J21" s="450">
        <v>28.273257366620392</v>
      </c>
      <c r="K21" s="450">
        <v>30.868113545946798</v>
      </c>
      <c r="L21" s="450">
        <v>23.451822226577445</v>
      </c>
      <c r="M21" s="450">
        <v>17.939623325933457</v>
      </c>
      <c r="N21" s="450">
        <v>25.270283740783153</v>
      </c>
      <c r="O21" s="450">
        <v>27.585578482381599</v>
      </c>
      <c r="P21" s="450">
        <v>32.039610695788454</v>
      </c>
      <c r="Q21" s="450">
        <v>34.04952022184554</v>
      </c>
      <c r="R21" s="450">
        <v>24.998551456097754</v>
      </c>
      <c r="S21" s="450">
        <v>33.490207282917069</v>
      </c>
      <c r="T21" s="450">
        <v>56.172731522033686</v>
      </c>
      <c r="U21" s="450">
        <v>69.540861946494502</v>
      </c>
      <c r="V21" s="450">
        <v>62.03870579833157</v>
      </c>
      <c r="W21" s="450">
        <v>29.442878736190597</v>
      </c>
      <c r="X21" s="450">
        <v>38.55812112024968</v>
      </c>
    </row>
    <row r="22" spans="1:24" s="161" customFormat="1" ht="10.35" customHeight="1">
      <c r="A22" s="453"/>
      <c r="B22" s="417" t="s">
        <v>252</v>
      </c>
      <c r="C22" s="450">
        <v>159.07413419737961</v>
      </c>
      <c r="D22" s="450">
        <v>157.82622484868497</v>
      </c>
      <c r="E22" s="450">
        <v>173.0276409570742</v>
      </c>
      <c r="F22" s="450">
        <v>183.85580410078273</v>
      </c>
      <c r="G22" s="450">
        <v>152.74074388886896</v>
      </c>
      <c r="H22" s="450">
        <v>137.33351134240627</v>
      </c>
      <c r="I22" s="450">
        <v>134.25391140799911</v>
      </c>
      <c r="J22" s="450">
        <v>127.8153746839468</v>
      </c>
      <c r="K22" s="450">
        <v>137.11536655085575</v>
      </c>
      <c r="L22" s="450">
        <v>146.35220182961152</v>
      </c>
      <c r="M22" s="450">
        <v>149.78468749161812</v>
      </c>
      <c r="N22" s="450">
        <v>138.62327103223078</v>
      </c>
      <c r="O22" s="450">
        <v>135.71612019106809</v>
      </c>
      <c r="P22" s="450">
        <v>156.67058510208636</v>
      </c>
      <c r="Q22" s="450">
        <v>153.97588578134449</v>
      </c>
      <c r="R22" s="450">
        <v>153.45519529496579</v>
      </c>
      <c r="S22" s="450">
        <v>147.55067613238054</v>
      </c>
      <c r="T22" s="450">
        <v>137.52536241627215</v>
      </c>
      <c r="U22" s="450">
        <v>156.98077966538921</v>
      </c>
      <c r="V22" s="450">
        <v>154.86443166059195</v>
      </c>
      <c r="W22" s="450">
        <v>157.11838899685935</v>
      </c>
      <c r="X22" s="450">
        <v>159.90453048721128</v>
      </c>
    </row>
    <row r="23" spans="1:24" s="161" customFormat="1" ht="10.35" customHeight="1">
      <c r="A23" s="453"/>
      <c r="B23" s="417" t="s">
        <v>253</v>
      </c>
      <c r="C23" s="450">
        <v>59.380385206383735</v>
      </c>
      <c r="D23" s="450">
        <v>46.598132059829808</v>
      </c>
      <c r="E23" s="450">
        <v>53.485270630807065</v>
      </c>
      <c r="F23" s="450">
        <v>58.333595699255092</v>
      </c>
      <c r="G23" s="450">
        <v>51.260243531404655</v>
      </c>
      <c r="H23" s="450">
        <v>59.959849316690814</v>
      </c>
      <c r="I23" s="450">
        <v>73.165070992349271</v>
      </c>
      <c r="J23" s="450">
        <v>71.436602761647933</v>
      </c>
      <c r="K23" s="450">
        <v>76.901959163378876</v>
      </c>
      <c r="L23" s="450">
        <v>92.160277325351373</v>
      </c>
      <c r="M23" s="450">
        <v>80.777251940372224</v>
      </c>
      <c r="N23" s="450">
        <v>72.955148929148478</v>
      </c>
      <c r="O23" s="450">
        <v>83.964032116838396</v>
      </c>
      <c r="P23" s="450">
        <v>90.337873947491644</v>
      </c>
      <c r="Q23" s="450">
        <v>85.098184266340368</v>
      </c>
      <c r="R23" s="450">
        <v>86.903656759282796</v>
      </c>
      <c r="S23" s="450">
        <v>79.993891400648607</v>
      </c>
      <c r="T23" s="450">
        <v>71.637119447857472</v>
      </c>
      <c r="U23" s="450">
        <v>81.774617980806084</v>
      </c>
      <c r="V23" s="450">
        <v>83.5763347567285</v>
      </c>
      <c r="W23" s="450">
        <v>81.159870638173473</v>
      </c>
      <c r="X23" s="450">
        <v>88.801397649164372</v>
      </c>
    </row>
    <row r="24" spans="1:24" s="161" customFormat="1" ht="10.35" customHeight="1">
      <c r="A24" s="453"/>
      <c r="B24" s="417" t="s">
        <v>254</v>
      </c>
      <c r="C24" s="450">
        <v>47.494144895662878</v>
      </c>
      <c r="D24" s="450">
        <v>45.10503932332923</v>
      </c>
      <c r="E24" s="450">
        <v>63.049158449018435</v>
      </c>
      <c r="F24" s="450">
        <v>66.967428964130988</v>
      </c>
      <c r="G24" s="450">
        <v>90.859369358145287</v>
      </c>
      <c r="H24" s="450">
        <v>99.244537633004484</v>
      </c>
      <c r="I24" s="450">
        <v>112.05339220260457</v>
      </c>
      <c r="J24" s="450">
        <v>61.200103866349934</v>
      </c>
      <c r="K24" s="450">
        <v>138.89873152472455</v>
      </c>
      <c r="L24" s="450">
        <v>39.41763599369078</v>
      </c>
      <c r="M24" s="450">
        <v>163.2245244117486</v>
      </c>
      <c r="N24" s="450">
        <v>170.87400456967785</v>
      </c>
      <c r="O24" s="450">
        <v>70.617664357667124</v>
      </c>
      <c r="P24" s="450">
        <v>209.69592972240096</v>
      </c>
      <c r="Q24" s="450">
        <v>183.91281594946855</v>
      </c>
      <c r="R24" s="450">
        <v>108.5889669775147</v>
      </c>
      <c r="S24" s="450">
        <v>119.24470364309174</v>
      </c>
      <c r="T24" s="450">
        <v>137.02064084478079</v>
      </c>
      <c r="U24" s="450">
        <v>138.34400608055611</v>
      </c>
      <c r="V24" s="450">
        <v>146.4602431585667</v>
      </c>
      <c r="W24" s="450">
        <v>209.12998378659663</v>
      </c>
      <c r="X24" s="450">
        <v>191.04464591338615</v>
      </c>
    </row>
    <row r="25" spans="1:24" s="161" customFormat="1" ht="10.35" customHeight="1">
      <c r="A25" s="453"/>
      <c r="B25" s="417" t="s">
        <v>255</v>
      </c>
      <c r="C25" s="450">
        <v>87.955197795744766</v>
      </c>
      <c r="D25" s="450">
        <v>85.522702137068478</v>
      </c>
      <c r="E25" s="450">
        <v>74.104175581708915</v>
      </c>
      <c r="F25" s="450">
        <v>76.761209456316067</v>
      </c>
      <c r="G25" s="450">
        <v>83.761940563167371</v>
      </c>
      <c r="H25" s="450">
        <v>80.171582758860225</v>
      </c>
      <c r="I25" s="450">
        <v>102.75784035553981</v>
      </c>
      <c r="J25" s="450">
        <v>103.25768190542307</v>
      </c>
      <c r="K25" s="450">
        <v>105.09845563773135</v>
      </c>
      <c r="L25" s="450">
        <v>111.18306517685404</v>
      </c>
      <c r="M25" s="450">
        <v>132.11001580981704</v>
      </c>
      <c r="N25" s="450">
        <v>155.9447655810832</v>
      </c>
      <c r="O25" s="450">
        <v>163.24229289090329</v>
      </c>
      <c r="P25" s="450">
        <v>192.6495441371427</v>
      </c>
      <c r="Q25" s="450">
        <v>221.63137976181676</v>
      </c>
      <c r="R25" s="450">
        <v>250.89680227282295</v>
      </c>
      <c r="S25" s="450">
        <v>294.60666798518952</v>
      </c>
      <c r="T25" s="450">
        <v>313.20724116427482</v>
      </c>
      <c r="U25" s="450">
        <v>359.56040205360148</v>
      </c>
      <c r="V25" s="450">
        <v>398.91483844219192</v>
      </c>
      <c r="W25" s="450">
        <v>442.79854783660255</v>
      </c>
      <c r="X25" s="450">
        <v>420.81126720699342</v>
      </c>
    </row>
    <row r="26" spans="1:24" s="161" customFormat="1" ht="10.35" customHeight="1">
      <c r="A26" s="453"/>
      <c r="B26" s="417" t="s">
        <v>256</v>
      </c>
      <c r="C26" s="450">
        <v>39.986610825100414</v>
      </c>
      <c r="D26" s="450">
        <v>34.894536677800431</v>
      </c>
      <c r="E26" s="450">
        <v>39.007658193675617</v>
      </c>
      <c r="F26" s="450">
        <v>45.30731902397936</v>
      </c>
      <c r="G26" s="450">
        <v>34.936323665615852</v>
      </c>
      <c r="H26" s="450">
        <v>40.84598788027219</v>
      </c>
      <c r="I26" s="450">
        <v>48.639645600492749</v>
      </c>
      <c r="J26" s="450">
        <v>42.213585676602996</v>
      </c>
      <c r="K26" s="450">
        <v>42.755973088594281</v>
      </c>
      <c r="L26" s="450">
        <v>42.657794937033906</v>
      </c>
      <c r="M26" s="450">
        <v>43.531088171722665</v>
      </c>
      <c r="N26" s="450">
        <v>43.157869342549532</v>
      </c>
      <c r="O26" s="450">
        <v>47.833586222119536</v>
      </c>
      <c r="P26" s="450">
        <v>51.090367356643824</v>
      </c>
      <c r="Q26" s="450">
        <v>48.441921485241451</v>
      </c>
      <c r="R26" s="450">
        <v>44.672525758509636</v>
      </c>
      <c r="S26" s="450">
        <v>42.112580277002472</v>
      </c>
      <c r="T26" s="450">
        <v>40.301954512535303</v>
      </c>
      <c r="U26" s="450">
        <v>37.937919486295364</v>
      </c>
      <c r="V26" s="450">
        <v>39.272631708562123</v>
      </c>
      <c r="W26" s="450">
        <v>41.82038795517402</v>
      </c>
      <c r="X26" s="450">
        <v>32.856929362055517</v>
      </c>
    </row>
    <row r="27" spans="1:24" s="161" customFormat="1" ht="10.35" customHeight="1">
      <c r="A27" s="453"/>
      <c r="B27" s="417" t="s">
        <v>257</v>
      </c>
      <c r="C27" s="450">
        <v>55.458527745930432</v>
      </c>
      <c r="D27" s="450">
        <v>56.63242142334483</v>
      </c>
      <c r="E27" s="450">
        <v>58.118842788414156</v>
      </c>
      <c r="F27" s="450">
        <v>60.650803205804067</v>
      </c>
      <c r="G27" s="450">
        <v>66.446727102752575</v>
      </c>
      <c r="H27" s="450">
        <v>63.244728786392308</v>
      </c>
      <c r="I27" s="450">
        <v>67.799942275309334</v>
      </c>
      <c r="J27" s="450">
        <v>70.880054435991212</v>
      </c>
      <c r="K27" s="450">
        <v>74.465473021341055</v>
      </c>
      <c r="L27" s="450">
        <v>79.705560798726495</v>
      </c>
      <c r="M27" s="450">
        <v>80.764666494384784</v>
      </c>
      <c r="N27" s="450">
        <v>84.152055072305274</v>
      </c>
      <c r="O27" s="450">
        <v>87.484670556697026</v>
      </c>
      <c r="P27" s="450">
        <v>91.360397133324128</v>
      </c>
      <c r="Q27" s="450">
        <v>90.275547635764312</v>
      </c>
      <c r="R27" s="450">
        <v>93.927751940291728</v>
      </c>
      <c r="S27" s="450">
        <v>108.02948603668064</v>
      </c>
      <c r="T27" s="450">
        <v>109.20889630460452</v>
      </c>
      <c r="U27" s="450">
        <v>106.15533639682251</v>
      </c>
      <c r="V27" s="450">
        <v>100.05156667814967</v>
      </c>
      <c r="W27" s="450">
        <v>113.1621622477586</v>
      </c>
      <c r="X27" s="450">
        <v>116.30995041435935</v>
      </c>
    </row>
    <row r="28" spans="1:24" s="161" customFormat="1" ht="10.35" customHeight="1">
      <c r="A28" s="453"/>
      <c r="B28" s="417" t="s">
        <v>258</v>
      </c>
      <c r="C28" s="450">
        <v>57.619160018013815</v>
      </c>
      <c r="D28" s="450">
        <v>64.136490392154798</v>
      </c>
      <c r="E28" s="450">
        <v>69.920079634830145</v>
      </c>
      <c r="F28" s="450">
        <v>73.648189155127142</v>
      </c>
      <c r="G28" s="450">
        <v>76.164618731699505</v>
      </c>
      <c r="H28" s="450">
        <v>72.174401736074202</v>
      </c>
      <c r="I28" s="450">
        <v>76.163524070244065</v>
      </c>
      <c r="J28" s="450">
        <v>85.270817581576452</v>
      </c>
      <c r="K28" s="450">
        <v>96.788182517716919</v>
      </c>
      <c r="L28" s="450">
        <v>113.81927742245198</v>
      </c>
      <c r="M28" s="450">
        <v>128.06340180632429</v>
      </c>
      <c r="N28" s="450">
        <v>151.5040129046406</v>
      </c>
      <c r="O28" s="450">
        <v>197.83680971210342</v>
      </c>
      <c r="P28" s="450">
        <v>210.79236151794842</v>
      </c>
      <c r="Q28" s="450">
        <v>279.98307397405222</v>
      </c>
      <c r="R28" s="450">
        <v>302.64725097087063</v>
      </c>
      <c r="S28" s="450">
        <v>375.36018625181583</v>
      </c>
      <c r="T28" s="450">
        <v>375.76644292443831</v>
      </c>
      <c r="U28" s="450">
        <v>415.69840808718709</v>
      </c>
      <c r="V28" s="450">
        <v>498.01001433299973</v>
      </c>
      <c r="W28" s="450">
        <v>579.05096970896466</v>
      </c>
      <c r="X28" s="450">
        <v>628.7655511988338</v>
      </c>
    </row>
    <row r="29" spans="1:24" s="161" customFormat="1" ht="10.35" customHeight="1">
      <c r="A29" s="453"/>
      <c r="B29" s="417" t="s">
        <v>144</v>
      </c>
      <c r="C29" s="450">
        <v>53.727333915680241</v>
      </c>
      <c r="D29" s="450">
        <v>50.624481567224791</v>
      </c>
      <c r="E29" s="450">
        <v>57.471750028744296</v>
      </c>
      <c r="F29" s="450">
        <v>69.504410753163015</v>
      </c>
      <c r="G29" s="450">
        <v>73.541000054583179</v>
      </c>
      <c r="H29" s="450">
        <v>73.886136326974096</v>
      </c>
      <c r="I29" s="450">
        <v>79.844783546430804</v>
      </c>
      <c r="J29" s="450">
        <v>81.32424354942404</v>
      </c>
      <c r="K29" s="450">
        <v>75.151649722961722</v>
      </c>
      <c r="L29" s="450">
        <v>70.994077616652476</v>
      </c>
      <c r="M29" s="450">
        <v>89.617435496303841</v>
      </c>
      <c r="N29" s="450">
        <v>93.128086753831539</v>
      </c>
      <c r="O29" s="450">
        <v>101.26551495637008</v>
      </c>
      <c r="P29" s="450">
        <v>111.47236099937261</v>
      </c>
      <c r="Q29" s="450">
        <v>136.50116050452522</v>
      </c>
      <c r="R29" s="450">
        <v>147.74994171397412</v>
      </c>
      <c r="S29" s="450">
        <v>154.13684130983702</v>
      </c>
      <c r="T29" s="450">
        <v>169.97952129061113</v>
      </c>
      <c r="U29" s="450">
        <v>183.40119018468906</v>
      </c>
      <c r="V29" s="450">
        <v>183.13001101391129</v>
      </c>
      <c r="W29" s="450">
        <v>188.95113227848745</v>
      </c>
      <c r="X29" s="450">
        <v>221.01889540487409</v>
      </c>
    </row>
    <row r="30" spans="1:24" s="161" customFormat="1" ht="10.35" customHeight="1">
      <c r="A30" s="453"/>
      <c r="B30" s="417" t="s">
        <v>145</v>
      </c>
      <c r="C30" s="450">
        <v>97.922441057938471</v>
      </c>
      <c r="D30" s="450">
        <v>68.848112550822393</v>
      </c>
      <c r="E30" s="450">
        <v>38.029598113133403</v>
      </c>
      <c r="F30" s="450">
        <v>49.865627275749233</v>
      </c>
      <c r="G30" s="450">
        <v>58.227555825590578</v>
      </c>
      <c r="H30" s="450">
        <v>43.835135614067156</v>
      </c>
      <c r="I30" s="450">
        <v>51.135737402260446</v>
      </c>
      <c r="J30" s="450">
        <v>62.944948305295036</v>
      </c>
      <c r="K30" s="450">
        <v>77.66936760121628</v>
      </c>
      <c r="L30" s="450">
        <v>81.887890182993957</v>
      </c>
      <c r="M30" s="450">
        <v>72.298995454788752</v>
      </c>
      <c r="N30" s="450">
        <v>63.008271249474404</v>
      </c>
      <c r="O30" s="450">
        <v>83.366902660109574</v>
      </c>
      <c r="P30" s="450">
        <v>110.69521257461473</v>
      </c>
      <c r="Q30" s="450">
        <v>104.65780565878843</v>
      </c>
      <c r="R30" s="450">
        <v>84.088919402821688</v>
      </c>
      <c r="S30" s="450">
        <v>75.814909346770179</v>
      </c>
      <c r="T30" s="450">
        <v>76.398348536291309</v>
      </c>
      <c r="U30" s="450">
        <v>86.16091668294716</v>
      </c>
      <c r="V30" s="450">
        <v>66.497036678841283</v>
      </c>
      <c r="W30" s="450">
        <v>69.674927569253398</v>
      </c>
      <c r="X30" s="450">
        <v>85.305826709676865</v>
      </c>
    </row>
    <row r="31" spans="1:24" s="161" customFormat="1" ht="10.35" customHeight="1">
      <c r="A31" s="453"/>
      <c r="B31" s="417" t="s">
        <v>139</v>
      </c>
      <c r="C31" s="450">
        <v>62.494140060615706</v>
      </c>
      <c r="D31" s="450">
        <v>56.154223043843643</v>
      </c>
      <c r="E31" s="450">
        <v>70.757096228588324</v>
      </c>
      <c r="F31" s="450">
        <v>64.707849122062854</v>
      </c>
      <c r="G31" s="450">
        <v>52.817619760521168</v>
      </c>
      <c r="H31" s="450">
        <v>53.581634321624165</v>
      </c>
      <c r="I31" s="450">
        <v>62.919060041874701</v>
      </c>
      <c r="J31" s="450">
        <v>71.235950254873757</v>
      </c>
      <c r="K31" s="450">
        <v>64.849273570399191</v>
      </c>
      <c r="L31" s="450">
        <v>53.622293737056957</v>
      </c>
      <c r="M31" s="450">
        <v>57.314990871906481</v>
      </c>
      <c r="N31" s="450">
        <v>54.594846759793683</v>
      </c>
      <c r="O31" s="450">
        <v>62.357974718731953</v>
      </c>
      <c r="P31" s="450">
        <v>60.445264457791218</v>
      </c>
      <c r="Q31" s="450">
        <v>65.977239737299158</v>
      </c>
      <c r="R31" s="450">
        <v>68.125394319934074</v>
      </c>
      <c r="S31" s="450">
        <v>66.574793010824052</v>
      </c>
      <c r="T31" s="450">
        <v>45.965185162796537</v>
      </c>
      <c r="U31" s="450">
        <v>70.770511337313806</v>
      </c>
      <c r="V31" s="450">
        <v>78.017492166776222</v>
      </c>
      <c r="W31" s="450">
        <v>78.247711529252939</v>
      </c>
      <c r="X31" s="450">
        <v>79.834983078694947</v>
      </c>
    </row>
    <row r="32" spans="1:24" s="161" customFormat="1" ht="10.35" customHeight="1">
      <c r="A32" s="453"/>
      <c r="B32" s="417" t="s">
        <v>146</v>
      </c>
      <c r="C32" s="450">
        <v>55.347975199727152</v>
      </c>
      <c r="D32" s="450">
        <v>60.516000579398494</v>
      </c>
      <c r="E32" s="450">
        <v>63.173595083695822</v>
      </c>
      <c r="F32" s="450">
        <v>69.616216872834414</v>
      </c>
      <c r="G32" s="450">
        <v>84.234123578476499</v>
      </c>
      <c r="H32" s="450">
        <v>108.32645659079785</v>
      </c>
      <c r="I32" s="450">
        <v>107.3118648432098</v>
      </c>
      <c r="J32" s="450">
        <v>109.0398591114737</v>
      </c>
      <c r="K32" s="450">
        <v>171.16539201934259</v>
      </c>
      <c r="L32" s="450">
        <v>12.623045806433378</v>
      </c>
      <c r="M32" s="450">
        <v>151.98149837080473</v>
      </c>
      <c r="N32" s="450">
        <v>129.05727267848718</v>
      </c>
      <c r="O32" s="450">
        <v>177.01412515534346</v>
      </c>
      <c r="P32" s="450">
        <v>113.73195837776042</v>
      </c>
      <c r="Q32" s="450">
        <v>233.97727059123105</v>
      </c>
      <c r="R32" s="450">
        <v>66.89971441483668</v>
      </c>
      <c r="S32" s="450">
        <v>104.91202663805664</v>
      </c>
      <c r="T32" s="450">
        <v>152.38622703928226</v>
      </c>
      <c r="U32" s="450">
        <v>314.78801539326389</v>
      </c>
      <c r="V32" s="450">
        <v>372.97322247947631</v>
      </c>
      <c r="W32" s="450">
        <v>347.94949776629585</v>
      </c>
      <c r="X32" s="450">
        <v>284.74219849264006</v>
      </c>
    </row>
    <row r="33" spans="1:24" s="161" customFormat="1" ht="10.35" customHeight="1">
      <c r="A33" s="453"/>
      <c r="B33" s="417" t="s">
        <v>147</v>
      </c>
      <c r="C33" s="450">
        <v>51.21967200472465</v>
      </c>
      <c r="D33" s="450">
        <v>49.384321798742661</v>
      </c>
      <c r="E33" s="450">
        <v>60.415912290517085</v>
      </c>
      <c r="F33" s="450">
        <v>62.31571689891593</v>
      </c>
      <c r="G33" s="450">
        <v>48.921859634897856</v>
      </c>
      <c r="H33" s="450">
        <v>57.684118936923397</v>
      </c>
      <c r="I33" s="450">
        <v>62.471442463064655</v>
      </c>
      <c r="J33" s="450">
        <v>53.498340159048325</v>
      </c>
      <c r="K33" s="450">
        <v>53.517473323436064</v>
      </c>
      <c r="L33" s="450">
        <v>63.959686344952139</v>
      </c>
      <c r="M33" s="450">
        <v>67.771519937186994</v>
      </c>
      <c r="N33" s="450">
        <v>60.620337050288995</v>
      </c>
      <c r="O33" s="450">
        <v>59.742573971335396</v>
      </c>
      <c r="P33" s="450">
        <v>70.199350521039179</v>
      </c>
      <c r="Q33" s="450">
        <v>72.14753629851927</v>
      </c>
      <c r="R33" s="450">
        <v>69.498280041820436</v>
      </c>
      <c r="S33" s="450">
        <v>63.59921001312847</v>
      </c>
      <c r="T33" s="450">
        <v>58.055569640247221</v>
      </c>
      <c r="U33" s="450">
        <v>57.191485386301935</v>
      </c>
      <c r="V33" s="450">
        <v>60.337280534999152</v>
      </c>
      <c r="W33" s="450">
        <v>60.563226114026719</v>
      </c>
      <c r="X33" s="450">
        <v>54.054354312044467</v>
      </c>
    </row>
    <row r="34" spans="1:24" s="161" customFormat="1" ht="10.35" customHeight="1">
      <c r="A34" s="453"/>
      <c r="B34" s="417" t="s">
        <v>261</v>
      </c>
      <c r="C34" s="450">
        <v>61.503894151211895</v>
      </c>
      <c r="D34" s="450">
        <v>48.828073109045221</v>
      </c>
      <c r="E34" s="450">
        <v>50.956035556174285</v>
      </c>
      <c r="F34" s="450">
        <v>58.708319995031189</v>
      </c>
      <c r="G34" s="450">
        <v>65.41343662278824</v>
      </c>
      <c r="H34" s="450">
        <v>63.842008523016595</v>
      </c>
      <c r="I34" s="450">
        <v>59.032051365316349</v>
      </c>
      <c r="J34" s="450">
        <v>61.947527437215129</v>
      </c>
      <c r="K34" s="450">
        <v>52.443019824654776</v>
      </c>
      <c r="L34" s="450">
        <v>53.403559233729666</v>
      </c>
      <c r="M34" s="450">
        <v>56.052398275135879</v>
      </c>
      <c r="N34" s="450">
        <v>59.316116934475652</v>
      </c>
      <c r="O34" s="450">
        <v>59.955062850884289</v>
      </c>
      <c r="P34" s="450">
        <v>62.141941558680543</v>
      </c>
      <c r="Q34" s="450">
        <v>64.54875551046932</v>
      </c>
      <c r="R34" s="450">
        <v>67.626661587156732</v>
      </c>
      <c r="S34" s="450">
        <v>66.941449464305833</v>
      </c>
      <c r="T34" s="450">
        <v>65.067620743234173</v>
      </c>
      <c r="U34" s="450">
        <v>62.819828865889249</v>
      </c>
      <c r="V34" s="450">
        <v>60.433846713800477</v>
      </c>
      <c r="W34" s="450">
        <v>57.296639047073683</v>
      </c>
      <c r="X34" s="450">
        <v>56.566390747836422</v>
      </c>
    </row>
    <row r="35" spans="1:24" s="161" customFormat="1" ht="10.35" customHeight="1">
      <c r="A35" s="453"/>
      <c r="B35" s="417" t="s">
        <v>262</v>
      </c>
      <c r="C35" s="450">
        <v>19.540065826523403</v>
      </c>
      <c r="D35" s="450">
        <v>23.128831688115323</v>
      </c>
      <c r="E35" s="450">
        <v>18.617834794756881</v>
      </c>
      <c r="F35" s="450">
        <v>20.322941850270709</v>
      </c>
      <c r="G35" s="450">
        <v>14.721995280026103</v>
      </c>
      <c r="H35" s="450">
        <v>14.421723981915479</v>
      </c>
      <c r="I35" s="450">
        <v>14.454580480182113</v>
      </c>
      <c r="J35" s="450">
        <v>21.377766870622796</v>
      </c>
      <c r="K35" s="450">
        <v>20.06881803391909</v>
      </c>
      <c r="L35" s="450">
        <v>17.998868182104374</v>
      </c>
      <c r="M35" s="450">
        <v>10.838486491128679</v>
      </c>
      <c r="N35" s="450">
        <v>14.334563111223378</v>
      </c>
      <c r="O35" s="450">
        <v>20.359380766735445</v>
      </c>
      <c r="P35" s="450">
        <v>18.032512176442367</v>
      </c>
      <c r="Q35" s="450">
        <v>18.474712948194458</v>
      </c>
      <c r="R35" s="450">
        <v>18.934244992838675</v>
      </c>
      <c r="S35" s="450">
        <v>19.009296654088953</v>
      </c>
      <c r="T35" s="450">
        <v>21.637433896198104</v>
      </c>
      <c r="U35" s="450">
        <v>23.518950670566625</v>
      </c>
      <c r="V35" s="450">
        <v>18.02108871391599</v>
      </c>
      <c r="W35" s="450">
        <v>17.909228235623701</v>
      </c>
      <c r="X35" s="450">
        <v>19.86003300551431</v>
      </c>
    </row>
    <row r="36" spans="1:24" s="161" customFormat="1" ht="10.35" customHeight="1">
      <c r="A36" s="453"/>
      <c r="B36" s="417" t="s">
        <v>205</v>
      </c>
      <c r="C36" s="450">
        <v>41.417299945041549</v>
      </c>
      <c r="D36" s="450">
        <v>48.47165660153378</v>
      </c>
      <c r="E36" s="450">
        <v>47.989724307619085</v>
      </c>
      <c r="F36" s="450">
        <v>50.646931569329574</v>
      </c>
      <c r="G36" s="450">
        <v>39.742293431096599</v>
      </c>
      <c r="H36" s="450">
        <v>46.786761961377202</v>
      </c>
      <c r="I36" s="450">
        <v>47.371916997644732</v>
      </c>
      <c r="J36" s="450">
        <v>49.351360589967079</v>
      </c>
      <c r="K36" s="450">
        <v>49.570817793717161</v>
      </c>
      <c r="L36" s="450">
        <v>57.932978582713396</v>
      </c>
      <c r="M36" s="450">
        <v>52.244598840694636</v>
      </c>
      <c r="N36" s="450">
        <v>53.643065191561902</v>
      </c>
      <c r="O36" s="450">
        <v>64.155632637454403</v>
      </c>
      <c r="P36" s="450">
        <v>66.20626836378969</v>
      </c>
      <c r="Q36" s="450">
        <v>64.687794305662251</v>
      </c>
      <c r="R36" s="450">
        <v>66.895640128508361</v>
      </c>
      <c r="S36" s="450">
        <v>62.716215246692741</v>
      </c>
      <c r="T36" s="450">
        <v>62.364719881071267</v>
      </c>
      <c r="U36" s="450">
        <v>69.985042214223469</v>
      </c>
      <c r="V36" s="450">
        <v>70.251299879472015</v>
      </c>
      <c r="W36" s="450">
        <v>69.942606980069669</v>
      </c>
      <c r="X36" s="450">
        <v>70.274086925964355</v>
      </c>
    </row>
    <row r="37" spans="1:24" s="161" customFormat="1" ht="10.35" customHeight="1">
      <c r="A37" s="453"/>
      <c r="B37" s="417" t="s">
        <v>206</v>
      </c>
      <c r="C37" s="450">
        <v>51.925005265778935</v>
      </c>
      <c r="D37" s="450">
        <v>53.962470762210131</v>
      </c>
      <c r="E37" s="450">
        <v>47.371879558016801</v>
      </c>
      <c r="F37" s="450">
        <v>40.909966543708713</v>
      </c>
      <c r="G37" s="450">
        <v>39.951406315382513</v>
      </c>
      <c r="H37" s="450">
        <v>35.255537570933377</v>
      </c>
      <c r="I37" s="450">
        <v>38.222539872724056</v>
      </c>
      <c r="J37" s="450">
        <v>43.258437153551178</v>
      </c>
      <c r="K37" s="450">
        <v>31.895099831775127</v>
      </c>
      <c r="L37" s="450">
        <v>54.294397466669835</v>
      </c>
      <c r="M37" s="450">
        <v>49.596816179043884</v>
      </c>
      <c r="N37" s="450">
        <v>57.822355574801456</v>
      </c>
      <c r="O37" s="450">
        <v>52.527911589360826</v>
      </c>
      <c r="P37" s="450">
        <v>53.381492789518134</v>
      </c>
      <c r="Q37" s="450">
        <v>51.390388627596749</v>
      </c>
      <c r="R37" s="450">
        <v>55.218203451539203</v>
      </c>
      <c r="S37" s="450">
        <v>50.753630551973821</v>
      </c>
      <c r="T37" s="450">
        <v>51.187126969943428</v>
      </c>
      <c r="U37" s="450">
        <v>54.682723313075257</v>
      </c>
      <c r="V37" s="450">
        <v>63.909263253139201</v>
      </c>
      <c r="W37" s="450">
        <v>55.829317627875625</v>
      </c>
      <c r="X37" s="450">
        <v>38.661087614006156</v>
      </c>
    </row>
    <row r="38" spans="1:24" s="161" customFormat="1" ht="10.35" customHeight="1">
      <c r="A38" s="453"/>
      <c r="B38" s="417" t="s">
        <v>207</v>
      </c>
      <c r="C38" s="450">
        <v>18.530190753741572</v>
      </c>
      <c r="D38" s="450">
        <v>21.528131811860977</v>
      </c>
      <c r="E38" s="450">
        <v>21.338037707632644</v>
      </c>
      <c r="F38" s="450">
        <v>22.278369697264406</v>
      </c>
      <c r="G38" s="450">
        <v>23.916378995649026</v>
      </c>
      <c r="H38" s="450">
        <v>28.00205629644995</v>
      </c>
      <c r="I38" s="450">
        <v>30.304497603976767</v>
      </c>
      <c r="J38" s="450">
        <v>31.251257312027096</v>
      </c>
      <c r="K38" s="450">
        <v>34.014692537703766</v>
      </c>
      <c r="L38" s="450">
        <v>41.008265318359889</v>
      </c>
      <c r="M38" s="450">
        <v>46.147527055601302</v>
      </c>
      <c r="N38" s="450">
        <v>68.795668539028384</v>
      </c>
      <c r="O38" s="450">
        <v>78.786804386576065</v>
      </c>
      <c r="P38" s="450">
        <v>83.178205997461831</v>
      </c>
      <c r="Q38" s="450">
        <v>85.580563608724816</v>
      </c>
      <c r="R38" s="450">
        <v>89.164838907401645</v>
      </c>
      <c r="S38" s="450">
        <v>88.41386894412615</v>
      </c>
      <c r="T38" s="450">
        <v>90.271180386288961</v>
      </c>
      <c r="U38" s="450">
        <v>98.837246351398264</v>
      </c>
      <c r="V38" s="450">
        <v>104.94220396197473</v>
      </c>
      <c r="W38" s="450">
        <v>107.83844707786314</v>
      </c>
      <c r="X38" s="450">
        <v>109.61716846642312</v>
      </c>
    </row>
    <row r="39" spans="1:24" s="161" customFormat="1" ht="10.35" customHeight="1">
      <c r="A39" s="453"/>
      <c r="B39" s="417" t="s">
        <v>268</v>
      </c>
      <c r="C39" s="450">
        <v>0</v>
      </c>
      <c r="D39" s="450">
        <v>0</v>
      </c>
      <c r="E39" s="450">
        <v>1.4316834028004499</v>
      </c>
      <c r="F39" s="450">
        <v>5.6699097781768062</v>
      </c>
      <c r="G39" s="450">
        <v>17.968804760220554</v>
      </c>
      <c r="H39" s="450">
        <v>37.270890675808033</v>
      </c>
      <c r="I39" s="450">
        <v>21.730265317045742</v>
      </c>
      <c r="J39" s="450">
        <v>25.99482468821417</v>
      </c>
      <c r="K39" s="450">
        <v>36.877281686073928</v>
      </c>
      <c r="L39" s="450">
        <v>20.402527950266624</v>
      </c>
      <c r="M39" s="450">
        <v>15.871866726883592</v>
      </c>
      <c r="N39" s="450">
        <v>30.348084676787465</v>
      </c>
      <c r="O39" s="450">
        <v>20.13919799234592</v>
      </c>
      <c r="P39" s="450">
        <v>14.131117110313056</v>
      </c>
      <c r="Q39" s="450">
        <v>4.746868978307397</v>
      </c>
      <c r="R39" s="450">
        <v>15.698623333514711</v>
      </c>
      <c r="S39" s="450">
        <v>14.041723519334711</v>
      </c>
      <c r="T39" s="450">
        <v>16.234984879384772</v>
      </c>
      <c r="U39" s="450">
        <v>31.578805743280007</v>
      </c>
      <c r="V39" s="450">
        <v>10.486076113831755</v>
      </c>
      <c r="W39" s="450">
        <v>9.6849986628940403</v>
      </c>
      <c r="X39" s="450">
        <v>13.285245847585882</v>
      </c>
    </row>
    <row r="40" spans="1:24" s="161" customFormat="1" ht="10.35" customHeight="1">
      <c r="A40" s="453"/>
      <c r="B40" s="417" t="s">
        <v>300</v>
      </c>
      <c r="C40" s="450">
        <v>59.911153070266039</v>
      </c>
      <c r="D40" s="450">
        <v>58.387550327699039</v>
      </c>
      <c r="E40" s="450">
        <v>55.754919869757678</v>
      </c>
      <c r="F40" s="450">
        <v>56.827338545646029</v>
      </c>
      <c r="G40" s="450">
        <v>49.442678999586846</v>
      </c>
      <c r="H40" s="450">
        <v>56.52680923498086</v>
      </c>
      <c r="I40" s="450">
        <v>60.547141412909681</v>
      </c>
      <c r="J40" s="450">
        <v>66.910225888551551</v>
      </c>
      <c r="K40" s="450">
        <v>66.088996279836934</v>
      </c>
      <c r="L40" s="450">
        <v>69.339852689444243</v>
      </c>
      <c r="M40" s="450">
        <v>69.060313889145746</v>
      </c>
      <c r="N40" s="450">
        <v>67.635302205276659</v>
      </c>
      <c r="O40" s="450">
        <v>75.531173466652902</v>
      </c>
      <c r="P40" s="450">
        <v>80.542691533581078</v>
      </c>
      <c r="Q40" s="450">
        <v>81.004703190285838</v>
      </c>
      <c r="R40" s="450">
        <v>83.247536540118332</v>
      </c>
      <c r="S40" s="450">
        <v>81.302055138156177</v>
      </c>
      <c r="T40" s="450">
        <v>79.847178757675508</v>
      </c>
      <c r="U40" s="450">
        <v>82.283157383781059</v>
      </c>
      <c r="V40" s="450">
        <v>76.680098282022996</v>
      </c>
      <c r="W40" s="450">
        <v>77.044019195029506</v>
      </c>
      <c r="X40" s="450">
        <v>75.862917115938359</v>
      </c>
    </row>
    <row r="41" spans="1:24" s="161" customFormat="1" ht="10.35" customHeight="1">
      <c r="A41" s="453"/>
      <c r="B41" s="417" t="s">
        <v>301</v>
      </c>
      <c r="C41" s="450">
        <v>26.011340956229621</v>
      </c>
      <c r="D41" s="450">
        <v>29.928669389274532</v>
      </c>
      <c r="E41" s="450">
        <v>24.955082801764327</v>
      </c>
      <c r="F41" s="450">
        <v>26.560346148165642</v>
      </c>
      <c r="G41" s="450">
        <v>28.80126949566197</v>
      </c>
      <c r="H41" s="450">
        <v>31.22909086917349</v>
      </c>
      <c r="I41" s="450">
        <v>36.643726815434896</v>
      </c>
      <c r="J41" s="450">
        <v>35.105309868433885</v>
      </c>
      <c r="K41" s="450">
        <v>35.856486853922313</v>
      </c>
      <c r="L41" s="450">
        <v>37.405864537090942</v>
      </c>
      <c r="M41" s="450">
        <v>42.700031396519265</v>
      </c>
      <c r="N41" s="450">
        <v>50.929636977338681</v>
      </c>
      <c r="O41" s="450">
        <v>70.283726177264995</v>
      </c>
      <c r="P41" s="450">
        <v>78.669238096183378</v>
      </c>
      <c r="Q41" s="450">
        <v>95.73648984257774</v>
      </c>
      <c r="R41" s="450">
        <v>98.515045151693769</v>
      </c>
      <c r="S41" s="450">
        <v>103.29325383912084</v>
      </c>
      <c r="T41" s="450">
        <v>121.30082526043742</v>
      </c>
      <c r="U41" s="450">
        <v>126.94447708898844</v>
      </c>
      <c r="V41" s="450">
        <v>133.47288696526451</v>
      </c>
      <c r="W41" s="450">
        <v>126.8626421606684</v>
      </c>
      <c r="X41" s="450">
        <v>161.33269055508549</v>
      </c>
    </row>
    <row r="42" spans="1:24" s="161" customFormat="1" ht="10.35" customHeight="1">
      <c r="A42" s="453"/>
      <c r="B42" s="417" t="s">
        <v>263</v>
      </c>
      <c r="C42" s="450">
        <v>34.885551289217489</v>
      </c>
      <c r="D42" s="450">
        <v>32.529970213407289</v>
      </c>
      <c r="E42" s="450">
        <v>36.329819875821038</v>
      </c>
      <c r="F42" s="450">
        <v>43.447159890052632</v>
      </c>
      <c r="G42" s="450">
        <v>40.216459788805615</v>
      </c>
      <c r="H42" s="450">
        <v>48.901077248649457</v>
      </c>
      <c r="I42" s="450">
        <v>50.052871057146142</v>
      </c>
      <c r="J42" s="450">
        <v>53.415818397028971</v>
      </c>
      <c r="K42" s="450">
        <v>55.428911949993577</v>
      </c>
      <c r="L42" s="450">
        <v>54.463947596818656</v>
      </c>
      <c r="M42" s="450">
        <v>56.489910648063756</v>
      </c>
      <c r="N42" s="450">
        <v>53.274428785680385</v>
      </c>
      <c r="O42" s="450">
        <v>60.940084860665124</v>
      </c>
      <c r="P42" s="450">
        <v>63.918226201385025</v>
      </c>
      <c r="Q42" s="450">
        <v>67.192355716101162</v>
      </c>
      <c r="R42" s="450">
        <v>66.517124229276888</v>
      </c>
      <c r="S42" s="450">
        <v>62.800483988116675</v>
      </c>
      <c r="T42" s="450">
        <v>58.509033206661549</v>
      </c>
      <c r="U42" s="450">
        <v>60.074952840199444</v>
      </c>
      <c r="V42" s="450">
        <v>62.643359529270079</v>
      </c>
      <c r="W42" s="450">
        <v>68.723704859897481</v>
      </c>
      <c r="X42" s="450">
        <v>64.18805249122137</v>
      </c>
    </row>
    <row r="43" spans="1:24" s="161" customFormat="1" ht="10.35" customHeight="1">
      <c r="A43" s="453"/>
      <c r="B43" s="417" t="s">
        <v>264</v>
      </c>
      <c r="C43" s="450">
        <v>21.854279364425828</v>
      </c>
      <c r="D43" s="450">
        <v>18.985349458661627</v>
      </c>
      <c r="E43" s="450">
        <v>17.871640538447714</v>
      </c>
      <c r="F43" s="450">
        <v>19.735380417492014</v>
      </c>
      <c r="G43" s="450">
        <v>17.175074387186829</v>
      </c>
      <c r="H43" s="450">
        <v>19.531437770558441</v>
      </c>
      <c r="I43" s="450">
        <v>22.879361050125915</v>
      </c>
      <c r="J43" s="450">
        <v>20.647161108220534</v>
      </c>
      <c r="K43" s="450">
        <v>22.550237766513252</v>
      </c>
      <c r="L43" s="450">
        <v>23.33851983059909</v>
      </c>
      <c r="M43" s="450">
        <v>25.501412113828682</v>
      </c>
      <c r="N43" s="450">
        <v>23.173172109462765</v>
      </c>
      <c r="O43" s="450">
        <v>26.45003296161418</v>
      </c>
      <c r="P43" s="450">
        <v>29.631850973540381</v>
      </c>
      <c r="Q43" s="450">
        <v>27.575919691557335</v>
      </c>
      <c r="R43" s="450">
        <v>27.527970279069056</v>
      </c>
      <c r="S43" s="450">
        <v>26.331755841954749</v>
      </c>
      <c r="T43" s="450">
        <v>24.945377259121145</v>
      </c>
      <c r="U43" s="450">
        <v>26.887870588572412</v>
      </c>
      <c r="V43" s="450">
        <v>27.734953098511181</v>
      </c>
      <c r="W43" s="450">
        <v>29.61149993607696</v>
      </c>
      <c r="X43" s="450">
        <v>31.528186751916195</v>
      </c>
    </row>
    <row r="44" spans="1:24" s="161" customFormat="1" ht="10.35" customHeight="1">
      <c r="A44" s="453"/>
      <c r="B44" s="417" t="s">
        <v>265</v>
      </c>
      <c r="C44" s="450">
        <v>24.875960727729691</v>
      </c>
      <c r="D44" s="450">
        <v>21.476660703742642</v>
      </c>
      <c r="E44" s="450">
        <v>23.85556478890776</v>
      </c>
      <c r="F44" s="450">
        <v>23.400410526168482</v>
      </c>
      <c r="G44" s="450">
        <v>22.671828540784638</v>
      </c>
      <c r="H44" s="450">
        <v>21.084601539507766</v>
      </c>
      <c r="I44" s="450">
        <v>26.036984347958416</v>
      </c>
      <c r="J44" s="450">
        <v>23.862031100351743</v>
      </c>
      <c r="K44" s="450">
        <v>25.905765400087578</v>
      </c>
      <c r="L44" s="450">
        <v>23.903771710069357</v>
      </c>
      <c r="M44" s="450">
        <v>25.298894750897837</v>
      </c>
      <c r="N44" s="450">
        <v>29.089588265959222</v>
      </c>
      <c r="O44" s="450">
        <v>26.753696490986595</v>
      </c>
      <c r="P44" s="450">
        <v>27.024513830715094</v>
      </c>
      <c r="Q44" s="450">
        <v>27.367183682601919</v>
      </c>
      <c r="R44" s="450">
        <v>26.41927403292442</v>
      </c>
      <c r="S44" s="450">
        <v>28.136423083619437</v>
      </c>
      <c r="T44" s="450">
        <v>27.360897265581766</v>
      </c>
      <c r="U44" s="450">
        <v>28.201972911708658</v>
      </c>
      <c r="V44" s="450">
        <v>28.915522230079489</v>
      </c>
      <c r="W44" s="450">
        <v>29.688360476458946</v>
      </c>
      <c r="X44" s="450">
        <v>28.749105534753664</v>
      </c>
    </row>
    <row r="45" spans="1:24" s="161" customFormat="1" ht="10.35" customHeight="1">
      <c r="A45" s="453"/>
      <c r="B45" s="417" t="s">
        <v>266</v>
      </c>
      <c r="C45" s="450">
        <v>22.51912376595503</v>
      </c>
      <c r="D45" s="450">
        <v>23.730813840503561</v>
      </c>
      <c r="E45" s="450">
        <v>18.977434958297458</v>
      </c>
      <c r="F45" s="450">
        <v>22.171763614772274</v>
      </c>
      <c r="G45" s="450">
        <v>16.568160265181923</v>
      </c>
      <c r="H45" s="450">
        <v>16.93001791425548</v>
      </c>
      <c r="I45" s="450">
        <v>30.023635767027603</v>
      </c>
      <c r="J45" s="450">
        <v>26.064441398290761</v>
      </c>
      <c r="K45" s="450">
        <v>34.609377104994408</v>
      </c>
      <c r="L45" s="450">
        <v>36.88367960958135</v>
      </c>
      <c r="M45" s="450">
        <v>38.814935695474944</v>
      </c>
      <c r="N45" s="450">
        <v>44.610161925229178</v>
      </c>
      <c r="O45" s="450">
        <v>44.503552379478272</v>
      </c>
      <c r="P45" s="450">
        <v>47.737658243812753</v>
      </c>
      <c r="Q45" s="450">
        <v>47.897537172710045</v>
      </c>
      <c r="R45" s="450">
        <v>55.711593174310281</v>
      </c>
      <c r="S45" s="450">
        <v>43.520990669024904</v>
      </c>
      <c r="T45" s="450">
        <v>37.65554613077046</v>
      </c>
      <c r="U45" s="450">
        <v>44.910422797174093</v>
      </c>
      <c r="V45" s="450">
        <v>44.143100571499943</v>
      </c>
      <c r="W45" s="450">
        <v>44.130006371729834</v>
      </c>
      <c r="X45" s="450">
        <v>48.58373003376223</v>
      </c>
    </row>
    <row r="46" spans="1:24" s="161" customFormat="1" ht="10.35" customHeight="1">
      <c r="A46" s="453"/>
      <c r="B46" s="417" t="s">
        <v>84</v>
      </c>
      <c r="C46" s="450">
        <v>20.287323358789397</v>
      </c>
      <c r="D46" s="450">
        <v>28.155538234702377</v>
      </c>
      <c r="E46" s="450">
        <v>32.038111847114358</v>
      </c>
      <c r="F46" s="450">
        <v>30.570707095802703</v>
      </c>
      <c r="G46" s="450">
        <v>33.425220080107465</v>
      </c>
      <c r="H46" s="450">
        <v>32.498795645027329</v>
      </c>
      <c r="I46" s="450">
        <v>30.447637755992126</v>
      </c>
      <c r="J46" s="450">
        <v>29.233910874803126</v>
      </c>
      <c r="K46" s="450">
        <v>35.519321711000281</v>
      </c>
      <c r="L46" s="450">
        <v>36.499137395285501</v>
      </c>
      <c r="M46" s="450">
        <v>32.563601169897801</v>
      </c>
      <c r="N46" s="450">
        <v>31.192614199200939</v>
      </c>
      <c r="O46" s="450">
        <v>34.132428463779547</v>
      </c>
      <c r="P46" s="450">
        <v>35.076360218495729</v>
      </c>
      <c r="Q46" s="450">
        <v>38.751755647436433</v>
      </c>
      <c r="R46" s="450">
        <v>36.712576872462321</v>
      </c>
      <c r="S46" s="450">
        <v>36.828085656725705</v>
      </c>
      <c r="T46" s="450">
        <v>36.27782489876811</v>
      </c>
      <c r="U46" s="450">
        <v>36.36636298346555</v>
      </c>
      <c r="V46" s="450">
        <v>36.324085563970712</v>
      </c>
      <c r="W46" s="450">
        <v>31.452207516351862</v>
      </c>
      <c r="X46" s="450">
        <v>31.314852972859921</v>
      </c>
    </row>
    <row r="47" spans="1:24" s="161" customFormat="1" ht="10.35" customHeight="1">
      <c r="A47" s="455"/>
      <c r="B47" s="422" t="s">
        <v>215</v>
      </c>
      <c r="C47" s="451">
        <v>29.240629896744718</v>
      </c>
      <c r="D47" s="451">
        <v>32.346243151039367</v>
      </c>
      <c r="E47" s="451">
        <v>23.671844227134095</v>
      </c>
      <c r="F47" s="451">
        <v>27.850324801475224</v>
      </c>
      <c r="G47" s="451">
        <v>23.030758502262266</v>
      </c>
      <c r="H47" s="451">
        <v>25.334218979261127</v>
      </c>
      <c r="I47" s="451">
        <v>20.67395008200732</v>
      </c>
      <c r="J47" s="451">
        <v>28.703092992806795</v>
      </c>
      <c r="K47" s="451">
        <v>34.314956336222799</v>
      </c>
      <c r="L47" s="451">
        <v>42.444671539487196</v>
      </c>
      <c r="M47" s="451">
        <v>30.152902420977558</v>
      </c>
      <c r="N47" s="451">
        <v>24.678488052173474</v>
      </c>
      <c r="O47" s="451">
        <v>38.050302791206576</v>
      </c>
      <c r="P47" s="451">
        <v>37.56141487725197</v>
      </c>
      <c r="Q47" s="451">
        <v>35.21105144790409</v>
      </c>
      <c r="R47" s="451">
        <v>29.505531747716621</v>
      </c>
      <c r="S47" s="451">
        <v>31.9002794274918</v>
      </c>
      <c r="T47" s="451">
        <v>35.019619607259969</v>
      </c>
      <c r="U47" s="451">
        <v>42.638405631106657</v>
      </c>
      <c r="V47" s="451">
        <v>35.116021611490922</v>
      </c>
      <c r="W47" s="451">
        <v>32.79315532327935</v>
      </c>
      <c r="X47" s="451">
        <v>38.910928807804424</v>
      </c>
    </row>
    <row r="48" spans="1:24" s="161" customFormat="1" ht="12.75">
      <c r="A48" s="38"/>
      <c r="B48" s="11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10"/>
      <c r="V48" s="110"/>
      <c r="W48" s="110"/>
      <c r="X48" s="110" t="s">
        <v>0</v>
      </c>
    </row>
    <row r="49" spans="1:24" s="161" customFormat="1" ht="12.75">
      <c r="B49" s="61" t="s">
        <v>249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161" customFormat="1" ht="14.1" customHeight="1">
      <c r="A50" s="452" t="s">
        <v>234</v>
      </c>
      <c r="B50" s="447"/>
      <c r="C50" s="411" t="s">
        <v>203</v>
      </c>
      <c r="D50" s="411" t="s">
        <v>204</v>
      </c>
      <c r="E50" s="411" t="s">
        <v>299</v>
      </c>
      <c r="F50" s="411" t="s">
        <v>269</v>
      </c>
      <c r="G50" s="411" t="s">
        <v>270</v>
      </c>
      <c r="H50" s="411" t="s">
        <v>271</v>
      </c>
      <c r="I50" s="411" t="s">
        <v>272</v>
      </c>
      <c r="J50" s="411" t="s">
        <v>273</v>
      </c>
      <c r="K50" s="411" t="s">
        <v>274</v>
      </c>
      <c r="L50" s="411" t="s">
        <v>230</v>
      </c>
      <c r="M50" s="411" t="s">
        <v>231</v>
      </c>
      <c r="N50" s="411" t="s">
        <v>232</v>
      </c>
      <c r="O50" s="411" t="s">
        <v>92</v>
      </c>
      <c r="P50" s="411" t="s">
        <v>93</v>
      </c>
      <c r="Q50" s="411" t="s">
        <v>94</v>
      </c>
      <c r="R50" s="411" t="s">
        <v>95</v>
      </c>
      <c r="S50" s="411" t="s">
        <v>96</v>
      </c>
      <c r="T50" s="411" t="s">
        <v>150</v>
      </c>
      <c r="U50" s="411" t="s">
        <v>151</v>
      </c>
      <c r="V50" s="411" t="s">
        <v>148</v>
      </c>
      <c r="W50" s="411" t="s">
        <v>342</v>
      </c>
      <c r="X50" s="411" t="s">
        <v>352</v>
      </c>
    </row>
    <row r="51" spans="1:24" s="161" customFormat="1" ht="10.35" customHeight="1">
      <c r="A51" s="453"/>
      <c r="B51" s="417" t="s">
        <v>267</v>
      </c>
      <c r="C51" s="450">
        <v>50.186694869496648</v>
      </c>
      <c r="D51" s="450">
        <v>47.862539976860418</v>
      </c>
      <c r="E51" s="450">
        <v>51.069839343777431</v>
      </c>
      <c r="F51" s="450">
        <v>46.726445253836303</v>
      </c>
      <c r="G51" s="450">
        <v>42.334539732010022</v>
      </c>
      <c r="H51" s="450">
        <v>45.507510153396929</v>
      </c>
      <c r="I51" s="450">
        <v>43.759208610832424</v>
      </c>
      <c r="J51" s="450">
        <v>41.547667391897775</v>
      </c>
      <c r="K51" s="450">
        <v>39.860068170371804</v>
      </c>
      <c r="L51" s="450">
        <v>43.466887392372726</v>
      </c>
      <c r="M51" s="450">
        <v>41.243882965170613</v>
      </c>
      <c r="N51" s="450">
        <v>38.84668245858871</v>
      </c>
      <c r="O51" s="450">
        <v>40.299867302729098</v>
      </c>
      <c r="P51" s="450">
        <v>41.262838887615047</v>
      </c>
      <c r="Q51" s="450">
        <v>39.237591031204325</v>
      </c>
      <c r="R51" s="450">
        <v>40.782391228148938</v>
      </c>
      <c r="S51" s="450">
        <v>40.416868228934199</v>
      </c>
      <c r="T51" s="450">
        <v>41.31611434795046</v>
      </c>
      <c r="U51" s="450">
        <v>41.708288248027685</v>
      </c>
      <c r="V51" s="450">
        <v>39.183982540444077</v>
      </c>
      <c r="W51" s="450">
        <v>42.630984789077878</v>
      </c>
      <c r="X51" s="450">
        <v>42.817931982520633</v>
      </c>
    </row>
    <row r="52" spans="1:24" s="161" customFormat="1" ht="10.35" customHeight="1">
      <c r="A52" s="453"/>
      <c r="B52" s="417" t="s">
        <v>61</v>
      </c>
      <c r="C52" s="450">
        <v>25.919649652585342</v>
      </c>
      <c r="D52" s="450">
        <v>25.305543171147612</v>
      </c>
      <c r="E52" s="450">
        <v>25.410442153029351</v>
      </c>
      <c r="F52" s="450">
        <v>28.577199494503056</v>
      </c>
      <c r="G52" s="450">
        <v>29.321491997328671</v>
      </c>
      <c r="H52" s="450">
        <v>26.710350934403287</v>
      </c>
      <c r="I52" s="450">
        <v>24.511754284384043</v>
      </c>
      <c r="J52" s="450">
        <v>23.910681980032447</v>
      </c>
      <c r="K52" s="450">
        <v>24.142589237635569</v>
      </c>
      <c r="L52" s="450">
        <v>25.907557674236774</v>
      </c>
      <c r="M52" s="450">
        <v>28.075189560356147</v>
      </c>
      <c r="N52" s="450">
        <v>18.516938510804561</v>
      </c>
      <c r="O52" s="450">
        <v>17.071569134685092</v>
      </c>
      <c r="P52" s="450">
        <v>21.939599368495159</v>
      </c>
      <c r="Q52" s="450">
        <v>21.636980994192552</v>
      </c>
      <c r="R52" s="450">
        <v>20.365006993372926</v>
      </c>
      <c r="S52" s="450">
        <v>25.241861319144174</v>
      </c>
      <c r="T52" s="450">
        <v>26.57659380008911</v>
      </c>
      <c r="U52" s="450">
        <v>26.203494224976357</v>
      </c>
      <c r="V52" s="450">
        <v>23.299050945353596</v>
      </c>
      <c r="W52" s="450">
        <v>26.397785132193832</v>
      </c>
      <c r="X52" s="450">
        <v>27.925343448386485</v>
      </c>
    </row>
    <row r="53" spans="1:24" s="161" customFormat="1" ht="10.35" customHeight="1">
      <c r="A53" s="453"/>
      <c r="B53" s="417" t="s">
        <v>62</v>
      </c>
      <c r="C53" s="450">
        <v>31.714606231034537</v>
      </c>
      <c r="D53" s="450">
        <v>24.162975816737948</v>
      </c>
      <c r="E53" s="450">
        <v>35.153787483867553</v>
      </c>
      <c r="F53" s="450">
        <v>35.058959675168133</v>
      </c>
      <c r="G53" s="450">
        <v>31.543888553726902</v>
      </c>
      <c r="H53" s="450">
        <v>38.928885872567093</v>
      </c>
      <c r="I53" s="450">
        <v>36.267111032618409</v>
      </c>
      <c r="J53" s="450">
        <v>37.640860284798563</v>
      </c>
      <c r="K53" s="450">
        <v>35.323260964788425</v>
      </c>
      <c r="L53" s="450">
        <v>46.463916409334217</v>
      </c>
      <c r="M53" s="450">
        <v>48.917647680372454</v>
      </c>
      <c r="N53" s="450">
        <v>48.042852956401404</v>
      </c>
      <c r="O53" s="450">
        <v>50.604056884682699</v>
      </c>
      <c r="P53" s="450">
        <v>52.524126903744772</v>
      </c>
      <c r="Q53" s="450">
        <v>88.541515010693061</v>
      </c>
      <c r="R53" s="450">
        <v>105.8817492779193</v>
      </c>
      <c r="S53" s="450">
        <v>85.525201643769137</v>
      </c>
      <c r="T53" s="450">
        <v>86.390947222310331</v>
      </c>
      <c r="U53" s="450">
        <v>91.697502255097774</v>
      </c>
      <c r="V53" s="450">
        <v>89.469067083613936</v>
      </c>
      <c r="W53" s="450">
        <v>107.72117508265165</v>
      </c>
      <c r="X53" s="450">
        <v>111.74892600285534</v>
      </c>
    </row>
    <row r="54" spans="1:24" s="161" customFormat="1" ht="10.35" customHeight="1">
      <c r="A54" s="453"/>
      <c r="B54" s="417" t="s">
        <v>88</v>
      </c>
      <c r="C54" s="450">
        <v>9.7616091776321934</v>
      </c>
      <c r="D54" s="450">
        <v>14.014783558176498</v>
      </c>
      <c r="E54" s="450">
        <v>14.299848297782477</v>
      </c>
      <c r="F54" s="450">
        <v>12.391757327157938</v>
      </c>
      <c r="G54" s="450">
        <v>12.804456451686933</v>
      </c>
      <c r="H54" s="450">
        <v>13.753518305324487</v>
      </c>
      <c r="I54" s="450">
        <v>14.763038817034069</v>
      </c>
      <c r="J54" s="450">
        <v>16.483747252313854</v>
      </c>
      <c r="K54" s="450">
        <v>25.10040912884249</v>
      </c>
      <c r="L54" s="450">
        <v>27.188628402092956</v>
      </c>
      <c r="M54" s="450">
        <v>27.362964807603696</v>
      </c>
      <c r="N54" s="450">
        <v>30.72475443071751</v>
      </c>
      <c r="O54" s="450">
        <v>28.503299351947859</v>
      </c>
      <c r="P54" s="450">
        <v>33.499543797221044</v>
      </c>
      <c r="Q54" s="450">
        <v>45.338964570792321</v>
      </c>
      <c r="R54" s="450">
        <v>41.461220417035662</v>
      </c>
      <c r="S54" s="450">
        <v>39.170468166586858</v>
      </c>
      <c r="T54" s="450">
        <v>43.361480686322984</v>
      </c>
      <c r="U54" s="450">
        <v>41.765075816414154</v>
      </c>
      <c r="V54" s="450">
        <v>40.697706880411623</v>
      </c>
      <c r="W54" s="450">
        <v>33.799851697409437</v>
      </c>
      <c r="X54" s="450">
        <v>32.727992957744455</v>
      </c>
    </row>
    <row r="55" spans="1:24" s="161" customFormat="1" ht="10.35" customHeight="1">
      <c r="A55" s="453"/>
      <c r="B55" s="417" t="s">
        <v>63</v>
      </c>
      <c r="C55" s="450">
        <v>37.219538503971052</v>
      </c>
      <c r="D55" s="450">
        <v>32.389517035190337</v>
      </c>
      <c r="E55" s="450">
        <v>29.996270354654701</v>
      </c>
      <c r="F55" s="450">
        <v>29.873297343283582</v>
      </c>
      <c r="G55" s="450">
        <v>29.174240575873373</v>
      </c>
      <c r="H55" s="450">
        <v>30.429862225324417</v>
      </c>
      <c r="I55" s="450">
        <v>31.81586547286032</v>
      </c>
      <c r="J55" s="450">
        <v>31.717281804656913</v>
      </c>
      <c r="K55" s="450">
        <v>32.621330081526814</v>
      </c>
      <c r="L55" s="450">
        <v>37.047370206300187</v>
      </c>
      <c r="M55" s="450">
        <v>38.603204331755705</v>
      </c>
      <c r="N55" s="450">
        <v>37.386087263436835</v>
      </c>
      <c r="O55" s="450">
        <v>36.772191232289039</v>
      </c>
      <c r="P55" s="450">
        <v>37.213760840232055</v>
      </c>
      <c r="Q55" s="450">
        <v>36.797484222338035</v>
      </c>
      <c r="R55" s="450">
        <v>39.974430950872822</v>
      </c>
      <c r="S55" s="450">
        <v>38.664779022835191</v>
      </c>
      <c r="T55" s="450">
        <v>39.94452697971002</v>
      </c>
      <c r="U55" s="450">
        <v>37.12738020602054</v>
      </c>
      <c r="V55" s="450">
        <v>38.146179980123478</v>
      </c>
      <c r="W55" s="450">
        <v>30.012456935750851</v>
      </c>
      <c r="X55" s="450">
        <v>24.735233650506817</v>
      </c>
    </row>
    <row r="56" spans="1:24" s="161" customFormat="1" ht="10.35" customHeight="1">
      <c r="A56" s="453"/>
      <c r="B56" s="417" t="s">
        <v>140</v>
      </c>
      <c r="C56" s="450">
        <v>10.496387523299234</v>
      </c>
      <c r="D56" s="450">
        <v>10.761931108041807</v>
      </c>
      <c r="E56" s="450">
        <v>11.070680585125404</v>
      </c>
      <c r="F56" s="450">
        <v>9.5482899111403565</v>
      </c>
      <c r="G56" s="450">
        <v>9.7518632167655976</v>
      </c>
      <c r="H56" s="450">
        <v>7.7159568574720669</v>
      </c>
      <c r="I56" s="450">
        <v>19.84351592946981</v>
      </c>
      <c r="J56" s="450">
        <v>10.141881710786263</v>
      </c>
      <c r="K56" s="450">
        <v>17.239532310757966</v>
      </c>
      <c r="L56" s="450">
        <v>20.007554478841573</v>
      </c>
      <c r="M56" s="450">
        <v>29.954621908538755</v>
      </c>
      <c r="N56" s="450">
        <v>9.8153340113805516</v>
      </c>
      <c r="O56" s="450">
        <v>31.583612727303283</v>
      </c>
      <c r="P56" s="450">
        <v>10.123957843759342</v>
      </c>
      <c r="Q56" s="450">
        <v>9.4087231953655053</v>
      </c>
      <c r="R56" s="450">
        <v>8.2974463280803779</v>
      </c>
      <c r="S56" s="450">
        <v>19.99954498995822</v>
      </c>
      <c r="T56" s="450">
        <v>15.247490395361673</v>
      </c>
      <c r="U56" s="450">
        <v>3.8097640785068996</v>
      </c>
      <c r="V56" s="450">
        <v>8.9982376121896106</v>
      </c>
      <c r="W56" s="450">
        <v>6.37252179212242</v>
      </c>
      <c r="X56" s="450">
        <v>8.5774116142274188</v>
      </c>
    </row>
    <row r="57" spans="1:24" s="161" customFormat="1" ht="10.35" customHeight="1">
      <c r="A57" s="453"/>
      <c r="B57" s="417" t="s">
        <v>115</v>
      </c>
      <c r="C57" s="450">
        <v>28.809939860143778</v>
      </c>
      <c r="D57" s="450">
        <v>28.271394731388188</v>
      </c>
      <c r="E57" s="450">
        <v>28.681351310815284</v>
      </c>
      <c r="F57" s="450">
        <v>27.204877867580624</v>
      </c>
      <c r="G57" s="450">
        <v>24.771899821714996</v>
      </c>
      <c r="H57" s="450">
        <v>22.872923219224699</v>
      </c>
      <c r="I57" s="450">
        <v>23.578228360637237</v>
      </c>
      <c r="J57" s="450">
        <v>24.35666856179412</v>
      </c>
      <c r="K57" s="450">
        <v>25.058790870373336</v>
      </c>
      <c r="L57" s="450">
        <v>26.037271389115638</v>
      </c>
      <c r="M57" s="450">
        <v>24.838009317464216</v>
      </c>
      <c r="N57" s="450">
        <v>25.562302307291183</v>
      </c>
      <c r="O57" s="450">
        <v>26.422721107021236</v>
      </c>
      <c r="P57" s="450">
        <v>27.354163091571792</v>
      </c>
      <c r="Q57" s="450">
        <v>26.634039277299806</v>
      </c>
      <c r="R57" s="450">
        <v>28.117961360468584</v>
      </c>
      <c r="S57" s="450">
        <v>26.221788574852063</v>
      </c>
      <c r="T57" s="450">
        <v>29.494113234596607</v>
      </c>
      <c r="U57" s="450">
        <v>30.069992186389612</v>
      </c>
      <c r="V57" s="450">
        <v>28.653662617823642</v>
      </c>
      <c r="W57" s="450">
        <v>28.934812851432945</v>
      </c>
      <c r="X57" s="450">
        <v>31.369223847993705</v>
      </c>
    </row>
    <row r="58" spans="1:24" s="161" customFormat="1" ht="10.35" customHeight="1">
      <c r="A58" s="453"/>
      <c r="B58" s="417" t="s">
        <v>116</v>
      </c>
      <c r="C58" s="450">
        <v>7.805095101322884</v>
      </c>
      <c r="D58" s="450">
        <v>10.569202007023758</v>
      </c>
      <c r="E58" s="450">
        <v>11.142269124869815</v>
      </c>
      <c r="F58" s="450">
        <v>13.198149386236048</v>
      </c>
      <c r="G58" s="450">
        <v>19.859276050353579</v>
      </c>
      <c r="H58" s="450">
        <v>17.264891864023603</v>
      </c>
      <c r="I58" s="450">
        <v>18.186383789520065</v>
      </c>
      <c r="J58" s="450">
        <v>15.215145396911835</v>
      </c>
      <c r="K58" s="450">
        <v>19.009807727186281</v>
      </c>
      <c r="L58" s="450">
        <v>20.600605686206354</v>
      </c>
      <c r="M58" s="450">
        <v>24.03751077788138</v>
      </c>
      <c r="N58" s="450">
        <v>21.317030747294506</v>
      </c>
      <c r="O58" s="450">
        <v>20.695573578538394</v>
      </c>
      <c r="P58" s="450">
        <v>21.67042635229906</v>
      </c>
      <c r="Q58" s="450">
        <v>22.366188852690328</v>
      </c>
      <c r="R58" s="450">
        <v>23.511112138279632</v>
      </c>
      <c r="S58" s="450">
        <v>21.169530385097566</v>
      </c>
      <c r="T58" s="450">
        <v>22.782555443916021</v>
      </c>
      <c r="U58" s="450">
        <v>21.323538681920166</v>
      </c>
      <c r="V58" s="450">
        <v>19.842970380627129</v>
      </c>
      <c r="W58" s="450">
        <v>19.668558259617871</v>
      </c>
      <c r="X58" s="450">
        <v>20.318636112853589</v>
      </c>
    </row>
    <row r="59" spans="1:24" s="161" customFormat="1" ht="10.35" customHeight="1">
      <c r="A59" s="453"/>
      <c r="B59" s="417" t="s">
        <v>60</v>
      </c>
      <c r="C59" s="450">
        <v>9.5613520708334008</v>
      </c>
      <c r="D59" s="450">
        <v>10.418407383297563</v>
      </c>
      <c r="E59" s="450">
        <v>10.93855512763135</v>
      </c>
      <c r="F59" s="450">
        <v>10.541797742822673</v>
      </c>
      <c r="G59" s="450">
        <v>13.113794948546779</v>
      </c>
      <c r="H59" s="450">
        <v>11.508143420326391</v>
      </c>
      <c r="I59" s="450">
        <v>12.896959055205315</v>
      </c>
      <c r="J59" s="450">
        <v>19.050118106622026</v>
      </c>
      <c r="K59" s="450">
        <v>20.298031504496304</v>
      </c>
      <c r="L59" s="450">
        <v>21.057096740678393</v>
      </c>
      <c r="M59" s="450">
        <v>18.85334351407008</v>
      </c>
      <c r="N59" s="450">
        <v>16.473536899492412</v>
      </c>
      <c r="O59" s="450">
        <v>18.16628558181581</v>
      </c>
      <c r="P59" s="450">
        <v>19.829923713157477</v>
      </c>
      <c r="Q59" s="450">
        <v>19.002906424659866</v>
      </c>
      <c r="R59" s="450">
        <v>17.100333138896843</v>
      </c>
      <c r="S59" s="450">
        <v>15.72570618716815</v>
      </c>
      <c r="T59" s="450">
        <v>15.990671464671502</v>
      </c>
      <c r="U59" s="450">
        <v>20.337637381863765</v>
      </c>
      <c r="V59" s="450">
        <v>21.610743621697598</v>
      </c>
      <c r="W59" s="450">
        <v>22.173368351017977</v>
      </c>
      <c r="X59" s="450">
        <v>19.809299840626363</v>
      </c>
    </row>
    <row r="60" spans="1:24" s="161" customFormat="1" ht="10.35" customHeight="1">
      <c r="A60" s="453"/>
      <c r="B60" s="417" t="s">
        <v>117</v>
      </c>
      <c r="C60" s="450">
        <v>3.2001774716023088</v>
      </c>
      <c r="D60" s="450">
        <v>2.3688694590769992</v>
      </c>
      <c r="E60" s="450">
        <v>1.222221457380559</v>
      </c>
      <c r="F60" s="450">
        <v>0.82332312993638834</v>
      </c>
      <c r="G60" s="450">
        <v>0.58101023625369741</v>
      </c>
      <c r="H60" s="450">
        <v>0.49386813177933042</v>
      </c>
      <c r="I60" s="450">
        <v>1.0398580562060271</v>
      </c>
      <c r="J60" s="450">
        <v>0.89562718487543735</v>
      </c>
      <c r="K60" s="450">
        <v>1.0608576686839772</v>
      </c>
      <c r="L60" s="450">
        <v>3.0628626403093673</v>
      </c>
      <c r="M60" s="450">
        <v>1.7716065287348293</v>
      </c>
      <c r="N60" s="450">
        <v>1.3663863119653352</v>
      </c>
      <c r="O60" s="450">
        <v>1.4202088217310507</v>
      </c>
      <c r="P60" s="450">
        <v>1.8135428805994773</v>
      </c>
      <c r="Q60" s="450">
        <v>1.0185723711628838</v>
      </c>
      <c r="R60" s="450">
        <v>1.4841130316789197</v>
      </c>
      <c r="S60" s="450">
        <v>1.8242627426578322</v>
      </c>
      <c r="T60" s="450">
        <v>3.4930057504508945</v>
      </c>
      <c r="U60" s="450">
        <v>0.93677762309944412</v>
      </c>
      <c r="V60" s="450">
        <v>1.1664844619862402</v>
      </c>
      <c r="W60" s="450">
        <v>0.96463040252379062</v>
      </c>
      <c r="X60" s="450">
        <v>0.86937766927800009</v>
      </c>
    </row>
    <row r="61" spans="1:24" s="161" customFormat="1" ht="10.35" customHeight="1">
      <c r="A61" s="453"/>
      <c r="B61" s="417" t="s">
        <v>118</v>
      </c>
      <c r="C61" s="450">
        <v>10.544463744288027</v>
      </c>
      <c r="D61" s="450">
        <v>9.2735011021139577</v>
      </c>
      <c r="E61" s="450">
        <v>9.5000524319701611</v>
      </c>
      <c r="F61" s="450">
        <v>10.062032315252887</v>
      </c>
      <c r="G61" s="450">
        <v>11.433337510469034</v>
      </c>
      <c r="H61" s="450">
        <v>11.087970442803631</v>
      </c>
      <c r="I61" s="450">
        <v>12.344986085967317</v>
      </c>
      <c r="J61" s="450">
        <v>12.396619027348008</v>
      </c>
      <c r="K61" s="450">
        <v>14.783196365140903</v>
      </c>
      <c r="L61" s="450">
        <v>15.6940986444137</v>
      </c>
      <c r="M61" s="450">
        <v>16.726278766700862</v>
      </c>
      <c r="N61" s="450">
        <v>18.460928028210432</v>
      </c>
      <c r="O61" s="450">
        <v>21.59937124728572</v>
      </c>
      <c r="P61" s="450">
        <v>28.541367639014133</v>
      </c>
      <c r="Q61" s="450">
        <v>38.100093745764369</v>
      </c>
      <c r="R61" s="450">
        <v>32.748703375959053</v>
      </c>
      <c r="S61" s="450">
        <v>34.748880800463553</v>
      </c>
      <c r="T61" s="450">
        <v>38.952923421271137</v>
      </c>
      <c r="U61" s="450">
        <v>37.496266142061081</v>
      </c>
      <c r="V61" s="450">
        <v>34.978774999538786</v>
      </c>
      <c r="W61" s="450">
        <v>35.264875389477375</v>
      </c>
      <c r="X61" s="450">
        <v>38.828425074725153</v>
      </c>
    </row>
    <row r="62" spans="1:24" s="161" customFormat="1" ht="10.35" customHeight="1">
      <c r="A62" s="453"/>
      <c r="B62" s="417" t="s">
        <v>126</v>
      </c>
      <c r="C62" s="450">
        <v>5.1339560717430279</v>
      </c>
      <c r="D62" s="450">
        <v>6.2651772487177846</v>
      </c>
      <c r="E62" s="450">
        <v>8.8747859197259107</v>
      </c>
      <c r="F62" s="450">
        <v>9.9075977469832672</v>
      </c>
      <c r="G62" s="450">
        <v>13.111620356536651</v>
      </c>
      <c r="H62" s="450">
        <v>13.298678619445289</v>
      </c>
      <c r="I62" s="450">
        <v>13.85542599366449</v>
      </c>
      <c r="J62" s="450">
        <v>16.217267157391625</v>
      </c>
      <c r="K62" s="450">
        <v>15.452377635726505</v>
      </c>
      <c r="L62" s="450">
        <v>18.136866631630369</v>
      </c>
      <c r="M62" s="450">
        <v>18.232173437091173</v>
      </c>
      <c r="N62" s="450">
        <v>19.189833257198966</v>
      </c>
      <c r="O62" s="450">
        <v>21.019967094434065</v>
      </c>
      <c r="P62" s="450">
        <v>22.633771421487726</v>
      </c>
      <c r="Q62" s="450">
        <v>24.203866769644247</v>
      </c>
      <c r="R62" s="450">
        <v>22.799551261948952</v>
      </c>
      <c r="S62" s="450">
        <v>23.477027856972626</v>
      </c>
      <c r="T62" s="450">
        <v>21.897557794008332</v>
      </c>
      <c r="U62" s="450">
        <v>20.125699800217852</v>
      </c>
      <c r="V62" s="450">
        <v>19.687045322710475</v>
      </c>
      <c r="W62" s="450">
        <v>17.610527545227729</v>
      </c>
      <c r="X62" s="450">
        <v>17.617619793693219</v>
      </c>
    </row>
    <row r="63" spans="1:24" s="161" customFormat="1" ht="10.35" customHeight="1">
      <c r="A63" s="453"/>
      <c r="B63" s="417" t="s">
        <v>137</v>
      </c>
      <c r="C63" s="450">
        <v>11.58278541954118</v>
      </c>
      <c r="D63" s="450">
        <v>12.276944990390813</v>
      </c>
      <c r="E63" s="450">
        <v>18.281171763238373</v>
      </c>
      <c r="F63" s="450">
        <v>16.73727915559186</v>
      </c>
      <c r="G63" s="450">
        <v>14.446949577197701</v>
      </c>
      <c r="H63" s="450">
        <v>15.310594176039</v>
      </c>
      <c r="I63" s="450">
        <v>14.368334385228401</v>
      </c>
      <c r="J63" s="450">
        <v>15.604993792963162</v>
      </c>
      <c r="K63" s="450">
        <v>16.540493620332345</v>
      </c>
      <c r="L63" s="450">
        <v>19.945281957511451</v>
      </c>
      <c r="M63" s="450">
        <v>20.726402871667084</v>
      </c>
      <c r="N63" s="450">
        <v>19.808609145015001</v>
      </c>
      <c r="O63" s="450">
        <v>17.059381393478215</v>
      </c>
      <c r="P63" s="450">
        <v>23.173909131519494</v>
      </c>
      <c r="Q63" s="450">
        <v>18.160536345118338</v>
      </c>
      <c r="R63" s="450">
        <v>21.211604781649559</v>
      </c>
      <c r="S63" s="450">
        <v>27.54545213963279</v>
      </c>
      <c r="T63" s="450">
        <v>26.635569705208212</v>
      </c>
      <c r="U63" s="450">
        <v>22.451251881035134</v>
      </c>
      <c r="V63" s="450">
        <v>23.746559636580919</v>
      </c>
      <c r="W63" s="450">
        <v>23.256811353200813</v>
      </c>
      <c r="X63" s="450">
        <v>22.33636655776257</v>
      </c>
    </row>
    <row r="64" spans="1:24" s="161" customFormat="1" ht="10.35" customHeight="1">
      <c r="A64" s="453"/>
      <c r="B64" s="417" t="s">
        <v>170</v>
      </c>
      <c r="C64" s="450">
        <v>7.4997368545356213</v>
      </c>
      <c r="D64" s="450">
        <v>5.7843163915467128</v>
      </c>
      <c r="E64" s="450">
        <v>6.4690115243309538</v>
      </c>
      <c r="F64" s="450">
        <v>7.8393472597095375</v>
      </c>
      <c r="G64" s="450">
        <v>7.5378364149082628</v>
      </c>
      <c r="H64" s="450">
        <v>7.1170827609489296</v>
      </c>
      <c r="I64" s="450">
        <v>7.6288378841308031</v>
      </c>
      <c r="J64" s="450">
        <v>10.348838955869692</v>
      </c>
      <c r="K64" s="450">
        <v>11.483822574050038</v>
      </c>
      <c r="L64" s="450">
        <v>14.283016536616618</v>
      </c>
      <c r="M64" s="450">
        <v>14.379674500980691</v>
      </c>
      <c r="N64" s="450">
        <v>26.254668885242289</v>
      </c>
      <c r="O64" s="450">
        <v>18.912173193178965</v>
      </c>
      <c r="P64" s="450">
        <v>16.015468515162681</v>
      </c>
      <c r="Q64" s="450">
        <v>16.745273919197388</v>
      </c>
      <c r="R64" s="450">
        <v>23.753711229426102</v>
      </c>
      <c r="S64" s="450">
        <v>22.010531955638182</v>
      </c>
      <c r="T64" s="450">
        <v>20.411352043390998</v>
      </c>
      <c r="U64" s="450">
        <v>24.523778760139432</v>
      </c>
      <c r="V64" s="450">
        <v>21.363980130793763</v>
      </c>
      <c r="W64" s="450">
        <v>27.141768340599167</v>
      </c>
      <c r="X64" s="450">
        <v>31.06457155387923</v>
      </c>
    </row>
    <row r="65" spans="1:24" s="161" customFormat="1" ht="10.35" customHeight="1">
      <c r="A65" s="453"/>
      <c r="B65" s="417" t="s">
        <v>138</v>
      </c>
      <c r="C65" s="450">
        <v>8.1556129388507532</v>
      </c>
      <c r="D65" s="450">
        <v>8.7248543216560162</v>
      </c>
      <c r="E65" s="450">
        <v>10.754491043569663</v>
      </c>
      <c r="F65" s="450">
        <v>11.090365187545871</v>
      </c>
      <c r="G65" s="450">
        <v>11.358074140503222</v>
      </c>
      <c r="H65" s="450">
        <v>11.257906486065401</v>
      </c>
      <c r="I65" s="450">
        <v>11.62000504609734</v>
      </c>
      <c r="J65" s="450">
        <v>12.027012944904493</v>
      </c>
      <c r="K65" s="450">
        <v>11.713229582978917</v>
      </c>
      <c r="L65" s="450">
        <v>11.70279616040235</v>
      </c>
      <c r="M65" s="450">
        <v>11.652740540146008</v>
      </c>
      <c r="N65" s="450">
        <v>11.695553102970857</v>
      </c>
      <c r="O65" s="450">
        <v>11.919692285077165</v>
      </c>
      <c r="P65" s="450">
        <v>11.965275787777598</v>
      </c>
      <c r="Q65" s="450">
        <v>12.999630361088169</v>
      </c>
      <c r="R65" s="450">
        <v>13.065578589968327</v>
      </c>
      <c r="S65" s="450">
        <v>11.697053853538273</v>
      </c>
      <c r="T65" s="450">
        <v>13.092052839121083</v>
      </c>
      <c r="U65" s="450">
        <v>12.748677044690087</v>
      </c>
      <c r="V65" s="450">
        <v>11.961494302808283</v>
      </c>
      <c r="W65" s="450">
        <v>11.218927967767449</v>
      </c>
      <c r="X65" s="450">
        <v>12.669516043828565</v>
      </c>
    </row>
    <row r="66" spans="1:24" s="161" customFormat="1" ht="10.35" customHeight="1">
      <c r="A66" s="453"/>
      <c r="B66" s="417" t="s">
        <v>44</v>
      </c>
      <c r="C66" s="450">
        <v>12.190169715146544</v>
      </c>
      <c r="D66" s="450">
        <v>12.078187404408057</v>
      </c>
      <c r="E66" s="450">
        <v>11.706321617804793</v>
      </c>
      <c r="F66" s="450">
        <v>10.587121252167858</v>
      </c>
      <c r="G66" s="450">
        <v>11.791981969306137</v>
      </c>
      <c r="H66" s="450">
        <v>11.776824879977779</v>
      </c>
      <c r="I66" s="450">
        <v>12.285582647235538</v>
      </c>
      <c r="J66" s="450">
        <v>12.152954223476492</v>
      </c>
      <c r="K66" s="450">
        <v>15.023319952752507</v>
      </c>
      <c r="L66" s="450">
        <v>12.892048594738839</v>
      </c>
      <c r="M66" s="450">
        <v>13.269331122510003</v>
      </c>
      <c r="N66" s="450">
        <v>12.916041944654365</v>
      </c>
      <c r="O66" s="450">
        <v>13.038768774621799</v>
      </c>
      <c r="P66" s="450">
        <v>16.518569595091993</v>
      </c>
      <c r="Q66" s="450">
        <v>18.971726154245761</v>
      </c>
      <c r="R66" s="450">
        <v>21.078251312052238</v>
      </c>
      <c r="S66" s="450">
        <v>22.550289367777584</v>
      </c>
      <c r="T66" s="450">
        <v>20.369237591291142</v>
      </c>
      <c r="U66" s="450">
        <v>20.622925898803157</v>
      </c>
      <c r="V66" s="450">
        <v>28.125288118475492</v>
      </c>
      <c r="W66" s="450">
        <v>21.303137813723865</v>
      </c>
      <c r="X66" s="450">
        <v>34.955793170998497</v>
      </c>
    </row>
    <row r="67" spans="1:24" s="161" customFormat="1" ht="10.35" customHeight="1">
      <c r="A67" s="453"/>
      <c r="B67" s="417" t="s">
        <v>42</v>
      </c>
      <c r="C67" s="450">
        <v>5.0553521423689451</v>
      </c>
      <c r="D67" s="450">
        <v>4.4190202959744118</v>
      </c>
      <c r="E67" s="450">
        <v>4.3478248856552053</v>
      </c>
      <c r="F67" s="450">
        <v>5.0540148366246989</v>
      </c>
      <c r="G67" s="450">
        <v>4.3995957197710371</v>
      </c>
      <c r="H67" s="450">
        <v>5.8824210754535793</v>
      </c>
      <c r="I67" s="450">
        <v>5.4019974913030868</v>
      </c>
      <c r="J67" s="450">
        <v>5.0644217106763589</v>
      </c>
      <c r="K67" s="450">
        <v>5.0672645367238767</v>
      </c>
      <c r="L67" s="450">
        <v>5.3189569724525576</v>
      </c>
      <c r="M67" s="450">
        <v>5.0254492009263227</v>
      </c>
      <c r="N67" s="450">
        <v>5.5376989796442864</v>
      </c>
      <c r="O67" s="450">
        <v>6.6832499391183537</v>
      </c>
      <c r="P67" s="450">
        <v>5.8734580430335477</v>
      </c>
      <c r="Q67" s="450">
        <v>6.0878096502347319</v>
      </c>
      <c r="R67" s="450">
        <v>5.8464778295539785</v>
      </c>
      <c r="S67" s="450">
        <v>7.5808554421660146</v>
      </c>
      <c r="T67" s="450">
        <v>6.2589273121905853</v>
      </c>
      <c r="U67" s="450">
        <v>5.7573507472427394</v>
      </c>
      <c r="V67" s="450">
        <v>6.7215874389080721</v>
      </c>
      <c r="W67" s="450">
        <v>7.1795796116126231</v>
      </c>
      <c r="X67" s="450">
        <v>5.7706915635613907</v>
      </c>
    </row>
    <row r="68" spans="1:24" s="161" customFormat="1" ht="10.35" customHeight="1">
      <c r="A68" s="453"/>
      <c r="B68" s="417" t="s">
        <v>43</v>
      </c>
      <c r="C68" s="450">
        <v>2.8718363017773525</v>
      </c>
      <c r="D68" s="450">
        <v>2.7985474736601614</v>
      </c>
      <c r="E68" s="450">
        <v>7.0737291138296614</v>
      </c>
      <c r="F68" s="450">
        <v>10.998382051519147</v>
      </c>
      <c r="G68" s="450">
        <v>7.578607707525868</v>
      </c>
      <c r="H68" s="450">
        <v>6.0298356189408828</v>
      </c>
      <c r="I68" s="450">
        <v>6.727950613172057</v>
      </c>
      <c r="J68" s="450">
        <v>6.0591131485731804</v>
      </c>
      <c r="K68" s="450">
        <v>6.2976094720720761</v>
      </c>
      <c r="L68" s="450">
        <v>5.0715235696853478</v>
      </c>
      <c r="M68" s="450">
        <v>4.5875458640077458</v>
      </c>
      <c r="N68" s="450">
        <v>4.8855599543405779</v>
      </c>
      <c r="O68" s="450">
        <v>7.2515223820398838</v>
      </c>
      <c r="P68" s="450">
        <v>7.5980066269682469</v>
      </c>
      <c r="Q68" s="450">
        <v>6.0176009086470472</v>
      </c>
      <c r="R68" s="450">
        <v>4.4936447791826817</v>
      </c>
      <c r="S68" s="450">
        <v>7.8499654748320253</v>
      </c>
      <c r="T68" s="450">
        <v>7.1865124770988942</v>
      </c>
      <c r="U68" s="450">
        <v>7.8756075166695716</v>
      </c>
      <c r="V68" s="450">
        <v>9.0643532135307652</v>
      </c>
      <c r="W68" s="450">
        <v>3.6042984219857708</v>
      </c>
      <c r="X68" s="450">
        <v>4.0707953849569005</v>
      </c>
    </row>
    <row r="69" spans="1:24" s="161" customFormat="1" ht="10.35" customHeight="1">
      <c r="A69" s="453"/>
      <c r="B69" s="417" t="s">
        <v>171</v>
      </c>
      <c r="C69" s="450">
        <v>0</v>
      </c>
      <c r="D69" s="450">
        <v>0</v>
      </c>
      <c r="E69" s="450">
        <v>0</v>
      </c>
      <c r="F69" s="450">
        <v>0</v>
      </c>
      <c r="G69" s="450">
        <v>0</v>
      </c>
      <c r="H69" s="450">
        <v>0</v>
      </c>
      <c r="I69" s="450">
        <v>0</v>
      </c>
      <c r="J69" s="450">
        <v>0</v>
      </c>
      <c r="K69" s="450">
        <v>0</v>
      </c>
      <c r="L69" s="450">
        <v>0</v>
      </c>
      <c r="M69" s="450">
        <v>0</v>
      </c>
      <c r="N69" s="450">
        <v>0</v>
      </c>
      <c r="O69" s="450">
        <v>0</v>
      </c>
      <c r="P69" s="450">
        <v>4.3917120000000001</v>
      </c>
      <c r="Q69" s="450">
        <v>6.2987340000000014</v>
      </c>
      <c r="R69" s="450">
        <v>23.161786830000004</v>
      </c>
      <c r="S69" s="450">
        <v>26.747804460000001</v>
      </c>
      <c r="T69" s="450">
        <v>38.963150460000001</v>
      </c>
      <c r="U69" s="450">
        <v>85.71516720000001</v>
      </c>
      <c r="V69" s="450">
        <v>175.93650360000004</v>
      </c>
      <c r="W69" s="450">
        <v>96.80342373000002</v>
      </c>
      <c r="X69" s="450">
        <v>119.89032900000001</v>
      </c>
    </row>
    <row r="70" spans="1:24" s="161" customFormat="1" ht="10.35" customHeight="1">
      <c r="A70" s="453"/>
      <c r="B70" s="417" t="s">
        <v>184</v>
      </c>
      <c r="C70" s="450">
        <v>8.2676192079425217</v>
      </c>
      <c r="D70" s="450">
        <v>8.7892854711059716</v>
      </c>
      <c r="E70" s="450">
        <v>7.2733543722840679</v>
      </c>
      <c r="F70" s="450">
        <v>7.4716281940651683</v>
      </c>
      <c r="G70" s="450">
        <v>7.1068609701801071</v>
      </c>
      <c r="H70" s="450">
        <v>7.6787561176973993</v>
      </c>
      <c r="I70" s="450">
        <v>9.060496771250909</v>
      </c>
      <c r="J70" s="450">
        <v>8.791535283871422</v>
      </c>
      <c r="K70" s="450">
        <v>9.5866699174057981</v>
      </c>
      <c r="L70" s="450">
        <v>9.019717100511965</v>
      </c>
      <c r="M70" s="450">
        <v>10.255880353219681</v>
      </c>
      <c r="N70" s="450">
        <v>10.672023140222914</v>
      </c>
      <c r="O70" s="450">
        <v>12.340941507095531</v>
      </c>
      <c r="P70" s="450">
        <v>11.972828593904428</v>
      </c>
      <c r="Q70" s="450">
        <v>12.413450795287881</v>
      </c>
      <c r="R70" s="450">
        <v>13.052883870531925</v>
      </c>
      <c r="S70" s="450">
        <v>13.344495892237141</v>
      </c>
      <c r="T70" s="450">
        <v>18.458842845267323</v>
      </c>
      <c r="U70" s="450">
        <v>17.845950303195082</v>
      </c>
      <c r="V70" s="450">
        <v>21.094926690165511</v>
      </c>
      <c r="W70" s="450">
        <v>29.611883212204351</v>
      </c>
      <c r="X70" s="450">
        <v>33.876083980854609</v>
      </c>
    </row>
    <row r="71" spans="1:24" s="161" customFormat="1" ht="10.35" customHeight="1">
      <c r="A71" s="453"/>
      <c r="B71" s="417" t="s">
        <v>185</v>
      </c>
      <c r="C71" s="450">
        <v>11.821802199818391</v>
      </c>
      <c r="D71" s="450">
        <v>12.092379739649331</v>
      </c>
      <c r="E71" s="450">
        <v>11.992189756659238</v>
      </c>
      <c r="F71" s="450">
        <v>12.583742595661624</v>
      </c>
      <c r="G71" s="450">
        <v>11.846308710262612</v>
      </c>
      <c r="H71" s="450">
        <v>11.543674563691768</v>
      </c>
      <c r="I71" s="450">
        <v>11.02708753840531</v>
      </c>
      <c r="J71" s="450">
        <v>10.599329274188515</v>
      </c>
      <c r="K71" s="450">
        <v>9.9979103063530097</v>
      </c>
      <c r="L71" s="450">
        <v>11.041287916278396</v>
      </c>
      <c r="M71" s="450">
        <v>9.9833873533922421</v>
      </c>
      <c r="N71" s="450">
        <v>9.7820202086075341</v>
      </c>
      <c r="O71" s="450">
        <v>10.647273057697507</v>
      </c>
      <c r="P71" s="450">
        <v>10.530435441317142</v>
      </c>
      <c r="Q71" s="450">
        <v>9.7453403793116102</v>
      </c>
      <c r="R71" s="450">
        <v>10.341845736272029</v>
      </c>
      <c r="S71" s="450">
        <v>11.281914783658971</v>
      </c>
      <c r="T71" s="450">
        <v>10.924912940484312</v>
      </c>
      <c r="U71" s="450">
        <v>13.702399044470262</v>
      </c>
      <c r="V71" s="450">
        <v>13.369050939221841</v>
      </c>
      <c r="W71" s="450">
        <v>14.666212377176484</v>
      </c>
      <c r="X71" s="450">
        <v>16.15292275662118</v>
      </c>
    </row>
    <row r="72" spans="1:24" s="161" customFormat="1" ht="10.35" customHeight="1">
      <c r="A72" s="453"/>
      <c r="B72" s="417" t="s">
        <v>59</v>
      </c>
      <c r="C72" s="450">
        <v>5.3025512529430383</v>
      </c>
      <c r="D72" s="450">
        <v>5.5925334186485376</v>
      </c>
      <c r="E72" s="450">
        <v>4.2655502696893421</v>
      </c>
      <c r="F72" s="450">
        <v>2.9991805729315826</v>
      </c>
      <c r="G72" s="450">
        <v>3.1258565229790629</v>
      </c>
      <c r="H72" s="450">
        <v>3.8080745757653407</v>
      </c>
      <c r="I72" s="450">
        <v>1.7373449088826252</v>
      </c>
      <c r="J72" s="450">
        <v>5.426785800762703</v>
      </c>
      <c r="K72" s="450">
        <v>9.8876164489004115</v>
      </c>
      <c r="L72" s="450">
        <v>8.9708299061845249</v>
      </c>
      <c r="M72" s="450">
        <v>11.060424021373768</v>
      </c>
      <c r="N72" s="450">
        <v>28.516624336131922</v>
      </c>
      <c r="O72" s="450">
        <v>15.0640979991559</v>
      </c>
      <c r="P72" s="450">
        <v>12.348879176099963</v>
      </c>
      <c r="Q72" s="450">
        <v>13.216736120133247</v>
      </c>
      <c r="R72" s="450">
        <v>10.033700520859771</v>
      </c>
      <c r="S72" s="450">
        <v>9.8144369558205096</v>
      </c>
      <c r="T72" s="450">
        <v>6.598402420300558</v>
      </c>
      <c r="U72" s="450">
        <v>14.930312234469348</v>
      </c>
      <c r="V72" s="450">
        <v>25.032066329529869</v>
      </c>
      <c r="W72" s="450">
        <v>23.393341761059947</v>
      </c>
      <c r="X72" s="450">
        <v>22.005034281015327</v>
      </c>
    </row>
    <row r="73" spans="1:24" s="161" customFormat="1" ht="10.35" customHeight="1">
      <c r="A73" s="453"/>
      <c r="B73" s="417" t="s">
        <v>186</v>
      </c>
      <c r="C73" s="450">
        <v>1.5541338191924761</v>
      </c>
      <c r="D73" s="450">
        <v>1.112938285902441</v>
      </c>
      <c r="E73" s="450">
        <v>0.50655904073176394</v>
      </c>
      <c r="F73" s="450">
        <v>0.56508331720051652</v>
      </c>
      <c r="G73" s="450">
        <v>2.5871833737772483</v>
      </c>
      <c r="H73" s="450">
        <v>7.2841066638849359</v>
      </c>
      <c r="I73" s="450">
        <v>4.3291680703608009</v>
      </c>
      <c r="J73" s="450">
        <v>2.9309687173521808</v>
      </c>
      <c r="K73" s="450">
        <v>1.0317468439232531</v>
      </c>
      <c r="L73" s="450">
        <v>0.80768061014194048</v>
      </c>
      <c r="M73" s="450">
        <v>1.2683191000551506</v>
      </c>
      <c r="N73" s="450">
        <v>3.1448738079736431</v>
      </c>
      <c r="O73" s="450">
        <v>3.0387028890598233</v>
      </c>
      <c r="P73" s="450">
        <v>4.4116947907680473</v>
      </c>
      <c r="Q73" s="450">
        <v>2.9804065869568372</v>
      </c>
      <c r="R73" s="450">
        <v>9.458552218773038</v>
      </c>
      <c r="S73" s="450">
        <v>12.581729380679077</v>
      </c>
      <c r="T73" s="450">
        <v>2.141799625710429</v>
      </c>
      <c r="U73" s="450">
        <v>1.468057212232591</v>
      </c>
      <c r="V73" s="450">
        <v>2.1899217575469505</v>
      </c>
      <c r="W73" s="450">
        <v>2.66912387438681</v>
      </c>
      <c r="X73" s="450">
        <v>2.5686197468505982</v>
      </c>
    </row>
    <row r="74" spans="1:24" s="161" customFormat="1" ht="10.35" customHeight="1">
      <c r="A74" s="453"/>
      <c r="B74" s="417" t="s">
        <v>187</v>
      </c>
      <c r="C74" s="450">
        <v>5.4353965707222187</v>
      </c>
      <c r="D74" s="450">
        <v>5.109289326799467</v>
      </c>
      <c r="E74" s="450">
        <v>6.8236880820098094</v>
      </c>
      <c r="F74" s="450">
        <v>7.2249878881880951</v>
      </c>
      <c r="G74" s="450">
        <v>6.5160893101508419</v>
      </c>
      <c r="H74" s="450">
        <v>7.5572674013935002</v>
      </c>
      <c r="I74" s="450">
        <v>7.0277480786252804</v>
      </c>
      <c r="J74" s="450">
        <v>8.1143857477681358</v>
      </c>
      <c r="K74" s="450">
        <v>6.4695627518761842</v>
      </c>
      <c r="L74" s="450">
        <v>7.7459061972843548</v>
      </c>
      <c r="M74" s="450">
        <v>6.8507263346807834</v>
      </c>
      <c r="N74" s="450">
        <v>7.3004403753501901</v>
      </c>
      <c r="O74" s="450">
        <v>7.7420944705204811</v>
      </c>
      <c r="P74" s="450">
        <v>7.8847879396332754</v>
      </c>
      <c r="Q74" s="450">
        <v>9.3238314939739251</v>
      </c>
      <c r="R74" s="450">
        <v>9.5937585837482651</v>
      </c>
      <c r="S74" s="450">
        <v>13.023464694644078</v>
      </c>
      <c r="T74" s="450">
        <v>11.618476607653022</v>
      </c>
      <c r="U74" s="450">
        <v>12.639056976198097</v>
      </c>
      <c r="V74" s="450">
        <v>13.630492412071487</v>
      </c>
      <c r="W74" s="450">
        <v>14.957208243453451</v>
      </c>
      <c r="X74" s="450">
        <v>11.303674960467889</v>
      </c>
    </row>
    <row r="75" spans="1:24" s="161" customFormat="1" ht="10.35" customHeight="1">
      <c r="A75" s="453"/>
      <c r="B75" s="417" t="s">
        <v>127</v>
      </c>
      <c r="C75" s="450">
        <v>4.3034411576488596</v>
      </c>
      <c r="D75" s="450">
        <v>3.9856278388932509</v>
      </c>
      <c r="E75" s="450">
        <v>2.8355144397973735</v>
      </c>
      <c r="F75" s="450">
        <v>2.8940354811765481</v>
      </c>
      <c r="G75" s="450">
        <v>4.3723766669249109</v>
      </c>
      <c r="H75" s="450">
        <v>5.5528975727159748</v>
      </c>
      <c r="I75" s="450">
        <v>5.4043670108398967</v>
      </c>
      <c r="J75" s="450">
        <v>5.8380754263482553</v>
      </c>
      <c r="K75" s="450">
        <v>7.8527192125417224</v>
      </c>
      <c r="L75" s="450">
        <v>6.5445536173837242</v>
      </c>
      <c r="M75" s="450">
        <v>9.0591248694188469</v>
      </c>
      <c r="N75" s="450">
        <v>9.2580336972041355</v>
      </c>
      <c r="O75" s="450">
        <v>9.5082425055520581</v>
      </c>
      <c r="P75" s="450">
        <v>10.431060410978761</v>
      </c>
      <c r="Q75" s="450">
        <v>9.4035259839200567</v>
      </c>
      <c r="R75" s="450">
        <v>10.74345401456547</v>
      </c>
      <c r="S75" s="450">
        <v>11.428944012038059</v>
      </c>
      <c r="T75" s="450">
        <v>13.362230182963904</v>
      </c>
      <c r="U75" s="450">
        <v>13.304781862309394</v>
      </c>
      <c r="V75" s="450">
        <v>13.631997165631756</v>
      </c>
      <c r="W75" s="450">
        <v>14.930099815222649</v>
      </c>
      <c r="X75" s="450">
        <v>10.43781607603476</v>
      </c>
    </row>
    <row r="76" spans="1:24" s="161" customFormat="1" ht="10.35" customHeight="1">
      <c r="A76" s="453"/>
      <c r="B76" s="417" t="s">
        <v>188</v>
      </c>
      <c r="C76" s="450">
        <v>1.2761091716428625</v>
      </c>
      <c r="D76" s="450">
        <v>0.26035846187247902</v>
      </c>
      <c r="E76" s="450">
        <v>0.26557126119814572</v>
      </c>
      <c r="F76" s="450">
        <v>0.24803850412693912</v>
      </c>
      <c r="G76" s="450">
        <v>0.26446511445432569</v>
      </c>
      <c r="H76" s="450">
        <v>0.41000620668161014</v>
      </c>
      <c r="I76" s="450">
        <v>0.33091671449848131</v>
      </c>
      <c r="J76" s="450">
        <v>0.26644226896348899</v>
      </c>
      <c r="K76" s="450">
        <v>0.74591051697707622</v>
      </c>
      <c r="L76" s="450">
        <v>0.29185052590536592</v>
      </c>
      <c r="M76" s="450">
        <v>0.28402801510026782</v>
      </c>
      <c r="N76" s="450">
        <v>0.27379781362823208</v>
      </c>
      <c r="O76" s="450">
        <v>0.37846115358315108</v>
      </c>
      <c r="P76" s="450">
        <v>0.47646608626726134</v>
      </c>
      <c r="Q76" s="450">
        <v>0.40700735675188265</v>
      </c>
      <c r="R76" s="450">
        <v>0.48877776447130572</v>
      </c>
      <c r="S76" s="450">
        <v>0.44501376403355369</v>
      </c>
      <c r="T76" s="450">
        <v>0.49767992748743778</v>
      </c>
      <c r="U76" s="450">
        <v>0.72533420045206565</v>
      </c>
      <c r="V76" s="450">
        <v>1.0449245021844862</v>
      </c>
      <c r="W76" s="450">
        <v>0.81116986304585703</v>
      </c>
      <c r="X76" s="450">
        <v>0.77425801114991188</v>
      </c>
    </row>
    <row r="77" spans="1:24" s="161" customFormat="1" ht="10.35" customHeight="1">
      <c r="A77" s="453"/>
      <c r="B77" s="417" t="s">
        <v>189</v>
      </c>
      <c r="C77" s="450">
        <v>1.0970260602310227</v>
      </c>
      <c r="D77" s="450">
        <v>1.0361323142139212</v>
      </c>
      <c r="E77" s="450">
        <v>0.95623127175217493</v>
      </c>
      <c r="F77" s="450">
        <v>0.67170847003450329</v>
      </c>
      <c r="G77" s="450">
        <v>0.41358469115661556</v>
      </c>
      <c r="H77" s="450">
        <v>0.11146254087908788</v>
      </c>
      <c r="I77" s="450">
        <v>0.2780697072457245</v>
      </c>
      <c r="J77" s="450">
        <v>0.15282100999474943</v>
      </c>
      <c r="K77" s="450">
        <v>5.3912671088358829E-2</v>
      </c>
      <c r="L77" s="450">
        <v>0.52651384441569149</v>
      </c>
      <c r="M77" s="450">
        <v>2.3465798079807976E-2</v>
      </c>
      <c r="N77" s="450">
        <v>4.9864820919591948E-2</v>
      </c>
      <c r="O77" s="450">
        <v>2.9332247599759966E-2</v>
      </c>
      <c r="P77" s="450">
        <v>0.21119218271827175</v>
      </c>
      <c r="Q77" s="450">
        <v>2.0532573319831979E-2</v>
      </c>
      <c r="R77" s="450">
        <v>8.7996742799279895E-2</v>
      </c>
      <c r="S77" s="450">
        <v>8.7996742799279895E-2</v>
      </c>
      <c r="T77" s="450">
        <v>3.8131921879687961E-2</v>
      </c>
      <c r="U77" s="450">
        <v>8.2130293279327915E-2</v>
      </c>
      <c r="V77" s="450">
        <v>0.10418521024958743</v>
      </c>
      <c r="W77" s="450">
        <v>2.6399022839783969E-2</v>
      </c>
      <c r="X77" s="450">
        <v>0.20679234557830778</v>
      </c>
    </row>
    <row r="78" spans="1:24" s="161" customFormat="1" ht="10.35" customHeight="1">
      <c r="A78" s="453"/>
      <c r="B78" s="417" t="s">
        <v>50</v>
      </c>
      <c r="C78" s="450">
        <v>5.2527993607659162</v>
      </c>
      <c r="D78" s="450">
        <v>5.7222727516103067</v>
      </c>
      <c r="E78" s="450">
        <v>3.052674328919883</v>
      </c>
      <c r="F78" s="450">
        <v>3.2468360431877721</v>
      </c>
      <c r="G78" s="450">
        <v>4.3852806578694423</v>
      </c>
      <c r="H78" s="450">
        <v>4.3613160528170534</v>
      </c>
      <c r="I78" s="450">
        <v>3.585976356021082</v>
      </c>
      <c r="J78" s="450">
        <v>4.0730387987070564</v>
      </c>
      <c r="K78" s="450">
        <v>4.2394596671264226</v>
      </c>
      <c r="L78" s="450">
        <v>3.7753209426067231</v>
      </c>
      <c r="M78" s="450">
        <v>4.3930025861641013</v>
      </c>
      <c r="N78" s="450">
        <v>4.8703000574580217</v>
      </c>
      <c r="O78" s="450">
        <v>4.5943623963495446</v>
      </c>
      <c r="P78" s="450">
        <v>5.1912655169929121</v>
      </c>
      <c r="Q78" s="450">
        <v>5.5587503900686919</v>
      </c>
      <c r="R78" s="450">
        <v>5.3020744618211113</v>
      </c>
      <c r="S78" s="450">
        <v>4.925364910267187</v>
      </c>
      <c r="T78" s="450">
        <v>4.4119079968165416</v>
      </c>
      <c r="U78" s="450">
        <v>4.8336932760069846</v>
      </c>
      <c r="V78" s="450">
        <v>4.1117065361925969</v>
      </c>
      <c r="W78" s="450">
        <v>4.2965002684854614</v>
      </c>
      <c r="X78" s="450">
        <v>5.5619519644770046</v>
      </c>
    </row>
    <row r="79" spans="1:24" s="161" customFormat="1" ht="10.35" customHeight="1">
      <c r="A79" s="453"/>
      <c r="B79" s="417" t="s">
        <v>208</v>
      </c>
      <c r="C79" s="450">
        <v>1.7928343755621763</v>
      </c>
      <c r="D79" s="450">
        <v>1.5444435812480342</v>
      </c>
      <c r="E79" s="450">
        <v>1.2777236177237512</v>
      </c>
      <c r="F79" s="450">
        <v>0.7671999394625626</v>
      </c>
      <c r="G79" s="450">
        <v>0.60515504289821731</v>
      </c>
      <c r="H79" s="450">
        <v>2.3381484846966361</v>
      </c>
      <c r="I79" s="450">
        <v>2.6724525812103113</v>
      </c>
      <c r="J79" s="450">
        <v>3.0821649584021413</v>
      </c>
      <c r="K79" s="450">
        <v>4.1948538089073146</v>
      </c>
      <c r="L79" s="450">
        <v>5.4223458588127897</v>
      </c>
      <c r="M79" s="450">
        <v>5.3194455651465882</v>
      </c>
      <c r="N79" s="450">
        <v>5.4375994216308703</v>
      </c>
      <c r="O79" s="450">
        <v>4.9151079918237199</v>
      </c>
      <c r="P79" s="450">
        <v>5.007262594613116</v>
      </c>
      <c r="Q79" s="450">
        <v>4.8964323980079358</v>
      </c>
      <c r="R79" s="450">
        <v>4.6572566722866222</v>
      </c>
      <c r="S79" s="450">
        <v>4.1112027116074472</v>
      </c>
      <c r="T79" s="450">
        <v>3.5426355036293682</v>
      </c>
      <c r="U79" s="450">
        <v>6.2335752341149577</v>
      </c>
      <c r="V79" s="450">
        <v>5.840884229726286</v>
      </c>
      <c r="W79" s="450">
        <v>6.3393326603641347</v>
      </c>
      <c r="X79" s="450">
        <v>5.9787942984884284</v>
      </c>
    </row>
    <row r="80" spans="1:24" s="161" customFormat="1" ht="10.35" customHeight="1">
      <c r="A80" s="453"/>
      <c r="B80" s="417" t="s">
        <v>209</v>
      </c>
      <c r="C80" s="450">
        <v>3.2743393689308764</v>
      </c>
      <c r="D80" s="450">
        <v>3.7994391437721973</v>
      </c>
      <c r="E80" s="450">
        <v>1.5048825120347422</v>
      </c>
      <c r="F80" s="450">
        <v>2.2179495788056243</v>
      </c>
      <c r="G80" s="450">
        <v>1.7859333769049224</v>
      </c>
      <c r="H80" s="450">
        <v>1.7867062144754067</v>
      </c>
      <c r="I80" s="450">
        <v>1.4918969558809223</v>
      </c>
      <c r="J80" s="450">
        <v>1.9034895112543144</v>
      </c>
      <c r="K80" s="450">
        <v>1.7179594851263049</v>
      </c>
      <c r="L80" s="450">
        <v>1.5757875316721468</v>
      </c>
      <c r="M80" s="450">
        <v>1.9071727420170617</v>
      </c>
      <c r="N80" s="450">
        <v>0.76433635720893423</v>
      </c>
      <c r="O80" s="450">
        <v>1.9089446135201229</v>
      </c>
      <c r="P80" s="450">
        <v>2.2633773481926256</v>
      </c>
      <c r="Q80" s="450">
        <v>1.4827360032161578</v>
      </c>
      <c r="R80" s="450">
        <v>1.0480601090911794</v>
      </c>
      <c r="S80" s="450">
        <v>1.1509813388131578</v>
      </c>
      <c r="T80" s="450">
        <v>1.0117197785512622</v>
      </c>
      <c r="U80" s="450">
        <v>0.92874341305683017</v>
      </c>
      <c r="V80" s="450">
        <v>0.62748755814269697</v>
      </c>
      <c r="W80" s="450">
        <v>1.018826114260349</v>
      </c>
      <c r="X80" s="450">
        <v>0.97837277986970828</v>
      </c>
    </row>
    <row r="81" spans="1:24" s="161" customFormat="1" ht="10.35" customHeight="1">
      <c r="A81" s="453"/>
      <c r="B81" s="417" t="s">
        <v>210</v>
      </c>
      <c r="C81" s="450">
        <v>1.8383332021573831</v>
      </c>
      <c r="D81" s="450">
        <v>1.7848241204075672</v>
      </c>
      <c r="E81" s="450">
        <v>1.7797787139103962</v>
      </c>
      <c r="F81" s="450">
        <v>1.8168092203116528</v>
      </c>
      <c r="G81" s="450">
        <v>0.33697760825143519</v>
      </c>
      <c r="H81" s="450">
        <v>1.0155616380544628</v>
      </c>
      <c r="I81" s="450">
        <v>1.6728531266767674</v>
      </c>
      <c r="J81" s="450">
        <v>1.1244081828076564</v>
      </c>
      <c r="K81" s="450">
        <v>1.1946967127705417</v>
      </c>
      <c r="L81" s="450">
        <v>0.86864680695811713</v>
      </c>
      <c r="M81" s="450">
        <v>0.94385622834039939</v>
      </c>
      <c r="N81" s="450">
        <v>0.98097931100765923</v>
      </c>
      <c r="O81" s="450">
        <v>1.0987182689917845</v>
      </c>
      <c r="P81" s="450">
        <v>1.5466624184878854</v>
      </c>
      <c r="Q81" s="450">
        <v>1.3181050412846993</v>
      </c>
      <c r="R81" s="450">
        <v>1.2725371516326329</v>
      </c>
      <c r="S81" s="450">
        <v>1.121362423656153</v>
      </c>
      <c r="T81" s="450">
        <v>0.77136396359137593</v>
      </c>
      <c r="U81" s="450">
        <v>0.26772593246778514</v>
      </c>
      <c r="V81" s="450">
        <v>0.50313302759254364</v>
      </c>
      <c r="W81" s="450">
        <v>0.50735681972893698</v>
      </c>
      <c r="X81" s="450">
        <v>0.52423856471593988</v>
      </c>
    </row>
    <row r="82" spans="1:24" s="161" customFormat="1" ht="10.35" customHeight="1">
      <c r="A82" s="453"/>
      <c r="B82" s="417" t="s">
        <v>211</v>
      </c>
      <c r="C82" s="450">
        <v>461.54417703697885</v>
      </c>
      <c r="D82" s="450">
        <v>455.59970706296656</v>
      </c>
      <c r="E82" s="450">
        <v>516.96911471974465</v>
      </c>
      <c r="F82" s="450">
        <v>514.16821806410564</v>
      </c>
      <c r="G82" s="450">
        <v>509.22995369961103</v>
      </c>
      <c r="H82" s="450">
        <v>535.6521490167936</v>
      </c>
      <c r="I82" s="450">
        <v>573.33274472899768</v>
      </c>
      <c r="J82" s="450">
        <v>639.70798149742677</v>
      </c>
      <c r="K82" s="450">
        <v>635.48888522525294</v>
      </c>
      <c r="L82" s="450">
        <v>744.05971629652004</v>
      </c>
      <c r="M82" s="450">
        <v>802.33297471022877</v>
      </c>
      <c r="N82" s="450">
        <v>840.14396633861384</v>
      </c>
      <c r="O82" s="450">
        <v>848.08528463571668</v>
      </c>
      <c r="P82" s="450">
        <v>904.48791239301534</v>
      </c>
      <c r="Q82" s="450">
        <v>912.20628035018308</v>
      </c>
      <c r="R82" s="450">
        <v>976.52923159106786</v>
      </c>
      <c r="S82" s="450">
        <v>970.71903202903968</v>
      </c>
      <c r="T82" s="450">
        <v>995.63777012487287</v>
      </c>
      <c r="U82" s="450">
        <v>1066.7252112498268</v>
      </c>
      <c r="V82" s="450">
        <v>1146.3682408381192</v>
      </c>
      <c r="W82" s="450">
        <v>1144.0824856733202</v>
      </c>
      <c r="X82" s="450">
        <v>1181.7667513204465</v>
      </c>
    </row>
    <row r="83" spans="1:24" s="161" customFormat="1" ht="13.5" customHeight="1">
      <c r="A83" s="294" t="s">
        <v>212</v>
      </c>
      <c r="B83" s="424"/>
      <c r="C83" s="449">
        <v>2932.2820963013796</v>
      </c>
      <c r="D83" s="449">
        <v>3011.4698633642674</v>
      </c>
      <c r="E83" s="449">
        <v>3145.8195231910604</v>
      </c>
      <c r="F83" s="449">
        <v>3282.6146947265156</v>
      </c>
      <c r="G83" s="449">
        <v>3345.4493881083367</v>
      </c>
      <c r="H83" s="449">
        <v>3543.6756498161058</v>
      </c>
      <c r="I83" s="449">
        <v>3803.7162234396101</v>
      </c>
      <c r="J83" s="449">
        <v>4132.4741700809891</v>
      </c>
      <c r="K83" s="449">
        <v>4353.5439371207394</v>
      </c>
      <c r="L83" s="449">
        <v>4628.3257740848885</v>
      </c>
      <c r="M83" s="449">
        <v>4821.151460445777</v>
      </c>
      <c r="N83" s="449">
        <v>5255.6941589421458</v>
      </c>
      <c r="O83" s="449">
        <v>5506.9526626084798</v>
      </c>
      <c r="P83" s="449">
        <v>5682.2722651756558</v>
      </c>
      <c r="Q83" s="449">
        <v>5874.5910210138309</v>
      </c>
      <c r="R83" s="449">
        <v>6172.3579470435852</v>
      </c>
      <c r="S83" s="449">
        <v>6364.7520260301362</v>
      </c>
      <c r="T83" s="449">
        <v>6522.8703344844398</v>
      </c>
      <c r="U83" s="449">
        <v>6898.9703699016909</v>
      </c>
      <c r="V83" s="449">
        <v>7215.339414840786</v>
      </c>
      <c r="W83" s="449">
        <v>7213.3788030800588</v>
      </c>
      <c r="X83" s="449">
        <v>7249.053984376791</v>
      </c>
    </row>
    <row r="84" spans="1:24" s="161" customFormat="1" ht="10.35" customHeight="1">
      <c r="A84" s="453"/>
      <c r="B84" s="417" t="s">
        <v>302</v>
      </c>
      <c r="C84" s="450">
        <v>1121.2882765786903</v>
      </c>
      <c r="D84" s="450">
        <v>1135.9037995097758</v>
      </c>
      <c r="E84" s="450">
        <v>1223.236733064396</v>
      </c>
      <c r="F84" s="450">
        <v>1313.0289543568576</v>
      </c>
      <c r="G84" s="450">
        <v>1301.3548778795507</v>
      </c>
      <c r="H84" s="450">
        <v>1417.7913953821846</v>
      </c>
      <c r="I84" s="450">
        <v>1516.2155944584829</v>
      </c>
      <c r="J84" s="450">
        <v>1731.9264767948341</v>
      </c>
      <c r="K84" s="450">
        <v>1905.5168150836062</v>
      </c>
      <c r="L84" s="450">
        <v>2121.4645399734986</v>
      </c>
      <c r="M84" s="450">
        <v>2229.5434241071885</v>
      </c>
      <c r="N84" s="450">
        <v>2529.4233011604433</v>
      </c>
      <c r="O84" s="450">
        <v>2701.8476864314375</v>
      </c>
      <c r="P84" s="450">
        <v>2794.8896245056799</v>
      </c>
      <c r="Q84" s="450">
        <v>2946.2560650989963</v>
      </c>
      <c r="R84" s="450">
        <v>3181.7866408317304</v>
      </c>
      <c r="S84" s="450">
        <v>3324.4506262726431</v>
      </c>
      <c r="T84" s="450">
        <v>3414.7683741035025</v>
      </c>
      <c r="U84" s="450">
        <v>3723.0892992762756</v>
      </c>
      <c r="V84" s="450">
        <v>3902.6822075884629</v>
      </c>
      <c r="W84" s="450">
        <v>3940.6245896939577</v>
      </c>
      <c r="X84" s="450">
        <v>3916.3581606364651</v>
      </c>
    </row>
    <row r="85" spans="1:24" s="161" customFormat="1" ht="10.35" customHeight="1">
      <c r="A85" s="453"/>
      <c r="B85" s="425" t="s">
        <v>304</v>
      </c>
      <c r="C85" s="450">
        <v>199.969050983621</v>
      </c>
      <c r="D85" s="450">
        <v>200.87701215947351</v>
      </c>
      <c r="E85" s="450">
        <v>199.5867828485701</v>
      </c>
      <c r="F85" s="450">
        <v>201.13599483565872</v>
      </c>
      <c r="G85" s="450">
        <v>211.60678544669219</v>
      </c>
      <c r="H85" s="450">
        <v>211.35729343876056</v>
      </c>
      <c r="I85" s="450">
        <v>212.92962110111648</v>
      </c>
      <c r="J85" s="450">
        <v>212.51124328881377</v>
      </c>
      <c r="K85" s="450">
        <v>207.53954086480059</v>
      </c>
      <c r="L85" s="450">
        <v>206.6029649687045</v>
      </c>
      <c r="M85" s="450">
        <v>211.71675647995255</v>
      </c>
      <c r="N85" s="450">
        <v>213.2493389051115</v>
      </c>
      <c r="O85" s="450">
        <v>219.74657867322625</v>
      </c>
      <c r="P85" s="450">
        <v>217.39561479861774</v>
      </c>
      <c r="Q85" s="450">
        <v>211.37845173424131</v>
      </c>
      <c r="R85" s="450">
        <v>202.10296307300848</v>
      </c>
      <c r="S85" s="450">
        <v>209.14283069227281</v>
      </c>
      <c r="T85" s="450">
        <v>205.65279837251973</v>
      </c>
      <c r="U85" s="450">
        <v>208.19892107533903</v>
      </c>
      <c r="V85" s="450">
        <v>208.52940169901697</v>
      </c>
      <c r="W85" s="450">
        <v>199.2432775083208</v>
      </c>
      <c r="X85" s="450">
        <v>202.67035879156012</v>
      </c>
    </row>
    <row r="86" spans="1:24" s="161" customFormat="1" ht="10.35" customHeight="1">
      <c r="A86" s="454"/>
      <c r="B86" s="417" t="s">
        <v>294</v>
      </c>
      <c r="C86" s="450">
        <v>214.02673023496675</v>
      </c>
      <c r="D86" s="450">
        <v>216.8420646039269</v>
      </c>
      <c r="E86" s="450">
        <v>216.4081120962619</v>
      </c>
      <c r="F86" s="450">
        <v>218.98321852566161</v>
      </c>
      <c r="G86" s="450">
        <v>228.05929209460714</v>
      </c>
      <c r="H86" s="450">
        <v>237.48306549582705</v>
      </c>
      <c r="I86" s="450">
        <v>248.41069197768761</v>
      </c>
      <c r="J86" s="450">
        <v>258.5175996818856</v>
      </c>
      <c r="K86" s="450">
        <v>259.18047885156693</v>
      </c>
      <c r="L86" s="450">
        <v>257.29490255430289</v>
      </c>
      <c r="M86" s="450">
        <v>263.60701968715847</v>
      </c>
      <c r="N86" s="450">
        <v>272.61968513946653</v>
      </c>
      <c r="O86" s="450">
        <v>281.81038683641026</v>
      </c>
      <c r="P86" s="450">
        <v>294.7404255878954</v>
      </c>
      <c r="Q86" s="450">
        <v>310.72830634211863</v>
      </c>
      <c r="R86" s="450">
        <v>331.78419424347481</v>
      </c>
      <c r="S86" s="450">
        <v>340.5707669120078</v>
      </c>
      <c r="T86" s="450">
        <v>365.10487647328074</v>
      </c>
      <c r="U86" s="450">
        <v>377.80463227288118</v>
      </c>
      <c r="V86" s="450">
        <v>395.39141176861773</v>
      </c>
      <c r="W86" s="450">
        <v>391.19931074373767</v>
      </c>
      <c r="X86" s="450">
        <v>401.25597376115479</v>
      </c>
    </row>
    <row r="87" spans="1:24" s="161" customFormat="1" ht="10.35" customHeight="1">
      <c r="A87" s="453"/>
      <c r="B87" s="417" t="s">
        <v>101</v>
      </c>
      <c r="C87" s="450">
        <v>556.45998918656267</v>
      </c>
      <c r="D87" s="450">
        <v>552.35431940405647</v>
      </c>
      <c r="E87" s="450">
        <v>577.57348335691938</v>
      </c>
      <c r="F87" s="450">
        <v>592.49514187231614</v>
      </c>
      <c r="G87" s="450">
        <v>598.97265779152337</v>
      </c>
      <c r="H87" s="450">
        <v>638.66884123526677</v>
      </c>
      <c r="I87" s="450">
        <v>688.37877925564646</v>
      </c>
      <c r="J87" s="450">
        <v>694.44313098685689</v>
      </c>
      <c r="K87" s="450">
        <v>699.28523032711962</v>
      </c>
      <c r="L87" s="450">
        <v>703.97772406165757</v>
      </c>
      <c r="M87" s="450">
        <v>735.03754823689951</v>
      </c>
      <c r="N87" s="450">
        <v>764.25898252066816</v>
      </c>
      <c r="O87" s="450">
        <v>807.37279255187059</v>
      </c>
      <c r="P87" s="450">
        <v>822.67432218161628</v>
      </c>
      <c r="Q87" s="450">
        <v>827.92325666071861</v>
      </c>
      <c r="R87" s="450">
        <v>829.32507137588436</v>
      </c>
      <c r="S87" s="450">
        <v>817.44547385845044</v>
      </c>
      <c r="T87" s="450">
        <v>810.05528129300922</v>
      </c>
      <c r="U87" s="450">
        <v>809.52064632448003</v>
      </c>
      <c r="V87" s="450">
        <v>825.98685682729149</v>
      </c>
      <c r="W87" s="450">
        <v>787.33493027821862</v>
      </c>
      <c r="X87" s="450">
        <v>800.18271686736875</v>
      </c>
    </row>
    <row r="88" spans="1:24" s="161" customFormat="1" ht="10.35" customHeight="1">
      <c r="A88" s="453"/>
      <c r="B88" s="417" t="s">
        <v>103</v>
      </c>
      <c r="C88" s="450">
        <v>28.756562982282944</v>
      </c>
      <c r="D88" s="450">
        <v>28.361507406730489</v>
      </c>
      <c r="E88" s="450">
        <v>26.717149671671027</v>
      </c>
      <c r="F88" s="450">
        <v>28.950103244020621</v>
      </c>
      <c r="G88" s="450">
        <v>29.192120341936292</v>
      </c>
      <c r="H88" s="450">
        <v>29.845919069513432</v>
      </c>
      <c r="I88" s="450">
        <v>29.825980119154753</v>
      </c>
      <c r="J88" s="450">
        <v>30.99829681511655</v>
      </c>
      <c r="K88" s="450">
        <v>28.924102393033273</v>
      </c>
      <c r="L88" s="450">
        <v>27.790420523090262</v>
      </c>
      <c r="M88" s="450">
        <v>27.859974107537916</v>
      </c>
      <c r="N88" s="450">
        <v>28.650919944003505</v>
      </c>
      <c r="O88" s="450">
        <v>29.408342296017764</v>
      </c>
      <c r="P88" s="450">
        <v>30.402600155721313</v>
      </c>
      <c r="Q88" s="450">
        <v>29.017832506234221</v>
      </c>
      <c r="R88" s="450">
        <v>27.514783043677511</v>
      </c>
      <c r="S88" s="450">
        <v>27.10459121193411</v>
      </c>
      <c r="T88" s="450">
        <v>24.540735807496326</v>
      </c>
      <c r="U88" s="450">
        <v>22.18048232067607</v>
      </c>
      <c r="V88" s="450">
        <v>23.443682441472834</v>
      </c>
      <c r="W88" s="450">
        <v>22.76577626041135</v>
      </c>
      <c r="X88" s="450">
        <v>22.832705428469229</v>
      </c>
    </row>
    <row r="89" spans="1:24" s="161" customFormat="1" ht="10.35" customHeight="1">
      <c r="A89" s="453"/>
      <c r="B89" s="417" t="s">
        <v>105</v>
      </c>
      <c r="C89" s="450">
        <v>71.871610254932122</v>
      </c>
      <c r="D89" s="450">
        <v>75.367087413528054</v>
      </c>
      <c r="E89" s="450">
        <v>77.546030376409178</v>
      </c>
      <c r="F89" s="450">
        <v>77.671041375502284</v>
      </c>
      <c r="G89" s="450">
        <v>78.706318298529553</v>
      </c>
      <c r="H89" s="450">
        <v>83.523217868525052</v>
      </c>
      <c r="I89" s="450">
        <v>85.84870869014118</v>
      </c>
      <c r="J89" s="450">
        <v>88.83408384812526</v>
      </c>
      <c r="K89" s="450">
        <v>88.35304868711205</v>
      </c>
      <c r="L89" s="450">
        <v>94.900260981798013</v>
      </c>
      <c r="M89" s="450">
        <v>98.886894475333804</v>
      </c>
      <c r="N89" s="450">
        <v>105.36026825862072</v>
      </c>
      <c r="O89" s="450">
        <v>110.64465420839481</v>
      </c>
      <c r="P89" s="450">
        <v>113.8783754455484</v>
      </c>
      <c r="Q89" s="450">
        <v>117.16574933056418</v>
      </c>
      <c r="R89" s="450">
        <v>111.46659028191121</v>
      </c>
      <c r="S89" s="450">
        <v>118.0160414262905</v>
      </c>
      <c r="T89" s="450">
        <v>121.30610648349544</v>
      </c>
      <c r="U89" s="450">
        <v>119.91530119417189</v>
      </c>
      <c r="V89" s="450">
        <v>119.87345751561544</v>
      </c>
      <c r="W89" s="450">
        <v>117.83263310945152</v>
      </c>
      <c r="X89" s="450">
        <v>121.18319370935812</v>
      </c>
    </row>
    <row r="90" spans="1:24" s="161" customFormat="1" ht="10.35" customHeight="1">
      <c r="A90" s="453"/>
      <c r="B90" s="417" t="s">
        <v>107</v>
      </c>
      <c r="C90" s="450">
        <v>13.075468423537574</v>
      </c>
      <c r="D90" s="450">
        <v>13.551795306429989</v>
      </c>
      <c r="E90" s="450">
        <v>12.951281455710649</v>
      </c>
      <c r="F90" s="450">
        <v>14.350104137119965</v>
      </c>
      <c r="G90" s="450">
        <v>15.147936046912358</v>
      </c>
      <c r="H90" s="450">
        <v>16.075284759901045</v>
      </c>
      <c r="I90" s="450">
        <v>15.910484223636503</v>
      </c>
      <c r="J90" s="450">
        <v>16.950435293207207</v>
      </c>
      <c r="K90" s="450">
        <v>16.019155686598253</v>
      </c>
      <c r="L90" s="450">
        <v>16.911114535290054</v>
      </c>
      <c r="M90" s="450">
        <v>16.522121347189636</v>
      </c>
      <c r="N90" s="450">
        <v>16.809895681853767</v>
      </c>
      <c r="O90" s="450">
        <v>17.928995143625183</v>
      </c>
      <c r="P90" s="450">
        <v>17.34364252698597</v>
      </c>
      <c r="Q90" s="450">
        <v>16.800904069844179</v>
      </c>
      <c r="R90" s="450">
        <v>15.712488462963357</v>
      </c>
      <c r="S90" s="450">
        <v>16.551591229684725</v>
      </c>
      <c r="T90" s="450">
        <v>16.486564967664634</v>
      </c>
      <c r="U90" s="450">
        <v>16.489593253290526</v>
      </c>
      <c r="V90" s="450">
        <v>15.811404026075044</v>
      </c>
      <c r="W90" s="450">
        <v>15.505824886658038</v>
      </c>
      <c r="X90" s="450">
        <v>16.197753310024499</v>
      </c>
    </row>
    <row r="91" spans="1:24" s="161" customFormat="1" ht="10.35" customHeight="1">
      <c r="A91" s="453"/>
      <c r="B91" s="417" t="s">
        <v>129</v>
      </c>
      <c r="C91" s="450">
        <v>276.79939302142139</v>
      </c>
      <c r="D91" s="450">
        <v>284.97836057098652</v>
      </c>
      <c r="E91" s="450">
        <v>301.1300591448325</v>
      </c>
      <c r="F91" s="450">
        <v>292.62775623928559</v>
      </c>
      <c r="G91" s="450">
        <v>319.08046486027121</v>
      </c>
      <c r="H91" s="450">
        <v>310.24856266219723</v>
      </c>
      <c r="I91" s="450">
        <v>361.286613846705</v>
      </c>
      <c r="J91" s="450">
        <v>404.71310661998217</v>
      </c>
      <c r="K91" s="450">
        <v>406.05561000603126</v>
      </c>
      <c r="L91" s="450">
        <v>408.90658279813556</v>
      </c>
      <c r="M91" s="450">
        <v>432.7846260676979</v>
      </c>
      <c r="N91" s="450">
        <v>483.99712463834868</v>
      </c>
      <c r="O91" s="450">
        <v>477.83403133603491</v>
      </c>
      <c r="P91" s="450">
        <v>536.88294158235533</v>
      </c>
      <c r="Q91" s="450">
        <v>545.26447333128806</v>
      </c>
      <c r="R91" s="450">
        <v>594.54327189403057</v>
      </c>
      <c r="S91" s="450">
        <v>611.45367234130379</v>
      </c>
      <c r="T91" s="450">
        <v>640.82735830871934</v>
      </c>
      <c r="U91" s="450">
        <v>669.57865303411734</v>
      </c>
      <c r="V91" s="450">
        <v>747.71412196393248</v>
      </c>
      <c r="W91" s="450">
        <v>761.8823250787982</v>
      </c>
      <c r="X91" s="450">
        <v>771.56467359075555</v>
      </c>
    </row>
    <row r="92" spans="1:24" s="161" customFormat="1" ht="10.35" customHeight="1">
      <c r="A92" s="453"/>
      <c r="B92" s="417" t="s">
        <v>130</v>
      </c>
      <c r="C92" s="450">
        <v>377.1403833202649</v>
      </c>
      <c r="D92" s="450">
        <v>424.04676794445896</v>
      </c>
      <c r="E92" s="450">
        <v>438.43780922886094</v>
      </c>
      <c r="F92" s="450">
        <v>471.14511837780151</v>
      </c>
      <c r="G92" s="450">
        <v>493.24557444583655</v>
      </c>
      <c r="H92" s="450">
        <v>529.99325098423299</v>
      </c>
      <c r="I92" s="450">
        <v>579.23937349174514</v>
      </c>
      <c r="J92" s="450">
        <v>622.94251794799061</v>
      </c>
      <c r="K92" s="450">
        <v>671.0959258304058</v>
      </c>
      <c r="L92" s="450">
        <v>713.92243748803787</v>
      </c>
      <c r="M92" s="450">
        <v>730.50191896786464</v>
      </c>
      <c r="N92" s="450">
        <v>764.3990876278616</v>
      </c>
      <c r="O92" s="450">
        <v>781.72301003090104</v>
      </c>
      <c r="P92" s="450">
        <v>784.77526780069502</v>
      </c>
      <c r="Q92" s="450">
        <v>804.46134896987553</v>
      </c>
      <c r="R92" s="450">
        <v>817.68829370569313</v>
      </c>
      <c r="S92" s="450">
        <v>836.96414070165383</v>
      </c>
      <c r="T92" s="450">
        <v>861.9355977578964</v>
      </c>
      <c r="U92" s="450">
        <v>888.87378197339456</v>
      </c>
      <c r="V92" s="450">
        <v>914.19323986049778</v>
      </c>
      <c r="W92" s="450">
        <v>917.7296426612196</v>
      </c>
      <c r="X92" s="450">
        <v>935.74722016557826</v>
      </c>
    </row>
    <row r="93" spans="1:24" s="161" customFormat="1" ht="10.35" customHeight="1">
      <c r="A93" s="453"/>
      <c r="B93" s="417" t="s">
        <v>131</v>
      </c>
      <c r="C93" s="450">
        <v>27.504281816799999</v>
      </c>
      <c r="D93" s="450">
        <v>31.690393611899999</v>
      </c>
      <c r="E93" s="450">
        <v>28.409071222838989</v>
      </c>
      <c r="F93" s="450">
        <v>28.431474612436752</v>
      </c>
      <c r="G93" s="450">
        <v>27.179005253716181</v>
      </c>
      <c r="H93" s="450">
        <v>27.379950278018665</v>
      </c>
      <c r="I93" s="450">
        <v>26.629924212703685</v>
      </c>
      <c r="J93" s="450">
        <v>30.095217323900904</v>
      </c>
      <c r="K93" s="450">
        <v>33.668281898398305</v>
      </c>
      <c r="L93" s="450">
        <v>37.923726062908216</v>
      </c>
      <c r="M93" s="450">
        <v>36.269997946537849</v>
      </c>
      <c r="N93" s="450">
        <v>38.810440483323731</v>
      </c>
      <c r="O93" s="450">
        <v>38.32573055126425</v>
      </c>
      <c r="P93" s="450">
        <v>31.512622661269912</v>
      </c>
      <c r="Q93" s="450">
        <v>30.267758548586993</v>
      </c>
      <c r="R93" s="450">
        <v>29.370151728017191</v>
      </c>
      <c r="S93" s="450">
        <v>29.822400069193744</v>
      </c>
      <c r="T93" s="450">
        <v>32.563803194255627</v>
      </c>
      <c r="U93" s="450">
        <v>33.758041222716045</v>
      </c>
      <c r="V93" s="450">
        <v>33.069251132693232</v>
      </c>
      <c r="W93" s="450">
        <v>31.618609469732931</v>
      </c>
      <c r="X93" s="450">
        <v>31.480154023613967</v>
      </c>
    </row>
    <row r="94" spans="1:24" s="161" customFormat="1" ht="10.35" customHeight="1">
      <c r="A94" s="453"/>
      <c r="B94" s="417" t="s">
        <v>132</v>
      </c>
      <c r="C94" s="450">
        <v>2.1169540262999997</v>
      </c>
      <c r="D94" s="450">
        <v>2.3272458490000001</v>
      </c>
      <c r="E94" s="450">
        <v>2.0690055293900005</v>
      </c>
      <c r="F94" s="450">
        <v>1.9809564474214001</v>
      </c>
      <c r="G94" s="450">
        <v>1.8242894746809699</v>
      </c>
      <c r="H94" s="450">
        <v>1.6375354054652498</v>
      </c>
      <c r="I94" s="450">
        <v>1.5282463406828402</v>
      </c>
      <c r="J94" s="450">
        <v>1.9602685761949414</v>
      </c>
      <c r="K94" s="450">
        <v>2.0718215866726246</v>
      </c>
      <c r="L94" s="450">
        <v>2.1308528738319361</v>
      </c>
      <c r="M94" s="450">
        <v>1.9398208041874296</v>
      </c>
      <c r="N94" s="450">
        <v>1.9698311948209601</v>
      </c>
      <c r="O94" s="450">
        <v>2.0311576092140062</v>
      </c>
      <c r="P94" s="450">
        <v>1.9268393976215026</v>
      </c>
      <c r="Q94" s="450">
        <v>1.9916871408322598</v>
      </c>
      <c r="R94" s="450">
        <v>1.5481587888653068</v>
      </c>
      <c r="S94" s="450">
        <v>1.6276124422809788</v>
      </c>
      <c r="T94" s="450">
        <v>1.7839133765661996</v>
      </c>
      <c r="U94" s="450">
        <v>1.650425210657571</v>
      </c>
      <c r="V94" s="450">
        <v>1.6063654102744285</v>
      </c>
      <c r="W94" s="450">
        <v>1.657270038384546</v>
      </c>
      <c r="X94" s="450">
        <v>1.6919774554427438</v>
      </c>
    </row>
    <row r="95" spans="1:24" s="161" customFormat="1" ht="10.35" customHeight="1">
      <c r="A95" s="455"/>
      <c r="B95" s="421" t="s">
        <v>200</v>
      </c>
      <c r="C95" s="451">
        <v>43.273395472000011</v>
      </c>
      <c r="D95" s="451">
        <v>45.169509584000004</v>
      </c>
      <c r="E95" s="451">
        <v>41.754005195200001</v>
      </c>
      <c r="F95" s="451">
        <v>41.814830702433667</v>
      </c>
      <c r="G95" s="451">
        <v>41.080066174079995</v>
      </c>
      <c r="H95" s="451">
        <v>39.671333236213222</v>
      </c>
      <c r="I95" s="451">
        <v>37.5122057219072</v>
      </c>
      <c r="J95" s="451">
        <v>38.581792904080793</v>
      </c>
      <c r="K95" s="451">
        <v>35.833925905395006</v>
      </c>
      <c r="L95" s="451">
        <v>36.500247263632936</v>
      </c>
      <c r="M95" s="451">
        <v>36.48135821822904</v>
      </c>
      <c r="N95" s="451">
        <v>36.145283387622641</v>
      </c>
      <c r="O95" s="451">
        <v>38.279296940083043</v>
      </c>
      <c r="P95" s="451">
        <v>35.849988531648783</v>
      </c>
      <c r="Q95" s="451">
        <v>33.335187280529617</v>
      </c>
      <c r="R95" s="451">
        <v>29.515339614329037</v>
      </c>
      <c r="S95" s="451">
        <v>31.602278872418921</v>
      </c>
      <c r="T95" s="451">
        <v>27.844924346033338</v>
      </c>
      <c r="U95" s="451">
        <v>27.910592743690202</v>
      </c>
      <c r="V95" s="451">
        <v>27.038014606834437</v>
      </c>
      <c r="W95" s="451">
        <v>25.984613351166946</v>
      </c>
      <c r="X95" s="451">
        <v>27.889096636999923</v>
      </c>
    </row>
    <row r="96" spans="1:24" s="161" customFormat="1" ht="9" customHeight="1">
      <c r="A96" s="113" t="s">
        <v>97</v>
      </c>
      <c r="B96" s="164"/>
      <c r="C96" s="118"/>
      <c r="D96" s="11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161" customFormat="1" ht="9" customHeight="1">
      <c r="A97" s="164" t="s">
        <v>350</v>
      </c>
      <c r="B97" s="164"/>
      <c r="C97" s="118"/>
      <c r="D97" s="118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60"/>
      <c r="Q97" s="10"/>
      <c r="R97" s="10"/>
      <c r="S97" s="10"/>
      <c r="T97" s="10"/>
      <c r="U97" s="10"/>
      <c r="V97" s="10"/>
      <c r="W97" s="10"/>
      <c r="X97" s="10"/>
    </row>
    <row r="98" spans="1:24" s="161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zoomScaleNormal="100" workbookViewId="0">
      <selection activeCell="AJ73" sqref="AJ73"/>
    </sheetView>
  </sheetViews>
  <sheetFormatPr baseColWidth="10" defaultColWidth="6.42578125" defaultRowHeight="17.25" customHeight="1"/>
  <cols>
    <col min="1" max="2" width="1" style="161" customWidth="1"/>
    <col min="3" max="3" width="10.42578125" style="161" customWidth="1"/>
    <col min="4" max="25" width="4.85546875" style="161" customWidth="1"/>
    <col min="26" max="43" width="6.42578125" style="161"/>
    <col min="44" max="44" width="1.42578125" style="161" customWidth="1"/>
    <col min="45" max="45" width="1.28515625" style="161" customWidth="1"/>
    <col min="46" max="46" width="14" style="161" customWidth="1"/>
    <col min="47" max="56" width="0" style="161" hidden="1" customWidth="1"/>
    <col min="57" max="57" width="8.28515625" style="161" customWidth="1"/>
    <col min="58" max="58" width="8" style="161" customWidth="1"/>
    <col min="59" max="65" width="8.28515625" style="161" customWidth="1"/>
    <col min="66" max="66" width="8.7109375" style="161" customWidth="1"/>
    <col min="67" max="75" width="8.42578125" style="161" customWidth="1"/>
    <col min="76" max="76" width="5.140625" style="161" customWidth="1"/>
    <col min="77" max="77" width="6.42578125" style="161"/>
    <col min="78" max="78" width="14" style="161" customWidth="1"/>
    <col min="79" max="88" width="0" style="161" hidden="1" customWidth="1"/>
    <col min="89" max="89" width="7.140625" style="161" bestFit="1" customWidth="1"/>
    <col min="90" max="90" width="7.140625" style="161" customWidth="1"/>
    <col min="91" max="91" width="6.7109375" style="161" bestFit="1" customWidth="1"/>
    <col min="92" max="93" width="6.42578125" style="161"/>
    <col min="94" max="94" width="6.140625" style="161" customWidth="1"/>
    <col min="95" max="16384" width="6.42578125" style="161"/>
  </cols>
  <sheetData>
    <row r="1" spans="1:25" ht="17.100000000000001" customHeight="1">
      <c r="A1" s="274" t="s">
        <v>448</v>
      </c>
      <c r="B1" s="207"/>
      <c r="C1" s="207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spans="1:25" ht="13.5">
      <c r="A2" s="207" t="s">
        <v>78</v>
      </c>
      <c r="B2" s="207"/>
      <c r="C2" s="207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494" t="s">
        <v>234</v>
      </c>
      <c r="B4" s="495"/>
      <c r="C4" s="496"/>
      <c r="D4" s="411" t="s">
        <v>203</v>
      </c>
      <c r="E4" s="411" t="s">
        <v>204</v>
      </c>
      <c r="F4" s="411" t="s">
        <v>299</v>
      </c>
      <c r="G4" s="411" t="s">
        <v>269</v>
      </c>
      <c r="H4" s="411" t="s">
        <v>270</v>
      </c>
      <c r="I4" s="411" t="s">
        <v>271</v>
      </c>
      <c r="J4" s="411" t="s">
        <v>272</v>
      </c>
      <c r="K4" s="411" t="s">
        <v>273</v>
      </c>
      <c r="L4" s="411" t="s">
        <v>274</v>
      </c>
      <c r="M4" s="411" t="s">
        <v>230</v>
      </c>
      <c r="N4" s="411" t="s">
        <v>231</v>
      </c>
      <c r="O4" s="411" t="s">
        <v>232</v>
      </c>
      <c r="P4" s="411" t="s">
        <v>92</v>
      </c>
      <c r="Q4" s="411" t="s">
        <v>93</v>
      </c>
      <c r="R4" s="411" t="s">
        <v>94</v>
      </c>
      <c r="S4" s="411" t="s">
        <v>95</v>
      </c>
      <c r="T4" s="411" t="s">
        <v>96</v>
      </c>
      <c r="U4" s="293" t="s">
        <v>150</v>
      </c>
      <c r="V4" s="293" t="s">
        <v>151</v>
      </c>
      <c r="W4" s="293" t="s">
        <v>148</v>
      </c>
      <c r="X4" s="293" t="s">
        <v>342</v>
      </c>
      <c r="Y4" s="293" t="s">
        <v>352</v>
      </c>
    </row>
    <row r="5" spans="1:25" ht="9.9499999999999993" customHeight="1">
      <c r="A5" s="440" t="s">
        <v>58</v>
      </c>
      <c r="B5" s="454"/>
      <c r="C5" s="459"/>
      <c r="D5" s="460"/>
      <c r="E5" s="460"/>
      <c r="F5" s="460"/>
      <c r="G5" s="460"/>
      <c r="H5" s="460"/>
      <c r="I5" s="46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</row>
    <row r="6" spans="1:25" ht="9.9499999999999993" customHeight="1">
      <c r="A6" s="461"/>
      <c r="B6" s="454" t="s">
        <v>79</v>
      </c>
      <c r="C6" s="462"/>
      <c r="D6" s="460"/>
      <c r="E6" s="460"/>
      <c r="F6" s="460"/>
      <c r="G6" s="460"/>
      <c r="H6" s="460"/>
      <c r="I6" s="460"/>
      <c r="J6" s="460"/>
      <c r="K6" s="460"/>
      <c r="L6" s="460"/>
      <c r="M6" s="460"/>
      <c r="N6" s="460"/>
      <c r="O6" s="460"/>
      <c r="P6" s="460"/>
      <c r="Q6" s="460"/>
      <c r="R6" s="460"/>
      <c r="S6" s="460"/>
      <c r="T6" s="460"/>
      <c r="U6" s="460"/>
      <c r="V6" s="460"/>
      <c r="W6" s="460"/>
      <c r="X6" s="460"/>
      <c r="Y6" s="460"/>
    </row>
    <row r="7" spans="1:25" ht="9.9499999999999993" customHeight="1">
      <c r="A7" s="457"/>
      <c r="B7" s="417"/>
      <c r="C7" s="417" t="s">
        <v>280</v>
      </c>
      <c r="D7" s="463">
        <v>1293.987875</v>
      </c>
      <c r="E7" s="463">
        <v>1474.5167160000003</v>
      </c>
      <c r="F7" s="463">
        <v>1537.0927149999998</v>
      </c>
      <c r="G7" s="463">
        <v>1499.274469</v>
      </c>
      <c r="H7" s="463">
        <v>1200.2539489999999</v>
      </c>
      <c r="I7" s="463">
        <v>1462.1949380000001</v>
      </c>
      <c r="J7" s="463">
        <v>1439.1004950000001</v>
      </c>
      <c r="K7" s="463">
        <v>1676.2520709999997</v>
      </c>
      <c r="L7" s="463">
        <v>1796.5422729999998</v>
      </c>
      <c r="M7" s="463">
        <v>2039.0008540000001</v>
      </c>
      <c r="N7" s="463">
        <v>1935.6899900000001</v>
      </c>
      <c r="O7" s="463">
        <v>1499.6381009999998</v>
      </c>
      <c r="P7" s="463">
        <v>1963.1848369999998</v>
      </c>
      <c r="Q7" s="463">
        <v>2093.3720150000004</v>
      </c>
      <c r="R7" s="463">
        <v>1813.014582</v>
      </c>
      <c r="S7" s="463">
        <v>1989.0333990000004</v>
      </c>
      <c r="T7" s="463">
        <v>2068.9003590000002</v>
      </c>
      <c r="U7" s="463">
        <v>1700.9488729999998</v>
      </c>
      <c r="V7" s="463">
        <v>2154.579495</v>
      </c>
      <c r="W7" s="463">
        <v>1995.4042559999996</v>
      </c>
      <c r="X7" s="463">
        <v>2327.7421880000002</v>
      </c>
      <c r="Y7" s="463">
        <v>2161.7774020000002</v>
      </c>
    </row>
    <row r="8" spans="1:25" ht="9.9499999999999993" customHeight="1">
      <c r="A8" s="458"/>
      <c r="B8" s="458"/>
      <c r="C8" s="417" t="s">
        <v>281</v>
      </c>
      <c r="D8" s="463">
        <v>2544.2727639999998</v>
      </c>
      <c r="E8" s="463">
        <v>1913.2131249999998</v>
      </c>
      <c r="F8" s="463">
        <v>2441.7808389999996</v>
      </c>
      <c r="G8" s="463">
        <v>2426.489149</v>
      </c>
      <c r="H8" s="463">
        <v>2179.371897</v>
      </c>
      <c r="I8" s="463">
        <v>2484.5958140000002</v>
      </c>
      <c r="J8" s="463">
        <v>2331.2824350000001</v>
      </c>
      <c r="K8" s="463">
        <v>2380.9907970000004</v>
      </c>
      <c r="L8" s="463">
        <v>2544.760374</v>
      </c>
      <c r="M8" s="463">
        <v>2638.5307319999997</v>
      </c>
      <c r="N8" s="463">
        <v>2650.7981019999997</v>
      </c>
      <c r="O8" s="463">
        <v>2846.0460389999998</v>
      </c>
      <c r="P8" s="463">
        <v>3185.089477</v>
      </c>
      <c r="Q8" s="463">
        <v>3271.6954190000001</v>
      </c>
      <c r="R8" s="463">
        <v>3347.0317340000001</v>
      </c>
      <c r="S8" s="463">
        <v>3442.6808719999995</v>
      </c>
      <c r="T8" s="463">
        <v>3270.7019159999995</v>
      </c>
      <c r="U8" s="463">
        <v>3394.9060080000004</v>
      </c>
      <c r="V8" s="463">
        <v>3746.8641489999995</v>
      </c>
      <c r="W8" s="463">
        <v>3897.7170630000001</v>
      </c>
      <c r="X8" s="463">
        <v>4112.65852</v>
      </c>
      <c r="Y8" s="463">
        <v>4203.4185639999996</v>
      </c>
    </row>
    <row r="9" spans="1:25" ht="9.9499999999999993" customHeight="1">
      <c r="A9" s="453"/>
      <c r="B9" s="453"/>
      <c r="C9" s="417" t="s">
        <v>81</v>
      </c>
      <c r="D9" s="463">
        <v>138.26515460000002</v>
      </c>
      <c r="E9" s="463">
        <v>146.7369458</v>
      </c>
      <c r="F9" s="463">
        <v>148.10931500000001</v>
      </c>
      <c r="G9" s="463">
        <v>140.712256</v>
      </c>
      <c r="H9" s="463">
        <v>175.41009119999998</v>
      </c>
      <c r="I9" s="463">
        <v>146.95817799999998</v>
      </c>
      <c r="J9" s="463">
        <v>200.55770399999997</v>
      </c>
      <c r="K9" s="463">
        <v>164.262461</v>
      </c>
      <c r="L9" s="463">
        <v>212.22097399999998</v>
      </c>
      <c r="M9" s="463">
        <v>194.54395600000001</v>
      </c>
      <c r="N9" s="463">
        <v>206.789243</v>
      </c>
      <c r="O9" s="463">
        <v>248.27003599999998</v>
      </c>
      <c r="P9" s="463">
        <v>238.947677</v>
      </c>
      <c r="Q9" s="463">
        <v>196.556399</v>
      </c>
      <c r="R9" s="463">
        <v>169.510256</v>
      </c>
      <c r="S9" s="463">
        <v>198.24953100000002</v>
      </c>
      <c r="T9" s="463">
        <v>208.26979999999998</v>
      </c>
      <c r="U9" s="463">
        <v>245.903897</v>
      </c>
      <c r="V9" s="463">
        <v>271.08693399999993</v>
      </c>
      <c r="W9" s="463">
        <v>257.04993000000002</v>
      </c>
      <c r="X9" s="463">
        <v>273.67139900000001</v>
      </c>
      <c r="Y9" s="463">
        <v>260.73389900000001</v>
      </c>
    </row>
    <row r="10" spans="1:25" ht="9.9499999999999993" customHeight="1">
      <c r="A10" s="453"/>
      <c r="B10" s="453"/>
      <c r="C10" s="417" t="s">
        <v>282</v>
      </c>
      <c r="D10" s="463">
        <v>65.273290000000003</v>
      </c>
      <c r="E10" s="463">
        <v>81.451210000000003</v>
      </c>
      <c r="F10" s="463">
        <v>80.094630000000009</v>
      </c>
      <c r="G10" s="463">
        <v>85.806959999999989</v>
      </c>
      <c r="H10" s="463">
        <v>88.749480000000005</v>
      </c>
      <c r="I10" s="463">
        <v>88.832700000000003</v>
      </c>
      <c r="J10" s="463">
        <v>106.74436900000001</v>
      </c>
      <c r="K10" s="463">
        <v>116.73215</v>
      </c>
      <c r="L10" s="463">
        <v>142.79258000000002</v>
      </c>
      <c r="M10" s="463">
        <v>126.68005000000002</v>
      </c>
      <c r="N10" s="463">
        <v>136.57308799999998</v>
      </c>
      <c r="O10" s="463">
        <v>173.64912700000002</v>
      </c>
      <c r="P10" s="463">
        <v>159.27821899999998</v>
      </c>
      <c r="Q10" s="463">
        <v>159.51042900000002</v>
      </c>
      <c r="R10" s="463">
        <v>169.76413900000003</v>
      </c>
      <c r="S10" s="463">
        <v>173.51426899999998</v>
      </c>
      <c r="T10" s="463">
        <v>179.91716999999997</v>
      </c>
      <c r="U10" s="463">
        <v>182.91792999999998</v>
      </c>
      <c r="V10" s="463">
        <v>171.63955999999999</v>
      </c>
      <c r="W10" s="463">
        <v>177.23722000000004</v>
      </c>
      <c r="X10" s="463">
        <v>187.18843899999999</v>
      </c>
      <c r="Y10" s="463">
        <v>161.94997000000001</v>
      </c>
    </row>
    <row r="11" spans="1:25" ht="9.9499999999999993" customHeight="1">
      <c r="A11" s="453"/>
      <c r="B11" s="453"/>
      <c r="C11" s="417" t="s">
        <v>229</v>
      </c>
      <c r="D11" s="463">
        <v>435.53691200000003</v>
      </c>
      <c r="E11" s="463">
        <v>494.89559499999996</v>
      </c>
      <c r="F11" s="463">
        <v>459.88834600000001</v>
      </c>
      <c r="G11" s="463">
        <v>566.03389300000003</v>
      </c>
      <c r="H11" s="463">
        <v>525.22762699999998</v>
      </c>
      <c r="I11" s="463">
        <v>507.21818999999994</v>
      </c>
      <c r="J11" s="463">
        <v>465.20677999999998</v>
      </c>
      <c r="K11" s="463">
        <v>498.39547700000008</v>
      </c>
      <c r="L11" s="463">
        <v>571.34802899999988</v>
      </c>
      <c r="M11" s="463">
        <v>651.73809400000005</v>
      </c>
      <c r="N11" s="463">
        <v>615.14728600000001</v>
      </c>
      <c r="O11" s="463">
        <v>583.00939700000004</v>
      </c>
      <c r="P11" s="463">
        <v>664.31780100000003</v>
      </c>
      <c r="Q11" s="463">
        <v>625.09701699999994</v>
      </c>
      <c r="R11" s="463">
        <v>616.77136900000005</v>
      </c>
      <c r="S11" s="463">
        <v>671.58395699999994</v>
      </c>
      <c r="T11" s="463">
        <v>598.33447200000001</v>
      </c>
      <c r="U11" s="463">
        <v>574.22166099999993</v>
      </c>
      <c r="V11" s="463">
        <v>604.21202500000004</v>
      </c>
      <c r="W11" s="463">
        <v>577.19435499999997</v>
      </c>
      <c r="X11" s="463">
        <v>578.65431799999999</v>
      </c>
      <c r="Y11" s="463">
        <v>611.801377</v>
      </c>
    </row>
    <row r="12" spans="1:25" ht="9.9499999999999993" customHeight="1">
      <c r="A12" s="453"/>
      <c r="B12" s="453"/>
      <c r="C12" s="417" t="s">
        <v>283</v>
      </c>
      <c r="D12" s="463">
        <v>2858.7427710000002</v>
      </c>
      <c r="E12" s="463">
        <v>2879.0296530000001</v>
      </c>
      <c r="F12" s="463">
        <v>2850.6546046666672</v>
      </c>
      <c r="G12" s="463">
        <v>2988.8808549999994</v>
      </c>
      <c r="H12" s="463">
        <v>2973.78042</v>
      </c>
      <c r="I12" s="463">
        <v>3060.7186630000006</v>
      </c>
      <c r="J12" s="463">
        <v>2937.9958359999996</v>
      </c>
      <c r="K12" s="463">
        <v>3080.1139900000003</v>
      </c>
      <c r="L12" s="463">
        <v>3104.4710659999996</v>
      </c>
      <c r="M12" s="463">
        <v>3278.3998360000001</v>
      </c>
      <c r="N12" s="463">
        <v>3410.7774059999997</v>
      </c>
      <c r="O12" s="463">
        <v>3546.9447030000001</v>
      </c>
      <c r="P12" s="463">
        <v>3678.2731239999998</v>
      </c>
      <c r="Q12" s="463">
        <v>3936.9092940000005</v>
      </c>
      <c r="R12" s="463">
        <v>3817.1081079999994</v>
      </c>
      <c r="S12" s="463">
        <v>3962.6724060000006</v>
      </c>
      <c r="T12" s="463">
        <v>3890.0887810000004</v>
      </c>
      <c r="U12" s="463">
        <v>3947.2918690000006</v>
      </c>
      <c r="V12" s="463">
        <v>4000.6941830000001</v>
      </c>
      <c r="W12" s="463">
        <v>4196.618164999999</v>
      </c>
      <c r="X12" s="463">
        <v>4398.6137519999993</v>
      </c>
      <c r="Y12" s="463">
        <v>4396.4688210000004</v>
      </c>
    </row>
    <row r="13" spans="1:25" ht="9.9499999999999993" customHeight="1">
      <c r="A13" s="453"/>
      <c r="B13" s="453"/>
      <c r="C13" s="417" t="s">
        <v>284</v>
      </c>
      <c r="D13" s="463">
        <v>746.85806400000001</v>
      </c>
      <c r="E13" s="463">
        <v>790.97486100000003</v>
      </c>
      <c r="F13" s="463">
        <v>779.826099</v>
      </c>
      <c r="G13" s="463">
        <v>816.45571899999993</v>
      </c>
      <c r="H13" s="463">
        <v>840.17149899999993</v>
      </c>
      <c r="I13" s="463">
        <v>854.91784599999994</v>
      </c>
      <c r="J13" s="463">
        <v>893.38401599999997</v>
      </c>
      <c r="K13" s="463">
        <v>940.44020799999998</v>
      </c>
      <c r="L13" s="463">
        <v>901.46390500000007</v>
      </c>
      <c r="M13" s="463">
        <v>935.848522</v>
      </c>
      <c r="N13" s="463">
        <v>992.88129500000014</v>
      </c>
      <c r="O13" s="463">
        <v>987.26650700000016</v>
      </c>
      <c r="P13" s="463">
        <v>1041.449521</v>
      </c>
      <c r="Q13" s="463">
        <v>1056.1852189999997</v>
      </c>
      <c r="R13" s="463">
        <v>1068.6016589999999</v>
      </c>
      <c r="S13" s="463">
        <v>1037.7311790000001</v>
      </c>
      <c r="T13" s="463">
        <v>1029.543686</v>
      </c>
      <c r="U13" s="463">
        <v>981.10421099999996</v>
      </c>
      <c r="V13" s="463">
        <v>1087.5057630000001</v>
      </c>
      <c r="W13" s="463">
        <v>1140.0151949999997</v>
      </c>
      <c r="X13" s="463">
        <v>1153.7596120000001</v>
      </c>
      <c r="Y13" s="463">
        <v>1143.5968680000001</v>
      </c>
    </row>
    <row r="14" spans="1:25" ht="9.9499999999999993" customHeight="1">
      <c r="A14" s="453"/>
      <c r="B14" s="453"/>
      <c r="C14" s="417" t="s">
        <v>285</v>
      </c>
      <c r="D14" s="463">
        <v>102.32258499999999</v>
      </c>
      <c r="E14" s="463">
        <v>106.25201300000001</v>
      </c>
      <c r="F14" s="463">
        <v>119.418789</v>
      </c>
      <c r="G14" s="463">
        <v>110.32977999999999</v>
      </c>
      <c r="H14" s="463">
        <v>144.55884800000001</v>
      </c>
      <c r="I14" s="463">
        <v>173.62030900000002</v>
      </c>
      <c r="J14" s="463">
        <v>156.081627</v>
      </c>
      <c r="K14" s="463">
        <v>175.11393699999996</v>
      </c>
      <c r="L14" s="463">
        <v>139.61534499999999</v>
      </c>
      <c r="M14" s="463">
        <v>79.266540000000006</v>
      </c>
      <c r="N14" s="463">
        <v>52.066876999999991</v>
      </c>
      <c r="O14" s="463">
        <v>87.837641999999988</v>
      </c>
      <c r="P14" s="463">
        <v>94.316082999999992</v>
      </c>
      <c r="Q14" s="463">
        <v>69.128212999999988</v>
      </c>
      <c r="R14" s="463">
        <v>74.573217999999997</v>
      </c>
      <c r="S14" s="463">
        <v>61.828131999999997</v>
      </c>
      <c r="T14" s="463">
        <v>42.910759000000006</v>
      </c>
      <c r="U14" s="463">
        <v>20.269947999999999</v>
      </c>
      <c r="V14" s="463">
        <v>32.425975000000001</v>
      </c>
      <c r="W14" s="463">
        <v>44.386897000000005</v>
      </c>
      <c r="X14" s="463">
        <v>16.038918999999996</v>
      </c>
      <c r="Y14" s="463">
        <v>9.9208969999999983</v>
      </c>
    </row>
    <row r="15" spans="1:25" ht="9.9499999999999993" customHeight="1">
      <c r="A15" s="453"/>
      <c r="B15" s="453"/>
      <c r="C15" s="417" t="s">
        <v>286</v>
      </c>
      <c r="D15" s="463">
        <v>3184.0114580000004</v>
      </c>
      <c r="E15" s="463">
        <v>3060.9821419999998</v>
      </c>
      <c r="F15" s="463">
        <v>3731.4147710000002</v>
      </c>
      <c r="G15" s="463">
        <v>4204.3698075499997</v>
      </c>
      <c r="H15" s="463">
        <v>3426.815038144</v>
      </c>
      <c r="I15" s="463">
        <v>2648.6458029999999</v>
      </c>
      <c r="J15" s="463">
        <v>2988.6875729999997</v>
      </c>
      <c r="K15" s="463">
        <v>3436.5944792955174</v>
      </c>
      <c r="L15" s="463">
        <v>4062.6671159999996</v>
      </c>
      <c r="M15" s="463">
        <v>4537.5549678420002</v>
      </c>
      <c r="N15" s="463">
        <v>4455.8968569999997</v>
      </c>
      <c r="O15" s="463">
        <v>4449.2660439100009</v>
      </c>
      <c r="P15" s="463">
        <v>4414.6633486999999</v>
      </c>
      <c r="Q15" s="463">
        <v>5169.6307433999991</v>
      </c>
      <c r="R15" s="463">
        <v>5446.9029070999995</v>
      </c>
      <c r="S15" s="463">
        <v>4559.5062534999997</v>
      </c>
      <c r="T15" s="463">
        <v>4126.8332985000006</v>
      </c>
      <c r="U15" s="463">
        <v>3633.6303250000001</v>
      </c>
      <c r="V15" s="463">
        <v>4121.5963426999997</v>
      </c>
      <c r="W15" s="463">
        <v>4777.7725659999996</v>
      </c>
      <c r="X15" s="463">
        <v>4791.3967530000009</v>
      </c>
      <c r="Y15" s="463">
        <v>4295.7668232284886</v>
      </c>
    </row>
    <row r="16" spans="1:25" ht="9.9499999999999993" customHeight="1">
      <c r="A16" s="453"/>
      <c r="B16" s="453"/>
      <c r="C16" s="417" t="s">
        <v>287</v>
      </c>
      <c r="D16" s="463">
        <v>434.03320399999996</v>
      </c>
      <c r="E16" s="463">
        <v>452.76204199999995</v>
      </c>
      <c r="F16" s="463">
        <v>432.70229700000004</v>
      </c>
      <c r="G16" s="463">
        <v>442.00287799999995</v>
      </c>
      <c r="H16" s="463">
        <v>461.98611699999998</v>
      </c>
      <c r="I16" s="463">
        <v>484.11190899999997</v>
      </c>
      <c r="J16" s="463">
        <v>508.31892400000004</v>
      </c>
      <c r="K16" s="463">
        <v>521.70673499999998</v>
      </c>
      <c r="L16" s="463">
        <v>504.41577799999999</v>
      </c>
      <c r="M16" s="463">
        <v>538.64808100000005</v>
      </c>
      <c r="N16" s="463">
        <v>565.46364399999982</v>
      </c>
      <c r="O16" s="463">
        <v>534.60835299999985</v>
      </c>
      <c r="P16" s="463">
        <v>551.16985900000009</v>
      </c>
      <c r="Q16" s="463">
        <v>560.73897299999999</v>
      </c>
      <c r="R16" s="463">
        <v>554.37831899999992</v>
      </c>
      <c r="S16" s="463">
        <v>602.31412099999989</v>
      </c>
      <c r="T16" s="463">
        <v>592.63747000000001</v>
      </c>
      <c r="U16" s="463">
        <v>567.07743400000004</v>
      </c>
      <c r="V16" s="463">
        <v>603.55017899999996</v>
      </c>
      <c r="W16" s="463">
        <v>622.79911000000016</v>
      </c>
      <c r="X16" s="463">
        <v>646.28890200000001</v>
      </c>
      <c r="Y16" s="463">
        <v>628.65466700000002</v>
      </c>
    </row>
    <row r="17" spans="1:25" ht="9.9499999999999993" customHeight="1">
      <c r="A17" s="453"/>
      <c r="B17" s="453"/>
      <c r="C17" s="417" t="s">
        <v>288</v>
      </c>
      <c r="D17" s="463">
        <v>190.258466</v>
      </c>
      <c r="E17" s="463">
        <v>197.97122000000002</v>
      </c>
      <c r="F17" s="463">
        <v>208.10060700000002</v>
      </c>
      <c r="G17" s="463">
        <v>225.74441000000004</v>
      </c>
      <c r="H17" s="463">
        <v>215.95383000000001</v>
      </c>
      <c r="I17" s="463">
        <v>228.27826600000003</v>
      </c>
      <c r="J17" s="463">
        <v>242.87540799999999</v>
      </c>
      <c r="K17" s="463">
        <v>266.30365</v>
      </c>
      <c r="L17" s="463">
        <v>241.69903599999995</v>
      </c>
      <c r="M17" s="463">
        <v>263.16323399999999</v>
      </c>
      <c r="N17" s="463">
        <v>286.19008499999995</v>
      </c>
      <c r="O17" s="463">
        <v>269.67435599999999</v>
      </c>
      <c r="P17" s="463">
        <v>299.53283699999992</v>
      </c>
      <c r="Q17" s="463">
        <v>282.674508</v>
      </c>
      <c r="R17" s="463">
        <v>252.70054799999997</v>
      </c>
      <c r="S17" s="463">
        <v>258.89666499999998</v>
      </c>
      <c r="T17" s="463">
        <v>274.455963</v>
      </c>
      <c r="U17" s="463">
        <v>262.19906700000001</v>
      </c>
      <c r="V17" s="463">
        <v>242.265683</v>
      </c>
      <c r="W17" s="463">
        <v>245.33731800000004</v>
      </c>
      <c r="X17" s="463">
        <v>249.06144599999996</v>
      </c>
      <c r="Y17" s="463">
        <v>300.80467900000008</v>
      </c>
    </row>
    <row r="18" spans="1:25" ht="9.9499999999999993" customHeight="1">
      <c r="A18" s="453"/>
      <c r="B18" s="453"/>
      <c r="C18" s="417" t="s">
        <v>197</v>
      </c>
      <c r="D18" s="463">
        <v>201.11304199999998</v>
      </c>
      <c r="E18" s="463">
        <v>170.531747</v>
      </c>
      <c r="F18" s="463">
        <v>188.77659199999999</v>
      </c>
      <c r="G18" s="463">
        <v>193.44893699999997</v>
      </c>
      <c r="H18" s="463">
        <v>172.21941699999999</v>
      </c>
      <c r="I18" s="463">
        <v>197.15728300000001</v>
      </c>
      <c r="J18" s="463">
        <v>195.481807</v>
      </c>
      <c r="K18" s="463">
        <v>185.66924499999999</v>
      </c>
      <c r="L18" s="463">
        <v>186.49838699999998</v>
      </c>
      <c r="M18" s="463">
        <v>208.94570100000004</v>
      </c>
      <c r="N18" s="463">
        <v>193.13425499999997</v>
      </c>
      <c r="O18" s="463">
        <v>184.89121999999998</v>
      </c>
      <c r="P18" s="463">
        <v>203.32272</v>
      </c>
      <c r="Q18" s="463">
        <v>225.88353599999999</v>
      </c>
      <c r="R18" s="463">
        <v>222.19171099999997</v>
      </c>
      <c r="S18" s="463">
        <v>216.97630699999999</v>
      </c>
      <c r="T18" s="463">
        <v>206.30354499999996</v>
      </c>
      <c r="U18" s="463">
        <v>187.34952600000005</v>
      </c>
      <c r="V18" s="463">
        <v>207.14647499999998</v>
      </c>
      <c r="W18" s="463">
        <v>209.35395000000005</v>
      </c>
      <c r="X18" s="463">
        <v>229.85172599999996</v>
      </c>
      <c r="Y18" s="463">
        <v>222.157006</v>
      </c>
    </row>
    <row r="19" spans="1:25" ht="9.9499999999999993" customHeight="1">
      <c r="A19" s="453"/>
      <c r="B19" s="453"/>
      <c r="C19" s="417" t="s">
        <v>290</v>
      </c>
      <c r="D19" s="463">
        <v>86.307756999999995</v>
      </c>
      <c r="E19" s="463">
        <v>102.93747366666668</v>
      </c>
      <c r="F19" s="463">
        <v>104.68997999999999</v>
      </c>
      <c r="G19" s="463">
        <v>111.08433000000001</v>
      </c>
      <c r="H19" s="463">
        <v>111.50501299999999</v>
      </c>
      <c r="I19" s="463">
        <v>119.86530999999999</v>
      </c>
      <c r="J19" s="463">
        <v>130.195761</v>
      </c>
      <c r="K19" s="463">
        <v>136.69301899999999</v>
      </c>
      <c r="L19" s="463">
        <v>146.67608900000002</v>
      </c>
      <c r="M19" s="463">
        <v>174.43271899999999</v>
      </c>
      <c r="N19" s="463">
        <v>170.98285699999997</v>
      </c>
      <c r="O19" s="463">
        <v>179.56819900000002</v>
      </c>
      <c r="P19" s="463">
        <v>199.10800300000002</v>
      </c>
      <c r="Q19" s="463">
        <v>207.68265400000004</v>
      </c>
      <c r="R19" s="463">
        <v>231.962176</v>
      </c>
      <c r="S19" s="463">
        <v>250.52385599999997</v>
      </c>
      <c r="T19" s="463">
        <v>265.91516799999999</v>
      </c>
      <c r="U19" s="463">
        <v>297.84739399999995</v>
      </c>
      <c r="V19" s="463">
        <v>313.305049</v>
      </c>
      <c r="W19" s="463">
        <v>322.81722900000005</v>
      </c>
      <c r="X19" s="463">
        <v>344.15501300000005</v>
      </c>
      <c r="Y19" s="463">
        <v>411.29384800000008</v>
      </c>
    </row>
    <row r="20" spans="1:25" ht="9.9499999999999993" customHeight="1">
      <c r="A20" s="453"/>
      <c r="B20" s="453"/>
      <c r="C20" s="417" t="s">
        <v>45</v>
      </c>
      <c r="D20" s="463">
        <v>0</v>
      </c>
      <c r="E20" s="463">
        <v>4.86625</v>
      </c>
      <c r="F20" s="463">
        <v>17.934549999999998</v>
      </c>
      <c r="G20" s="463">
        <v>13.600700000000002</v>
      </c>
      <c r="H20" s="463">
        <v>16.297650000000001</v>
      </c>
      <c r="I20" s="463">
        <v>33.804580000000001</v>
      </c>
      <c r="J20" s="463">
        <v>37.292574000000002</v>
      </c>
      <c r="K20" s="463">
        <v>26.372578000000001</v>
      </c>
      <c r="L20" s="463">
        <v>34.753978000000004</v>
      </c>
      <c r="M20" s="463">
        <v>33.561799000000001</v>
      </c>
      <c r="N20" s="463">
        <v>28.846699999999998</v>
      </c>
      <c r="O20" s="463">
        <v>31.855266</v>
      </c>
      <c r="P20" s="463">
        <v>34.391069999999999</v>
      </c>
      <c r="Q20" s="463">
        <v>25.180498</v>
      </c>
      <c r="R20" s="463">
        <v>18.835569</v>
      </c>
      <c r="S20" s="463">
        <v>20.627590999999999</v>
      </c>
      <c r="T20" s="463">
        <v>20.841536000000001</v>
      </c>
      <c r="U20" s="463">
        <v>15.624105</v>
      </c>
      <c r="V20" s="463">
        <v>16.951529999999998</v>
      </c>
      <c r="W20" s="463">
        <v>17.055220000000002</v>
      </c>
      <c r="X20" s="463">
        <v>21.108250000000002</v>
      </c>
      <c r="Y20" s="463">
        <v>18.582167999999999</v>
      </c>
    </row>
    <row r="21" spans="1:25" ht="9.9499999999999993" customHeight="1">
      <c r="A21" s="453"/>
      <c r="B21" s="453"/>
      <c r="C21" s="417" t="s">
        <v>291</v>
      </c>
      <c r="D21" s="463">
        <v>2.86992</v>
      </c>
      <c r="E21" s="463">
        <v>3.7568000000000001</v>
      </c>
      <c r="F21" s="463">
        <v>3.327</v>
      </c>
      <c r="G21" s="463">
        <v>3.1335000000000002</v>
      </c>
      <c r="H21" s="463">
        <v>5.6084899999999998</v>
      </c>
      <c r="I21" s="463">
        <v>11.345030000000001</v>
      </c>
      <c r="J21" s="463">
        <v>12.276699999999998</v>
      </c>
      <c r="K21" s="463">
        <v>19.338399999999996</v>
      </c>
      <c r="L21" s="463">
        <v>21.113235</v>
      </c>
      <c r="M21" s="463">
        <v>16.040624999999999</v>
      </c>
      <c r="N21" s="463">
        <v>12.270380000000001</v>
      </c>
      <c r="O21" s="463">
        <v>17.284420000000001</v>
      </c>
      <c r="P21" s="463">
        <v>18.868040000000001</v>
      </c>
      <c r="Q21" s="463">
        <v>21.914518000000005</v>
      </c>
      <c r="R21" s="463">
        <v>23.289260000000002</v>
      </c>
      <c r="S21" s="463">
        <v>17.098559999999999</v>
      </c>
      <c r="T21" s="463">
        <v>22.906700000000001</v>
      </c>
      <c r="U21" s="463">
        <v>38.421139000000004</v>
      </c>
      <c r="V21" s="463">
        <v>47.564700000000002</v>
      </c>
      <c r="W21" s="463">
        <v>42.43336</v>
      </c>
      <c r="X21" s="463">
        <v>20.138400000000001</v>
      </c>
      <c r="Y21" s="463">
        <v>26.373061999999997</v>
      </c>
    </row>
    <row r="22" spans="1:25" ht="9.9499999999999993" customHeight="1">
      <c r="A22" s="453"/>
      <c r="B22" s="453"/>
      <c r="C22" s="417" t="s">
        <v>252</v>
      </c>
      <c r="D22" s="463">
        <v>285.10717800000003</v>
      </c>
      <c r="E22" s="463">
        <v>282.87056100000001</v>
      </c>
      <c r="F22" s="463">
        <v>310.11592600000006</v>
      </c>
      <c r="G22" s="463">
        <v>329.52314800000005</v>
      </c>
      <c r="H22" s="463">
        <v>273.75589800000006</v>
      </c>
      <c r="I22" s="463">
        <v>246.14165000000003</v>
      </c>
      <c r="J22" s="463">
        <v>240.62210999999996</v>
      </c>
      <c r="K22" s="463">
        <v>229.08237700000004</v>
      </c>
      <c r="L22" s="463">
        <v>245.75067099999995</v>
      </c>
      <c r="M22" s="463">
        <v>262.30576999999994</v>
      </c>
      <c r="N22" s="463">
        <v>268.457784</v>
      </c>
      <c r="O22" s="463">
        <v>248.45327500000002</v>
      </c>
      <c r="P22" s="463">
        <v>243.24281400000001</v>
      </c>
      <c r="Q22" s="463">
        <v>280.79931800000008</v>
      </c>
      <c r="R22" s="463">
        <v>275.96963199999993</v>
      </c>
      <c r="S22" s="463">
        <v>275.03640300000001</v>
      </c>
      <c r="T22" s="463">
        <v>264.45378500000004</v>
      </c>
      <c r="U22" s="463">
        <v>246.48550299999999</v>
      </c>
      <c r="V22" s="463">
        <v>281.35527699999994</v>
      </c>
      <c r="W22" s="463">
        <v>277.56216500000005</v>
      </c>
      <c r="X22" s="463">
        <v>281.60191300000002</v>
      </c>
      <c r="Y22" s="463">
        <v>286.59549000000004</v>
      </c>
    </row>
    <row r="23" spans="1:25" ht="9.9499999999999993" customHeight="1">
      <c r="A23" s="453"/>
      <c r="B23" s="453"/>
      <c r="C23" s="417" t="s">
        <v>253</v>
      </c>
      <c r="D23" s="463">
        <v>29.534322999999997</v>
      </c>
      <c r="E23" s="463">
        <v>23.176749000000001</v>
      </c>
      <c r="F23" s="463">
        <v>26.602239999999998</v>
      </c>
      <c r="G23" s="463">
        <v>29.013676</v>
      </c>
      <c r="H23" s="463">
        <v>25.495567000000001</v>
      </c>
      <c r="I23" s="463">
        <v>29.822533999999997</v>
      </c>
      <c r="J23" s="463">
        <v>36.390482000000006</v>
      </c>
      <c r="K23" s="463">
        <v>35.530785000000009</v>
      </c>
      <c r="L23" s="463">
        <v>38.249117000000012</v>
      </c>
      <c r="M23" s="463">
        <v>45.838223999999997</v>
      </c>
      <c r="N23" s="463">
        <v>40.176591000000002</v>
      </c>
      <c r="O23" s="463">
        <v>36.286071999999997</v>
      </c>
      <c r="P23" s="463">
        <v>41.761616000000011</v>
      </c>
      <c r="Q23" s="463">
        <v>44.931805999999987</v>
      </c>
      <c r="R23" s="463">
        <v>42.325715000000002</v>
      </c>
      <c r="S23" s="463">
        <v>43.223711999999999</v>
      </c>
      <c r="T23" s="463">
        <v>39.786967000000004</v>
      </c>
      <c r="U23" s="463">
        <v>35.630516999999998</v>
      </c>
      <c r="V23" s="463">
        <v>40.672655999999996</v>
      </c>
      <c r="W23" s="463">
        <v>41.568784999999998</v>
      </c>
      <c r="X23" s="463">
        <v>40.366896000000011</v>
      </c>
      <c r="Y23" s="463">
        <v>44.167601000000026</v>
      </c>
    </row>
    <row r="24" spans="1:25" ht="9.9499999999999993" customHeight="1">
      <c r="A24" s="453"/>
      <c r="B24" s="453"/>
      <c r="C24" s="417" t="s">
        <v>254</v>
      </c>
      <c r="D24" s="463">
        <v>87.453969000000001</v>
      </c>
      <c r="E24" s="463">
        <v>83.054757999999993</v>
      </c>
      <c r="F24" s="463">
        <v>116.09639799999999</v>
      </c>
      <c r="G24" s="463">
        <v>123.311357</v>
      </c>
      <c r="H24" s="463">
        <v>167.30509599999999</v>
      </c>
      <c r="I24" s="463">
        <v>182.74523599999998</v>
      </c>
      <c r="J24" s="463">
        <v>206.33098899999996</v>
      </c>
      <c r="K24" s="463">
        <v>112.69161700000001</v>
      </c>
      <c r="L24" s="463">
        <v>255.76300799999999</v>
      </c>
      <c r="M24" s="463">
        <v>72.582182999999972</v>
      </c>
      <c r="N24" s="463">
        <v>300.55562699999996</v>
      </c>
      <c r="O24" s="463">
        <v>314.641098</v>
      </c>
      <c r="P24" s="463">
        <v>130.03276599999998</v>
      </c>
      <c r="Q24" s="463">
        <v>386.12636099999997</v>
      </c>
      <c r="R24" s="463">
        <v>338.650285</v>
      </c>
      <c r="S24" s="463">
        <v>199.95172400000001</v>
      </c>
      <c r="T24" s="463">
        <v>219.57280500000002</v>
      </c>
      <c r="U24" s="463">
        <v>252.30476099999996</v>
      </c>
      <c r="V24" s="463">
        <v>254.741557</v>
      </c>
      <c r="W24" s="463">
        <v>269.68649700000003</v>
      </c>
      <c r="X24" s="463">
        <v>385.084249</v>
      </c>
      <c r="Y24" s="463">
        <v>351.78257399999995</v>
      </c>
    </row>
    <row r="25" spans="1:25" ht="9.9499999999999993" customHeight="1">
      <c r="A25" s="453"/>
      <c r="B25" s="453"/>
      <c r="C25" s="417" t="s">
        <v>255</v>
      </c>
      <c r="D25" s="463">
        <v>17.445461000000002</v>
      </c>
      <c r="E25" s="463">
        <v>16.962988000000003</v>
      </c>
      <c r="F25" s="463">
        <v>14.698181999999999</v>
      </c>
      <c r="G25" s="463">
        <v>15.225191000000002</v>
      </c>
      <c r="H25" s="463">
        <v>16.61375</v>
      </c>
      <c r="I25" s="463">
        <v>15.901621</v>
      </c>
      <c r="J25" s="463">
        <v>20.381489000000002</v>
      </c>
      <c r="K25" s="463">
        <v>20.480630000000001</v>
      </c>
      <c r="L25" s="463">
        <v>20.845737999999997</v>
      </c>
      <c r="M25" s="463">
        <v>22.052589000000005</v>
      </c>
      <c r="N25" s="463">
        <v>26.203342000000006</v>
      </c>
      <c r="O25" s="463">
        <v>30.930842000000002</v>
      </c>
      <c r="P25" s="463">
        <v>32.378269000000003</v>
      </c>
      <c r="Q25" s="463">
        <v>38.211046000000003</v>
      </c>
      <c r="R25" s="463">
        <v>43.959443999999991</v>
      </c>
      <c r="S25" s="463">
        <v>49.764090000000003</v>
      </c>
      <c r="T25" s="463">
        <v>58.433717000000001</v>
      </c>
      <c r="U25" s="463">
        <v>62.123044999999983</v>
      </c>
      <c r="V25" s="463">
        <v>71.31695599999999</v>
      </c>
      <c r="W25" s="463">
        <v>79.122706000000008</v>
      </c>
      <c r="X25" s="463">
        <v>87.826813999999999</v>
      </c>
      <c r="Y25" s="463">
        <v>83.46575</v>
      </c>
    </row>
    <row r="26" spans="1:25" ht="9.9499999999999993" customHeight="1">
      <c r="A26" s="453"/>
      <c r="B26" s="453"/>
      <c r="C26" s="417" t="s">
        <v>256</v>
      </c>
      <c r="D26" s="463">
        <v>48.879237000000003</v>
      </c>
      <c r="E26" s="463">
        <v>42.654736</v>
      </c>
      <c r="F26" s="463">
        <v>47.682575000000007</v>
      </c>
      <c r="G26" s="463">
        <v>55.383217999999999</v>
      </c>
      <c r="H26" s="463">
        <v>42.705815999999999</v>
      </c>
      <c r="I26" s="463">
        <v>49.929731000000004</v>
      </c>
      <c r="J26" s="463">
        <v>59.456620999999998</v>
      </c>
      <c r="K26" s="463">
        <v>51.601468999999994</v>
      </c>
      <c r="L26" s="463">
        <v>52.264477999999997</v>
      </c>
      <c r="M26" s="463">
        <v>52.144466000000001</v>
      </c>
      <c r="N26" s="463">
        <v>53.211970999999998</v>
      </c>
      <c r="O26" s="463">
        <v>52.755752000000001</v>
      </c>
      <c r="P26" s="463">
        <v>58.471302000000001</v>
      </c>
      <c r="Q26" s="463">
        <v>62.452358999999994</v>
      </c>
      <c r="R26" s="463">
        <v>59.214925000000001</v>
      </c>
      <c r="S26" s="463">
        <v>54.607253000000007</v>
      </c>
      <c r="T26" s="463">
        <v>51.478000999999999</v>
      </c>
      <c r="U26" s="463">
        <v>49.264710000000001</v>
      </c>
      <c r="V26" s="463">
        <v>46.374936999999996</v>
      </c>
      <c r="W26" s="463">
        <v>48.006475999999999</v>
      </c>
      <c r="X26" s="463">
        <v>51.120828000000003</v>
      </c>
      <c r="Y26" s="463">
        <v>40.163985000000004</v>
      </c>
    </row>
    <row r="27" spans="1:25" ht="9.9499999999999993" customHeight="1">
      <c r="A27" s="453"/>
      <c r="B27" s="453"/>
      <c r="C27" s="417" t="s">
        <v>257</v>
      </c>
      <c r="D27" s="463">
        <v>128.75938899999997</v>
      </c>
      <c r="E27" s="463">
        <v>131.484846</v>
      </c>
      <c r="F27" s="463">
        <v>134.93590600000002</v>
      </c>
      <c r="G27" s="463">
        <v>140.81441899999996</v>
      </c>
      <c r="H27" s="463">
        <v>154.27095400000002</v>
      </c>
      <c r="I27" s="463">
        <v>146.83679800000002</v>
      </c>
      <c r="J27" s="463">
        <v>157.412746</v>
      </c>
      <c r="K27" s="463">
        <v>164.56391600000003</v>
      </c>
      <c r="L27" s="463">
        <v>172.88826799999998</v>
      </c>
      <c r="M27" s="463">
        <v>185.05430500000003</v>
      </c>
      <c r="N27" s="463">
        <v>187.51325599999996</v>
      </c>
      <c r="O27" s="463">
        <v>195.37783700000003</v>
      </c>
      <c r="P27" s="463">
        <v>203.11525</v>
      </c>
      <c r="Q27" s="463">
        <v>212.11361700000003</v>
      </c>
      <c r="R27" s="463">
        <v>209.59489600000001</v>
      </c>
      <c r="S27" s="463">
        <v>218.07430600000001</v>
      </c>
      <c r="T27" s="463">
        <v>250.81463900000006</v>
      </c>
      <c r="U27" s="463">
        <v>253.55290399999998</v>
      </c>
      <c r="V27" s="463">
        <v>246.46338100000003</v>
      </c>
      <c r="W27" s="463">
        <v>232.29211300000003</v>
      </c>
      <c r="X27" s="463">
        <v>262.73129600000004</v>
      </c>
      <c r="Y27" s="463">
        <v>270.03959099999997</v>
      </c>
    </row>
    <row r="28" spans="1:25" ht="9.9499999999999993" customHeight="1">
      <c r="A28" s="453"/>
      <c r="B28" s="453"/>
      <c r="C28" s="417" t="s">
        <v>258</v>
      </c>
      <c r="D28" s="463">
        <v>49.109864999999999</v>
      </c>
      <c r="E28" s="463">
        <v>54.664704999999998</v>
      </c>
      <c r="F28" s="463">
        <v>59.594163999999999</v>
      </c>
      <c r="G28" s="463">
        <v>62.771699999999996</v>
      </c>
      <c r="H28" s="463">
        <v>64.916499000000002</v>
      </c>
      <c r="I28" s="463">
        <v>61.515563999999998</v>
      </c>
      <c r="J28" s="463">
        <v>64.915565999999998</v>
      </c>
      <c r="K28" s="463">
        <v>72.677879000000004</v>
      </c>
      <c r="L28" s="463">
        <v>82.494340000000008</v>
      </c>
      <c r="M28" s="463">
        <v>97.010254000000003</v>
      </c>
      <c r="N28" s="463">
        <v>109.15078200000001</v>
      </c>
      <c r="O28" s="463">
        <v>129.12964400000001</v>
      </c>
      <c r="P28" s="463">
        <v>168.619935</v>
      </c>
      <c r="Q28" s="463">
        <v>179.66218900000001</v>
      </c>
      <c r="R28" s="463">
        <v>238.63469999999995</v>
      </c>
      <c r="S28" s="463">
        <v>257.95179299999995</v>
      </c>
      <c r="T28" s="463">
        <v>319.92635899999993</v>
      </c>
      <c r="U28" s="463">
        <v>320.27261900000002</v>
      </c>
      <c r="V28" s="463">
        <v>354.30736400000001</v>
      </c>
      <c r="W28" s="463">
        <v>424.463053</v>
      </c>
      <c r="X28" s="463">
        <v>493.53574300000002</v>
      </c>
      <c r="Y28" s="463">
        <v>535.90839100000005</v>
      </c>
    </row>
    <row r="29" spans="1:25" ht="9.9499999999999993" customHeight="1">
      <c r="A29" s="453" t="s">
        <v>233</v>
      </c>
      <c r="B29" s="453"/>
      <c r="C29" s="417" t="s">
        <v>144</v>
      </c>
      <c r="D29" s="463">
        <v>74.346550000000008</v>
      </c>
      <c r="E29" s="463">
        <v>70.052900000000008</v>
      </c>
      <c r="F29" s="463">
        <v>79.527979999999999</v>
      </c>
      <c r="G29" s="463">
        <v>96.178477000000001</v>
      </c>
      <c r="H29" s="463">
        <v>101.76420900000001</v>
      </c>
      <c r="I29" s="463">
        <v>102.2418</v>
      </c>
      <c r="J29" s="463">
        <v>110.487228</v>
      </c>
      <c r="K29" s="463">
        <v>112.53446799999998</v>
      </c>
      <c r="L29" s="463">
        <v>103.992986</v>
      </c>
      <c r="M29" s="463">
        <v>98.239840999999998</v>
      </c>
      <c r="N29" s="463">
        <v>124.010381</v>
      </c>
      <c r="O29" s="463">
        <v>128.86833299999998</v>
      </c>
      <c r="P29" s="463">
        <v>140.128704</v>
      </c>
      <c r="Q29" s="463">
        <v>154.25268400000002</v>
      </c>
      <c r="R29" s="463">
        <v>188.88691499999999</v>
      </c>
      <c r="S29" s="463">
        <v>204.452699</v>
      </c>
      <c r="T29" s="463">
        <v>213.29073200000002</v>
      </c>
      <c r="U29" s="463">
        <v>235.21343900000002</v>
      </c>
      <c r="V29" s="463">
        <v>253.78601099999997</v>
      </c>
      <c r="W29" s="463">
        <v>253.41076000000001</v>
      </c>
      <c r="X29" s="463">
        <v>261.46588300000002</v>
      </c>
      <c r="Y29" s="463">
        <v>305.84045700000001</v>
      </c>
    </row>
    <row r="30" spans="1:25" ht="9.9499999999999993" customHeight="1">
      <c r="A30" s="453"/>
      <c r="B30" s="453"/>
      <c r="C30" s="417" t="s">
        <v>145</v>
      </c>
      <c r="D30" s="463">
        <v>139.082989</v>
      </c>
      <c r="E30" s="463">
        <v>97.787608000000006</v>
      </c>
      <c r="F30" s="463">
        <v>54.014893000000001</v>
      </c>
      <c r="G30" s="463">
        <v>70.826057999999989</v>
      </c>
      <c r="H30" s="463">
        <v>82.70282499999999</v>
      </c>
      <c r="I30" s="463">
        <v>62.260719999999992</v>
      </c>
      <c r="J30" s="463">
        <v>72.630044000000012</v>
      </c>
      <c r="K30" s="463">
        <v>89.403118000000006</v>
      </c>
      <c r="L30" s="463">
        <v>110.31677400000001</v>
      </c>
      <c r="M30" s="463">
        <v>116.30850299999997</v>
      </c>
      <c r="N30" s="463">
        <v>102.68902899999999</v>
      </c>
      <c r="O30" s="463">
        <v>89.493057999999962</v>
      </c>
      <c r="P30" s="463">
        <v>118.40920100000001</v>
      </c>
      <c r="Q30" s="463">
        <v>157.22464500000001</v>
      </c>
      <c r="R30" s="463">
        <v>148.64948500000003</v>
      </c>
      <c r="S30" s="463">
        <v>119.43470900000001</v>
      </c>
      <c r="T30" s="463">
        <v>107.682816</v>
      </c>
      <c r="U30" s="463">
        <v>108.51149700000002</v>
      </c>
      <c r="V30" s="463">
        <v>122.37764599999998</v>
      </c>
      <c r="W30" s="463">
        <v>94.448285000000027</v>
      </c>
      <c r="X30" s="463">
        <v>98.961964999999978</v>
      </c>
      <c r="Y30" s="463">
        <v>121.16312899999998</v>
      </c>
    </row>
    <row r="31" spans="1:25" ht="9.9499999999999993" customHeight="1">
      <c r="A31" s="453"/>
      <c r="B31" s="453"/>
      <c r="C31" s="417" t="s">
        <v>139</v>
      </c>
      <c r="D31" s="463">
        <v>144.58087300000003</v>
      </c>
      <c r="E31" s="463">
        <v>129.91340600000001</v>
      </c>
      <c r="F31" s="463">
        <v>163.69731200000004</v>
      </c>
      <c r="G31" s="463">
        <v>149.70231300000003</v>
      </c>
      <c r="H31" s="463">
        <v>122.194138</v>
      </c>
      <c r="I31" s="463">
        <v>123.96169400000001</v>
      </c>
      <c r="J31" s="463">
        <v>145.56393000000003</v>
      </c>
      <c r="K31" s="463">
        <v>164.80514600000001</v>
      </c>
      <c r="L31" s="463">
        <v>150.02950000000001</v>
      </c>
      <c r="M31" s="463">
        <v>124.05576000000001</v>
      </c>
      <c r="N31" s="463">
        <v>132.59885499999999</v>
      </c>
      <c r="O31" s="463">
        <v>126.30577199999999</v>
      </c>
      <c r="P31" s="463">
        <v>144.26585299999999</v>
      </c>
      <c r="Q31" s="463">
        <v>139.840777</v>
      </c>
      <c r="R31" s="463">
        <v>152.639062</v>
      </c>
      <c r="S31" s="463">
        <v>157.60884099999998</v>
      </c>
      <c r="T31" s="463">
        <v>154.02150800000001</v>
      </c>
      <c r="U31" s="463">
        <v>106.34095599999999</v>
      </c>
      <c r="V31" s="463">
        <v>163.72834800000001</v>
      </c>
      <c r="W31" s="463">
        <v>180.49431699999997</v>
      </c>
      <c r="X31" s="463">
        <v>181.02693199999999</v>
      </c>
      <c r="Y31" s="463">
        <v>184.69910199999998</v>
      </c>
    </row>
    <row r="32" spans="1:25" ht="9.9499999999999993" customHeight="1">
      <c r="A32" s="453"/>
      <c r="B32" s="453"/>
      <c r="C32" s="417" t="s">
        <v>146</v>
      </c>
      <c r="D32" s="463">
        <v>26.044800000000002</v>
      </c>
      <c r="E32" s="463">
        <v>28.476689999999998</v>
      </c>
      <c r="F32" s="463">
        <v>29.727260000000001</v>
      </c>
      <c r="G32" s="463">
        <v>32.758929999999999</v>
      </c>
      <c r="H32" s="463">
        <v>39.637599999999999</v>
      </c>
      <c r="I32" s="463">
        <v>50.974600000000002</v>
      </c>
      <c r="J32" s="463">
        <v>50.497169</v>
      </c>
      <c r="K32" s="463">
        <v>51.310302</v>
      </c>
      <c r="L32" s="463">
        <v>80.544380999999987</v>
      </c>
      <c r="M32" s="463">
        <v>5.939959</v>
      </c>
      <c r="N32" s="463">
        <v>71.517119000000008</v>
      </c>
      <c r="O32" s="463">
        <v>60.729789000000004</v>
      </c>
      <c r="P32" s="463">
        <v>83.296587999999986</v>
      </c>
      <c r="Q32" s="463">
        <v>53.518237999999997</v>
      </c>
      <c r="R32" s="463">
        <v>110.10142999999999</v>
      </c>
      <c r="S32" s="463">
        <v>31.480640000000001</v>
      </c>
      <c r="T32" s="463">
        <v>49.367890000000003</v>
      </c>
      <c r="U32" s="463">
        <v>71.707570000000004</v>
      </c>
      <c r="V32" s="463">
        <v>148.12810899999999</v>
      </c>
      <c r="W32" s="463">
        <v>175.50801000000001</v>
      </c>
      <c r="X32" s="463">
        <v>163.73273</v>
      </c>
      <c r="Y32" s="463">
        <v>133.98961</v>
      </c>
    </row>
    <row r="33" spans="1:25" ht="9.9499999999999993" customHeight="1">
      <c r="A33" s="453"/>
      <c r="B33" s="453"/>
      <c r="C33" s="417" t="s">
        <v>147</v>
      </c>
      <c r="D33" s="463">
        <v>83.426339000000013</v>
      </c>
      <c r="E33" s="463">
        <v>80.43692999999999</v>
      </c>
      <c r="F33" s="463">
        <v>98.405127999999991</v>
      </c>
      <c r="G33" s="463">
        <v>101.49952</v>
      </c>
      <c r="H33" s="463">
        <v>79.683673999999996</v>
      </c>
      <c r="I33" s="463">
        <v>93.955597000000012</v>
      </c>
      <c r="J33" s="463">
        <v>101.753165</v>
      </c>
      <c r="K33" s="463">
        <v>87.137822000000014</v>
      </c>
      <c r="L33" s="463">
        <v>87.16898599999999</v>
      </c>
      <c r="M33" s="463">
        <v>104.177209</v>
      </c>
      <c r="N33" s="463">
        <v>110.385904</v>
      </c>
      <c r="O33" s="463">
        <v>98.738094000000004</v>
      </c>
      <c r="P33" s="463">
        <v>97.308397999999997</v>
      </c>
      <c r="Q33" s="463">
        <v>114.34034199999999</v>
      </c>
      <c r="R33" s="463">
        <v>117.51353700000001</v>
      </c>
      <c r="S33" s="463">
        <v>113.19844200000001</v>
      </c>
      <c r="T33" s="463">
        <v>103.59006699999999</v>
      </c>
      <c r="U33" s="463">
        <v>94.560614000000001</v>
      </c>
      <c r="V33" s="463">
        <v>93.153198000000003</v>
      </c>
      <c r="W33" s="463">
        <v>98.277053000000009</v>
      </c>
      <c r="X33" s="463">
        <v>98.645071999999985</v>
      </c>
      <c r="Y33" s="463">
        <v>88.04345499999998</v>
      </c>
    </row>
    <row r="34" spans="1:25" ht="9.9499999999999993" customHeight="1">
      <c r="A34" s="453"/>
      <c r="B34" s="453"/>
      <c r="C34" s="417" t="s">
        <v>261</v>
      </c>
      <c r="D34" s="463">
        <v>92.203585000000004</v>
      </c>
      <c r="E34" s="463">
        <v>73.20062333333334</v>
      </c>
      <c r="F34" s="463">
        <v>76.390759000000003</v>
      </c>
      <c r="G34" s="463">
        <v>88.012599000000009</v>
      </c>
      <c r="H34" s="463">
        <v>98.064577</v>
      </c>
      <c r="I34" s="463">
        <v>95.708770000000001</v>
      </c>
      <c r="J34" s="463">
        <v>88.497921000000005</v>
      </c>
      <c r="K34" s="463">
        <v>92.868657999999996</v>
      </c>
      <c r="L34" s="463">
        <v>78.619971999999976</v>
      </c>
      <c r="M34" s="463">
        <v>80.059964999999991</v>
      </c>
      <c r="N34" s="463">
        <v>84.030973000000003</v>
      </c>
      <c r="O34" s="463">
        <v>88.923777999999999</v>
      </c>
      <c r="P34" s="463">
        <v>89.881654000000012</v>
      </c>
      <c r="Q34" s="463">
        <v>93.160114000000007</v>
      </c>
      <c r="R34" s="463">
        <v>96.768290000000007</v>
      </c>
      <c r="S34" s="463">
        <v>101.38253399999999</v>
      </c>
      <c r="T34" s="463">
        <v>100.355298</v>
      </c>
      <c r="U34" s="463">
        <v>97.546146999999991</v>
      </c>
      <c r="V34" s="463">
        <v>94.176368999999994</v>
      </c>
      <c r="W34" s="463">
        <v>90.599423000000016</v>
      </c>
      <c r="X34" s="463">
        <v>85.896276999999998</v>
      </c>
      <c r="Y34" s="463">
        <v>84.801524999999998</v>
      </c>
    </row>
    <row r="35" spans="1:25" ht="9.9499999999999993" customHeight="1">
      <c r="A35" s="453"/>
      <c r="B35" s="453"/>
      <c r="C35" s="417" t="s">
        <v>262</v>
      </c>
      <c r="D35" s="463">
        <v>18.435989000000003</v>
      </c>
      <c r="E35" s="463">
        <v>21.821978000000001</v>
      </c>
      <c r="F35" s="463">
        <v>17.565866999999997</v>
      </c>
      <c r="G35" s="463">
        <v>19.174630000000001</v>
      </c>
      <c r="H35" s="463">
        <v>13.890155</v>
      </c>
      <c r="I35" s="463">
        <v>13.60685</v>
      </c>
      <c r="J35" s="463">
        <v>13.637849999999998</v>
      </c>
      <c r="K35" s="463">
        <v>20.169854000000001</v>
      </c>
      <c r="L35" s="463">
        <v>18.934864999999999</v>
      </c>
      <c r="M35" s="463">
        <v>16.981874000000001</v>
      </c>
      <c r="N35" s="463">
        <v>10.226077</v>
      </c>
      <c r="O35" s="463">
        <v>13.524614000000001</v>
      </c>
      <c r="P35" s="463">
        <v>19.209009999999999</v>
      </c>
      <c r="Q35" s="463">
        <v>17.013617</v>
      </c>
      <c r="R35" s="463">
        <v>17.430832000000002</v>
      </c>
      <c r="S35" s="463">
        <v>17.864399000000002</v>
      </c>
      <c r="T35" s="463">
        <v>17.935209999999998</v>
      </c>
      <c r="U35" s="463">
        <v>20.414848999999997</v>
      </c>
      <c r="V35" s="463">
        <v>22.190054</v>
      </c>
      <c r="W35" s="463">
        <v>17.002839000000002</v>
      </c>
      <c r="X35" s="463">
        <v>16.897298999999997</v>
      </c>
      <c r="Y35" s="463">
        <v>18.737876999999997</v>
      </c>
    </row>
    <row r="36" spans="1:25" ht="9.9499999999999993" customHeight="1">
      <c r="A36" s="453"/>
      <c r="B36" s="453"/>
      <c r="C36" s="417" t="s">
        <v>205</v>
      </c>
      <c r="D36" s="463">
        <v>48.834763000000002</v>
      </c>
      <c r="E36" s="463">
        <v>57.152491000000005</v>
      </c>
      <c r="F36" s="463">
        <v>56.584248999999993</v>
      </c>
      <c r="G36" s="463">
        <v>59.717337999999998</v>
      </c>
      <c r="H36" s="463">
        <v>46.859777999999999</v>
      </c>
      <c r="I36" s="463">
        <v>55.165847000000007</v>
      </c>
      <c r="J36" s="463">
        <v>55.855798</v>
      </c>
      <c r="K36" s="463">
        <v>58.18974200000001</v>
      </c>
      <c r="L36" s="463">
        <v>58.448501999999991</v>
      </c>
      <c r="M36" s="463">
        <v>68.308250000000001</v>
      </c>
      <c r="N36" s="463">
        <v>61.601133000000004</v>
      </c>
      <c r="O36" s="463">
        <v>63.250051999999997</v>
      </c>
      <c r="P36" s="463">
        <v>75.645325000000014</v>
      </c>
      <c r="Q36" s="463">
        <v>78.063210999999995</v>
      </c>
      <c r="R36" s="463">
        <v>76.272791999999995</v>
      </c>
      <c r="S36" s="463">
        <v>78.87604300000001</v>
      </c>
      <c r="T36" s="463">
        <v>73.948121000000015</v>
      </c>
      <c r="U36" s="463">
        <v>73.533676</v>
      </c>
      <c r="V36" s="463">
        <v>82.518728999999993</v>
      </c>
      <c r="W36" s="463">
        <v>82.832671000000005</v>
      </c>
      <c r="X36" s="463">
        <v>82.468693999999985</v>
      </c>
      <c r="Y36" s="463">
        <v>82.859538999999984</v>
      </c>
    </row>
    <row r="37" spans="1:25" ht="9.9499999999999993" customHeight="1">
      <c r="A37" s="453"/>
      <c r="B37" s="453"/>
      <c r="C37" s="417" t="s">
        <v>206</v>
      </c>
      <c r="D37" s="463">
        <v>118.522469</v>
      </c>
      <c r="E37" s="463">
        <v>123.17312699999999</v>
      </c>
      <c r="F37" s="463">
        <v>108.12963999999999</v>
      </c>
      <c r="G37" s="463">
        <v>93.379870000000011</v>
      </c>
      <c r="H37" s="463">
        <v>91.191888999999989</v>
      </c>
      <c r="I37" s="463">
        <v>80.473238999999992</v>
      </c>
      <c r="J37" s="463">
        <v>87.245630000000006</v>
      </c>
      <c r="K37" s="463">
        <v>98.740418999999974</v>
      </c>
      <c r="L37" s="463">
        <v>72.802804000000023</v>
      </c>
      <c r="M37" s="463">
        <v>123.930773</v>
      </c>
      <c r="N37" s="463">
        <v>113.20821399999998</v>
      </c>
      <c r="O37" s="463">
        <v>131.98358500000003</v>
      </c>
      <c r="P37" s="463">
        <v>119.898645</v>
      </c>
      <c r="Q37" s="463">
        <v>121.847004</v>
      </c>
      <c r="R37" s="463">
        <v>117.30216899999996</v>
      </c>
      <c r="S37" s="463">
        <v>126.03942499999999</v>
      </c>
      <c r="T37" s="463">
        <v>115.848724</v>
      </c>
      <c r="U37" s="463">
        <v>116.83820999999998</v>
      </c>
      <c r="V37" s="463">
        <v>124.81715399999999</v>
      </c>
      <c r="W37" s="463">
        <v>145.87737900000002</v>
      </c>
      <c r="X37" s="463">
        <v>127.434336</v>
      </c>
      <c r="Y37" s="463">
        <v>88.246645999999998</v>
      </c>
    </row>
    <row r="38" spans="1:25" ht="9.9499999999999993" customHeight="1">
      <c r="A38" s="453"/>
      <c r="B38" s="453"/>
      <c r="C38" s="417" t="s">
        <v>207</v>
      </c>
      <c r="D38" s="463">
        <v>49.611080000000001</v>
      </c>
      <c r="E38" s="463">
        <v>57.63750000000001</v>
      </c>
      <c r="F38" s="463">
        <v>57.128559000000003</v>
      </c>
      <c r="G38" s="463">
        <v>59.646120000000003</v>
      </c>
      <c r="H38" s="463">
        <v>64.031579999999991</v>
      </c>
      <c r="I38" s="463">
        <v>74.970208</v>
      </c>
      <c r="J38" s="463">
        <v>81.134558999999996</v>
      </c>
      <c r="K38" s="463">
        <v>83.669329000000005</v>
      </c>
      <c r="L38" s="463">
        <v>91.067903999999984</v>
      </c>
      <c r="M38" s="463">
        <v>109.791872</v>
      </c>
      <c r="N38" s="463">
        <v>123.55127299999999</v>
      </c>
      <c r="O38" s="463">
        <v>184.187387</v>
      </c>
      <c r="P38" s="463">
        <v>210.93676299999998</v>
      </c>
      <c r="Q38" s="463">
        <v>222.69391000000007</v>
      </c>
      <c r="R38" s="463">
        <v>229.12576799999999</v>
      </c>
      <c r="S38" s="463">
        <v>238.72198700000001</v>
      </c>
      <c r="T38" s="463">
        <v>236.71140700000004</v>
      </c>
      <c r="U38" s="463">
        <v>241.68400699999998</v>
      </c>
      <c r="V38" s="463">
        <v>264.61802799999998</v>
      </c>
      <c r="W38" s="463">
        <v>280.962897</v>
      </c>
      <c r="X38" s="463">
        <v>288.71704</v>
      </c>
      <c r="Y38" s="463">
        <v>293.47922999999997</v>
      </c>
    </row>
    <row r="39" spans="1:25" ht="9.9499999999999993" customHeight="1">
      <c r="A39" s="453"/>
      <c r="B39" s="453"/>
      <c r="C39" s="417" t="s">
        <v>268</v>
      </c>
      <c r="D39" s="463">
        <v>0</v>
      </c>
      <c r="E39" s="463">
        <v>0</v>
      </c>
      <c r="F39" s="463">
        <v>1.0329999999999999</v>
      </c>
      <c r="G39" s="463">
        <v>4.0910000000000002</v>
      </c>
      <c r="H39" s="463">
        <v>12.965</v>
      </c>
      <c r="I39" s="463">
        <v>26.891999999999999</v>
      </c>
      <c r="J39" s="463">
        <v>15.679</v>
      </c>
      <c r="K39" s="463">
        <v>18.756</v>
      </c>
      <c r="L39" s="463">
        <v>26.608000000000001</v>
      </c>
      <c r="M39" s="463">
        <v>14.721</v>
      </c>
      <c r="N39" s="463">
        <v>11.452</v>
      </c>
      <c r="O39" s="463">
        <v>21.896999999999998</v>
      </c>
      <c r="P39" s="463">
        <v>14.531000000000001</v>
      </c>
      <c r="Q39" s="463">
        <v>10.196</v>
      </c>
      <c r="R39" s="463">
        <v>3.4249999999999998</v>
      </c>
      <c r="S39" s="463">
        <v>11.327</v>
      </c>
      <c r="T39" s="463">
        <v>10.131500000000001</v>
      </c>
      <c r="U39" s="463">
        <v>11.714</v>
      </c>
      <c r="V39" s="463">
        <v>22.785</v>
      </c>
      <c r="W39" s="463">
        <v>7.5659999999999998</v>
      </c>
      <c r="X39" s="463">
        <v>6.9880000000000004</v>
      </c>
      <c r="Y39" s="463">
        <v>9.58568</v>
      </c>
    </row>
    <row r="40" spans="1:25" ht="9.9499999999999993" customHeight="1">
      <c r="A40" s="453"/>
      <c r="B40" s="453"/>
      <c r="C40" s="417" t="s">
        <v>300</v>
      </c>
      <c r="D40" s="463">
        <v>123.93800599999999</v>
      </c>
      <c r="E40" s="463">
        <v>120.786134</v>
      </c>
      <c r="F40" s="463">
        <v>115.34002000000001</v>
      </c>
      <c r="G40" s="463">
        <v>117.55852899999999</v>
      </c>
      <c r="H40" s="463">
        <v>102.281908</v>
      </c>
      <c r="I40" s="463">
        <v>116.93682500000001</v>
      </c>
      <c r="J40" s="463">
        <v>125.25367300000001</v>
      </c>
      <c r="K40" s="463">
        <v>138.416965</v>
      </c>
      <c r="L40" s="463">
        <v>136.71808999999999</v>
      </c>
      <c r="M40" s="463">
        <v>143.44312599999998</v>
      </c>
      <c r="N40" s="463">
        <v>142.86484499999997</v>
      </c>
      <c r="O40" s="463">
        <v>139.91692799999998</v>
      </c>
      <c r="P40" s="463">
        <v>156.251091</v>
      </c>
      <c r="Q40" s="463">
        <v>166.618402</v>
      </c>
      <c r="R40" s="463">
        <v>167.57416400000002</v>
      </c>
      <c r="S40" s="463">
        <v>172.21390599999998</v>
      </c>
      <c r="T40" s="463">
        <v>168.18929500000002</v>
      </c>
      <c r="U40" s="463">
        <v>165.17959700000003</v>
      </c>
      <c r="V40" s="463">
        <v>170.218898</v>
      </c>
      <c r="W40" s="463">
        <v>158.62786800000001</v>
      </c>
      <c r="X40" s="463">
        <v>159.38071000000002</v>
      </c>
      <c r="Y40" s="463">
        <v>156.93736799999999</v>
      </c>
    </row>
    <row r="41" spans="1:25" ht="9.9499999999999993" customHeight="1">
      <c r="A41" s="453"/>
      <c r="B41" s="453"/>
      <c r="C41" s="417" t="s">
        <v>301</v>
      </c>
      <c r="D41" s="463">
        <v>83.805000000000007</v>
      </c>
      <c r="E41" s="463">
        <v>96.426099000000008</v>
      </c>
      <c r="F41" s="463">
        <v>80.401880000000006</v>
      </c>
      <c r="G41" s="463">
        <v>85.573820000000012</v>
      </c>
      <c r="H41" s="463">
        <v>92.793770000000009</v>
      </c>
      <c r="I41" s="463">
        <v>100.61587999999999</v>
      </c>
      <c r="J41" s="463">
        <v>118.06110000000001</v>
      </c>
      <c r="K41" s="463">
        <v>113.10453</v>
      </c>
      <c r="L41" s="463">
        <v>115.52472</v>
      </c>
      <c r="M41" s="463">
        <v>120.51660399999999</v>
      </c>
      <c r="N41" s="463">
        <v>137.573689</v>
      </c>
      <c r="O41" s="463">
        <v>164.088358</v>
      </c>
      <c r="P41" s="463">
        <v>226.44459899999998</v>
      </c>
      <c r="Q41" s="463">
        <v>253.46157700000001</v>
      </c>
      <c r="R41" s="463">
        <v>308.44993899999997</v>
      </c>
      <c r="S41" s="463">
        <v>317.40206599999999</v>
      </c>
      <c r="T41" s="463">
        <v>332.79680400000001</v>
      </c>
      <c r="U41" s="463">
        <v>390.81474799999995</v>
      </c>
      <c r="V41" s="463">
        <v>408.99782599999998</v>
      </c>
      <c r="W41" s="463">
        <v>430.031474</v>
      </c>
      <c r="X41" s="463">
        <v>408.73416499999996</v>
      </c>
      <c r="Y41" s="463">
        <v>519.79196899999999</v>
      </c>
    </row>
    <row r="42" spans="1:25" ht="9.9499999999999993" customHeight="1">
      <c r="A42" s="453"/>
      <c r="B42" s="453"/>
      <c r="C42" s="417" t="s">
        <v>263</v>
      </c>
      <c r="D42" s="463">
        <v>30.522659000000001</v>
      </c>
      <c r="E42" s="463">
        <v>28.461673999999999</v>
      </c>
      <c r="F42" s="463">
        <v>31.786303</v>
      </c>
      <c r="G42" s="463">
        <v>38.013527000000003</v>
      </c>
      <c r="H42" s="463">
        <v>35.186868000000004</v>
      </c>
      <c r="I42" s="463">
        <v>42.785360999999995</v>
      </c>
      <c r="J42" s="463">
        <v>43.793108000000011</v>
      </c>
      <c r="K42" s="463">
        <v>46.735475000000001</v>
      </c>
      <c r="L42" s="463">
        <v>48.496804999999995</v>
      </c>
      <c r="M42" s="463">
        <v>47.652522000000012</v>
      </c>
      <c r="N42" s="463">
        <v>49.425111999999999</v>
      </c>
      <c r="O42" s="463">
        <v>46.611767999999998</v>
      </c>
      <c r="P42" s="463">
        <v>53.318733999999992</v>
      </c>
      <c r="Q42" s="463">
        <v>55.924419999999998</v>
      </c>
      <c r="R42" s="463">
        <v>58.789076999999999</v>
      </c>
      <c r="S42" s="463">
        <v>58.198292000000002</v>
      </c>
      <c r="T42" s="463">
        <v>54.946466000000008</v>
      </c>
      <c r="U42" s="463">
        <v>51.191717000000004</v>
      </c>
      <c r="V42" s="463">
        <v>52.561797999999996</v>
      </c>
      <c r="W42" s="463">
        <v>54.808991999999996</v>
      </c>
      <c r="X42" s="463">
        <v>60.128910999999995</v>
      </c>
      <c r="Y42" s="463">
        <v>56.160500999999996</v>
      </c>
    </row>
    <row r="43" spans="1:25" ht="9.9499999999999993" customHeight="1">
      <c r="A43" s="453"/>
      <c r="B43" s="453"/>
      <c r="C43" s="417" t="s">
        <v>264</v>
      </c>
      <c r="D43" s="463">
        <v>15.318693000000001</v>
      </c>
      <c r="E43" s="463">
        <v>13.307725</v>
      </c>
      <c r="F43" s="463">
        <v>12.527073999999999</v>
      </c>
      <c r="G43" s="463">
        <v>13.833457000000001</v>
      </c>
      <c r="H43" s="463">
        <v>12.038817999999999</v>
      </c>
      <c r="I43" s="463">
        <v>13.690503999999999</v>
      </c>
      <c r="J43" s="463">
        <v>16.037220999999999</v>
      </c>
      <c r="K43" s="463">
        <v>14.472567</v>
      </c>
      <c r="L43" s="463">
        <v>15.806523</v>
      </c>
      <c r="M43" s="463">
        <v>16.359066999999996</v>
      </c>
      <c r="N43" s="463">
        <v>17.875139999999998</v>
      </c>
      <c r="O43" s="463">
        <v>16.243166999999996</v>
      </c>
      <c r="P43" s="463">
        <v>18.540073</v>
      </c>
      <c r="Q43" s="463">
        <v>20.770358999999999</v>
      </c>
      <c r="R43" s="463">
        <v>19.329259999999998</v>
      </c>
      <c r="S43" s="463">
        <v>19.295650000000002</v>
      </c>
      <c r="T43" s="463">
        <v>18.457167000000002</v>
      </c>
      <c r="U43" s="463">
        <v>17.485388999999998</v>
      </c>
      <c r="V43" s="463">
        <v>18.846974000000003</v>
      </c>
      <c r="W43" s="463">
        <v>19.440733999999999</v>
      </c>
      <c r="X43" s="463">
        <v>20.756093999999997</v>
      </c>
      <c r="Y43" s="463">
        <v>22.099589999999999</v>
      </c>
    </row>
    <row r="44" spans="1:25" ht="9.9499999999999993" customHeight="1">
      <c r="A44" s="453"/>
      <c r="B44" s="453"/>
      <c r="C44" s="417" t="s">
        <v>265</v>
      </c>
      <c r="D44" s="463">
        <v>77.990420999999998</v>
      </c>
      <c r="E44" s="463">
        <v>67.333029999999994</v>
      </c>
      <c r="F44" s="463">
        <v>74.791303999999997</v>
      </c>
      <c r="G44" s="463">
        <v>73.364317</v>
      </c>
      <c r="H44" s="463">
        <v>71.080087000000006</v>
      </c>
      <c r="I44" s="463">
        <v>66.103856999999991</v>
      </c>
      <c r="J44" s="463">
        <v>81.630430000000004</v>
      </c>
      <c r="K44" s="463">
        <v>74.811577</v>
      </c>
      <c r="L44" s="463">
        <v>81.219035999999988</v>
      </c>
      <c r="M44" s="463">
        <v>74.942440999999988</v>
      </c>
      <c r="N44" s="463">
        <v>79.316391999999979</v>
      </c>
      <c r="O44" s="463">
        <v>91.200868999999997</v>
      </c>
      <c r="P44" s="463">
        <v>83.877445999999992</v>
      </c>
      <c r="Q44" s="463">
        <v>84.726505000000003</v>
      </c>
      <c r="R44" s="463">
        <v>85.800833999999995</v>
      </c>
      <c r="S44" s="463">
        <v>82.828974000000002</v>
      </c>
      <c r="T44" s="463">
        <v>88.212531999999996</v>
      </c>
      <c r="U44" s="463">
        <v>85.781124999999989</v>
      </c>
      <c r="V44" s="463">
        <v>88.418042</v>
      </c>
      <c r="W44" s="463">
        <v>90.655142000000012</v>
      </c>
      <c r="X44" s="463">
        <v>93.078123000000019</v>
      </c>
      <c r="Y44" s="463">
        <v>90.133396999999988</v>
      </c>
    </row>
    <row r="45" spans="1:25" ht="9.9499999999999993" customHeight="1">
      <c r="A45" s="453"/>
      <c r="B45" s="453"/>
      <c r="C45" s="417" t="s">
        <v>266</v>
      </c>
      <c r="D45" s="463">
        <v>53.132558000000003</v>
      </c>
      <c r="E45" s="463">
        <v>55.991470000000007</v>
      </c>
      <c r="F45" s="463">
        <v>44.776150000000001</v>
      </c>
      <c r="G45" s="463">
        <v>52.312981999999998</v>
      </c>
      <c r="H45" s="463">
        <v>39.091607000000003</v>
      </c>
      <c r="I45" s="463">
        <v>39.945388999999999</v>
      </c>
      <c r="J45" s="463">
        <v>70.839016000000001</v>
      </c>
      <c r="K45" s="463">
        <v>61.497528000000003</v>
      </c>
      <c r="L45" s="463">
        <v>81.658805000000015</v>
      </c>
      <c r="M45" s="463">
        <v>87.024889000000016</v>
      </c>
      <c r="N45" s="463">
        <v>91.581575000000015</v>
      </c>
      <c r="O45" s="463">
        <v>105.255073</v>
      </c>
      <c r="P45" s="463">
        <v>105.00353400000002</v>
      </c>
      <c r="Q45" s="463">
        <v>112.63421799999998</v>
      </c>
      <c r="R45" s="463">
        <v>113.01144300000001</v>
      </c>
      <c r="S45" s="463">
        <v>131.44825199999997</v>
      </c>
      <c r="T45" s="463">
        <v>102.685237</v>
      </c>
      <c r="U45" s="463">
        <v>88.846062999999987</v>
      </c>
      <c r="V45" s="463">
        <v>105.96352100000001</v>
      </c>
      <c r="W45" s="463">
        <v>104.153069</v>
      </c>
      <c r="X45" s="463">
        <v>104.12217400000002</v>
      </c>
      <c r="Y45" s="463">
        <v>114.630475</v>
      </c>
    </row>
    <row r="46" spans="1:25" ht="9.9499999999999993" customHeight="1">
      <c r="A46" s="453"/>
      <c r="B46" s="453"/>
      <c r="C46" s="417" t="s">
        <v>84</v>
      </c>
      <c r="D46" s="463">
        <v>15.192907999999999</v>
      </c>
      <c r="E46" s="463">
        <v>21.08531</v>
      </c>
      <c r="F46" s="463">
        <v>23.992918</v>
      </c>
      <c r="G46" s="463">
        <v>22.893998</v>
      </c>
      <c r="H46" s="463">
        <v>25.031705000000002</v>
      </c>
      <c r="I46" s="463">
        <v>24.337918000000002</v>
      </c>
      <c r="J46" s="463">
        <v>22.801832999999998</v>
      </c>
      <c r="K46" s="463">
        <v>21.892889</v>
      </c>
      <c r="L46" s="463">
        <v>26.599949999999996</v>
      </c>
      <c r="M46" s="463">
        <v>27.333720999999997</v>
      </c>
      <c r="N46" s="463">
        <v>24.38645</v>
      </c>
      <c r="O46" s="463">
        <v>23.359736000000002</v>
      </c>
      <c r="P46" s="463">
        <v>25.561323999999999</v>
      </c>
      <c r="Q46" s="463">
        <v>26.268222000000002</v>
      </c>
      <c r="R46" s="463">
        <v>29.020676999999999</v>
      </c>
      <c r="S46" s="463">
        <v>27.493562999999998</v>
      </c>
      <c r="T46" s="463">
        <v>27.580066000000002</v>
      </c>
      <c r="U46" s="463">
        <v>27.167983</v>
      </c>
      <c r="V46" s="463">
        <v>27.234287999999996</v>
      </c>
      <c r="W46" s="463">
        <v>27.202627000000003</v>
      </c>
      <c r="X46" s="463">
        <v>23.554141999999999</v>
      </c>
      <c r="Y46" s="463">
        <v>23.451279000000003</v>
      </c>
    </row>
    <row r="47" spans="1:25" ht="9.9499999999999993" customHeight="1">
      <c r="A47" s="455"/>
      <c r="B47" s="455"/>
      <c r="C47" s="422" t="s">
        <v>215</v>
      </c>
      <c r="D47" s="464">
        <v>22.290057000000001</v>
      </c>
      <c r="E47" s="464">
        <v>24.657457999999998</v>
      </c>
      <c r="F47" s="464">
        <v>18.044986000000002</v>
      </c>
      <c r="G47" s="464">
        <v>21.230231</v>
      </c>
      <c r="H47" s="464">
        <v>17.556288000000002</v>
      </c>
      <c r="I47" s="464">
        <v>19.312210000000004</v>
      </c>
      <c r="J47" s="464">
        <v>15.759699000000001</v>
      </c>
      <c r="K47" s="464">
        <v>21.880294000000003</v>
      </c>
      <c r="L47" s="464">
        <v>26.158203</v>
      </c>
      <c r="M47" s="464">
        <v>32.355463999999998</v>
      </c>
      <c r="N47" s="464">
        <v>22.985479999999999</v>
      </c>
      <c r="O47" s="464">
        <v>18.812348</v>
      </c>
      <c r="P47" s="464">
        <v>29.005648000000001</v>
      </c>
      <c r="Q47" s="464">
        <v>28.632969999999997</v>
      </c>
      <c r="R47" s="464">
        <v>26.841294000000001</v>
      </c>
      <c r="S47" s="464">
        <v>22.491991000000002</v>
      </c>
      <c r="T47" s="464">
        <v>24.317501</v>
      </c>
      <c r="U47" s="464">
        <v>26.695366</v>
      </c>
      <c r="V47" s="464">
        <v>32.503146999999998</v>
      </c>
      <c r="W47" s="464">
        <v>26.768853</v>
      </c>
      <c r="X47" s="464">
        <v>24.998138000000004</v>
      </c>
      <c r="Y47" s="464">
        <v>29.661701000000001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17"/>
      <c r="W48" s="217"/>
      <c r="X48" s="217"/>
      <c r="Y48" s="217" t="s">
        <v>0</v>
      </c>
    </row>
    <row r="49" spans="1:25" ht="12.75">
      <c r="C49" s="67" t="s">
        <v>248</v>
      </c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</row>
    <row r="50" spans="1:25" ht="15.95" customHeight="1">
      <c r="A50" s="494" t="s">
        <v>234</v>
      </c>
      <c r="B50" s="495"/>
      <c r="C50" s="496"/>
      <c r="D50" s="411" t="s">
        <v>203</v>
      </c>
      <c r="E50" s="411" t="s">
        <v>204</v>
      </c>
      <c r="F50" s="411" t="s">
        <v>299</v>
      </c>
      <c r="G50" s="411" t="s">
        <v>269</v>
      </c>
      <c r="H50" s="411" t="s">
        <v>270</v>
      </c>
      <c r="I50" s="411" t="s">
        <v>271</v>
      </c>
      <c r="J50" s="411" t="s">
        <v>272</v>
      </c>
      <c r="K50" s="411" t="s">
        <v>273</v>
      </c>
      <c r="L50" s="411" t="s">
        <v>274</v>
      </c>
      <c r="M50" s="411" t="s">
        <v>230</v>
      </c>
      <c r="N50" s="411" t="s">
        <v>231</v>
      </c>
      <c r="O50" s="411" t="s">
        <v>232</v>
      </c>
      <c r="P50" s="411" t="s">
        <v>92</v>
      </c>
      <c r="Q50" s="411" t="s">
        <v>93</v>
      </c>
      <c r="R50" s="411" t="s">
        <v>94</v>
      </c>
      <c r="S50" s="411" t="s">
        <v>95</v>
      </c>
      <c r="T50" s="411" t="s">
        <v>96</v>
      </c>
      <c r="U50" s="293" t="s">
        <v>150</v>
      </c>
      <c r="V50" s="293" t="s">
        <v>151</v>
      </c>
      <c r="W50" s="293" t="s">
        <v>148</v>
      </c>
      <c r="X50" s="293" t="s">
        <v>342</v>
      </c>
      <c r="Y50" s="293" t="s">
        <v>352</v>
      </c>
    </row>
    <row r="51" spans="1:25" ht="9.9499999999999993" customHeight="1">
      <c r="A51" s="465"/>
      <c r="B51" s="465"/>
      <c r="C51" s="466" t="s">
        <v>267</v>
      </c>
      <c r="D51" s="463">
        <v>106.69349500000001</v>
      </c>
      <c r="E51" s="463">
        <v>101.7525</v>
      </c>
      <c r="F51" s="463">
        <v>108.571</v>
      </c>
      <c r="G51" s="463">
        <v>99.337240000000008</v>
      </c>
      <c r="H51" s="463">
        <v>90.000348000000002</v>
      </c>
      <c r="I51" s="463">
        <v>96.745867000000004</v>
      </c>
      <c r="J51" s="463">
        <v>93.029097000000007</v>
      </c>
      <c r="K51" s="463">
        <v>88.327511000000001</v>
      </c>
      <c r="L51" s="463">
        <v>84.739790000000013</v>
      </c>
      <c r="M51" s="463">
        <v>92.40764200000001</v>
      </c>
      <c r="N51" s="463">
        <v>87.681685999999999</v>
      </c>
      <c r="O51" s="463">
        <v>82.58540099999999</v>
      </c>
      <c r="P51" s="463">
        <v>85.674773000000016</v>
      </c>
      <c r="Q51" s="463">
        <v>87.721985000000004</v>
      </c>
      <c r="R51" s="463">
        <v>83.416445999999993</v>
      </c>
      <c r="S51" s="463">
        <v>86.700586000000001</v>
      </c>
      <c r="T51" s="463">
        <v>85.923509000000024</v>
      </c>
      <c r="U51" s="463">
        <v>87.835245</v>
      </c>
      <c r="V51" s="463">
        <v>88.668979999999991</v>
      </c>
      <c r="W51" s="463">
        <v>83.302478000000008</v>
      </c>
      <c r="X51" s="463">
        <v>90.630569999999992</v>
      </c>
      <c r="Y51" s="463">
        <v>91.028007000000017</v>
      </c>
    </row>
    <row r="52" spans="1:25" ht="9.9499999999999993" customHeight="1">
      <c r="A52" s="453"/>
      <c r="B52" s="453"/>
      <c r="C52" s="417" t="s">
        <v>61</v>
      </c>
      <c r="D52" s="463">
        <v>90.864697000000021</v>
      </c>
      <c r="E52" s="463">
        <v>88.711866999999998</v>
      </c>
      <c r="F52" s="463">
        <v>89.079603999999989</v>
      </c>
      <c r="G52" s="463">
        <v>100.18108300000002</v>
      </c>
      <c r="H52" s="463">
        <v>102.79029700000002</v>
      </c>
      <c r="I52" s="463">
        <v>93.636603000000008</v>
      </c>
      <c r="J52" s="463">
        <v>85.929136999999983</v>
      </c>
      <c r="K52" s="463">
        <v>83.822000000000003</v>
      </c>
      <c r="L52" s="463">
        <v>84.634980999999996</v>
      </c>
      <c r="M52" s="463">
        <v>90.822306999999995</v>
      </c>
      <c r="N52" s="463">
        <v>98.421222</v>
      </c>
      <c r="O52" s="463">
        <v>64.913532000000004</v>
      </c>
      <c r="P52" s="463">
        <v>59.846601999999997</v>
      </c>
      <c r="Q52" s="463">
        <v>76.912114000000003</v>
      </c>
      <c r="R52" s="463">
        <v>75.851246000000003</v>
      </c>
      <c r="S52" s="463">
        <v>71.392176000000006</v>
      </c>
      <c r="T52" s="463">
        <v>88.488622000000007</v>
      </c>
      <c r="U52" s="463">
        <v>93.167700000000011</v>
      </c>
      <c r="V52" s="463">
        <v>91.859751000000017</v>
      </c>
      <c r="W52" s="463">
        <v>81.677847999999997</v>
      </c>
      <c r="X52" s="463">
        <v>92.540863000000002</v>
      </c>
      <c r="Y52" s="463">
        <v>97.895916999999983</v>
      </c>
    </row>
    <row r="53" spans="1:25" ht="9.9499999999999993" customHeight="1">
      <c r="A53" s="453"/>
      <c r="B53" s="453"/>
      <c r="C53" s="417" t="s">
        <v>62</v>
      </c>
      <c r="D53" s="463">
        <v>25.948853000000003</v>
      </c>
      <c r="E53" s="463">
        <v>19.770118</v>
      </c>
      <c r="F53" s="463">
        <v>28.762786999999999</v>
      </c>
      <c r="G53" s="463">
        <v>28.685199000000001</v>
      </c>
      <c r="H53" s="463">
        <v>25.809172</v>
      </c>
      <c r="I53" s="463">
        <v>31.851568</v>
      </c>
      <c r="J53" s="463">
        <v>29.673707000000004</v>
      </c>
      <c r="K53" s="463">
        <v>30.797707000000003</v>
      </c>
      <c r="L53" s="463">
        <v>28.901449999999997</v>
      </c>
      <c r="M53" s="463">
        <v>38.016720999999997</v>
      </c>
      <c r="N53" s="463">
        <v>40.024361000000006</v>
      </c>
      <c r="O53" s="463">
        <v>39.308605</v>
      </c>
      <c r="P53" s="463">
        <v>41.404179000000006</v>
      </c>
      <c r="Q53" s="463">
        <v>42.975178</v>
      </c>
      <c r="R53" s="463">
        <v>72.444562000000005</v>
      </c>
      <c r="S53" s="463">
        <v>86.63232099999999</v>
      </c>
      <c r="T53" s="463">
        <v>69.976618000000002</v>
      </c>
      <c r="U53" s="463">
        <v>70.684970000000007</v>
      </c>
      <c r="V53" s="463">
        <v>75.026786999999999</v>
      </c>
      <c r="W53" s="463">
        <v>73.203484000000003</v>
      </c>
      <c r="X53" s="463">
        <v>88.137337000000002</v>
      </c>
      <c r="Y53" s="463">
        <v>91.43283799999999</v>
      </c>
    </row>
    <row r="54" spans="1:25" ht="9.9499999999999993" customHeight="1">
      <c r="A54" s="453"/>
      <c r="B54" s="453"/>
      <c r="C54" s="417" t="s">
        <v>88</v>
      </c>
      <c r="D54" s="463">
        <v>1.9371880000000001</v>
      </c>
      <c r="E54" s="463">
        <v>2.7812290000000002</v>
      </c>
      <c r="F54" s="463">
        <v>2.8378000000000001</v>
      </c>
      <c r="G54" s="463">
        <v>2.4591399999999997</v>
      </c>
      <c r="H54" s="463">
        <v>2.5410399999999997</v>
      </c>
      <c r="I54" s="463">
        <v>2.7293810000000001</v>
      </c>
      <c r="J54" s="463">
        <v>2.9297200000000001</v>
      </c>
      <c r="K54" s="463">
        <v>3.2711939999999999</v>
      </c>
      <c r="L54" s="463">
        <v>4.9811676</v>
      </c>
      <c r="M54" s="463">
        <v>5.3955740000000008</v>
      </c>
      <c r="N54" s="463">
        <v>5.4301710000000005</v>
      </c>
      <c r="O54" s="463">
        <v>6.0973170000000003</v>
      </c>
      <c r="P54" s="463">
        <v>5.6564699999999997</v>
      </c>
      <c r="Q54" s="463">
        <v>6.6479730000000004</v>
      </c>
      <c r="R54" s="463">
        <v>8.9975020000000008</v>
      </c>
      <c r="S54" s="463">
        <v>8.2279649999999993</v>
      </c>
      <c r="T54" s="463">
        <v>7.7733660000000002</v>
      </c>
      <c r="U54" s="463">
        <v>8.6050710000000006</v>
      </c>
      <c r="V54" s="463">
        <v>8.2882649999999991</v>
      </c>
      <c r="W54" s="463">
        <v>8.0764460000000007</v>
      </c>
      <c r="X54" s="463">
        <v>6.7075689999999994</v>
      </c>
      <c r="Y54" s="463">
        <v>6.4948589999999999</v>
      </c>
    </row>
    <row r="55" spans="1:25" ht="9.9499999999999993" customHeight="1">
      <c r="A55" s="453"/>
      <c r="B55" s="453"/>
      <c r="C55" s="417" t="s">
        <v>63</v>
      </c>
      <c r="D55" s="463">
        <v>73.438462000000001</v>
      </c>
      <c r="E55" s="463">
        <v>63.908270000000002</v>
      </c>
      <c r="F55" s="463">
        <v>59.186116999999996</v>
      </c>
      <c r="G55" s="463">
        <v>58.943477000000001</v>
      </c>
      <c r="H55" s="463">
        <v>57.564157000000002</v>
      </c>
      <c r="I55" s="463">
        <v>60.041643999999998</v>
      </c>
      <c r="J55" s="463">
        <v>62.776388999999995</v>
      </c>
      <c r="K55" s="463">
        <v>62.581872000000004</v>
      </c>
      <c r="L55" s="463">
        <v>64.36566400000001</v>
      </c>
      <c r="M55" s="463">
        <v>73.098754</v>
      </c>
      <c r="N55" s="463">
        <v>76.168594999999982</v>
      </c>
      <c r="O55" s="463">
        <v>73.767081999999988</v>
      </c>
      <c r="P55" s="463">
        <v>72.555793999999992</v>
      </c>
      <c r="Q55" s="463">
        <v>73.427062000000006</v>
      </c>
      <c r="R55" s="463">
        <v>72.605699999999999</v>
      </c>
      <c r="S55" s="463">
        <v>78.874184000000014</v>
      </c>
      <c r="T55" s="463">
        <v>76.290089000000009</v>
      </c>
      <c r="U55" s="463">
        <v>78.815179999999998</v>
      </c>
      <c r="V55" s="463">
        <v>73.256623000000005</v>
      </c>
      <c r="W55" s="463">
        <v>75.266833000000005</v>
      </c>
      <c r="X55" s="463">
        <v>59.218054999999993</v>
      </c>
      <c r="Y55" s="463">
        <v>48.805481999999998</v>
      </c>
    </row>
    <row r="56" spans="1:25" ht="9.9499999999999993" customHeight="1">
      <c r="A56" s="453"/>
      <c r="B56" s="453"/>
      <c r="C56" s="417" t="s">
        <v>140</v>
      </c>
      <c r="D56" s="463">
        <v>7.2679999999999998</v>
      </c>
      <c r="E56" s="463">
        <v>7.4518699999999987</v>
      </c>
      <c r="F56" s="463">
        <v>7.6656570000000004</v>
      </c>
      <c r="G56" s="463">
        <v>6.6115099999999991</v>
      </c>
      <c r="H56" s="463">
        <v>6.7524699999999998</v>
      </c>
      <c r="I56" s="463">
        <v>5.3427499999999997</v>
      </c>
      <c r="J56" s="463">
        <v>13.740219999999999</v>
      </c>
      <c r="K56" s="463">
        <v>7.0225299999999997</v>
      </c>
      <c r="L56" s="463">
        <v>11.937147000000001</v>
      </c>
      <c r="M56" s="463">
        <v>13.853804999999999</v>
      </c>
      <c r="N56" s="463">
        <v>20.741440000000001</v>
      </c>
      <c r="O56" s="463">
        <v>6.7964190000000002</v>
      </c>
      <c r="P56" s="463">
        <v>21.869400000000002</v>
      </c>
      <c r="Q56" s="463">
        <v>7.0101189999999995</v>
      </c>
      <c r="R56" s="463">
        <v>6.514870000000001</v>
      </c>
      <c r="S56" s="463">
        <v>5.7453900000000004</v>
      </c>
      <c r="T56" s="463">
        <v>13.848259000000002</v>
      </c>
      <c r="U56" s="463">
        <v>10.557799999999999</v>
      </c>
      <c r="V56" s="463">
        <v>2.6379900000000003</v>
      </c>
      <c r="W56" s="463">
        <v>6.2306379999999999</v>
      </c>
      <c r="X56" s="463">
        <v>4.4125169999999994</v>
      </c>
      <c r="Y56" s="463">
        <v>5.9392459999999998</v>
      </c>
    </row>
    <row r="57" spans="1:25" ht="9.9499999999999993" customHeight="1">
      <c r="A57" s="453"/>
      <c r="B57" s="453"/>
      <c r="C57" s="417" t="s">
        <v>115</v>
      </c>
      <c r="D57" s="463">
        <v>57.541440999999999</v>
      </c>
      <c r="E57" s="463">
        <v>56.465817000000001</v>
      </c>
      <c r="F57" s="463">
        <v>57.284614000000005</v>
      </c>
      <c r="G57" s="463">
        <v>54.335687000000007</v>
      </c>
      <c r="H57" s="463">
        <v>49.476355000000005</v>
      </c>
      <c r="I57" s="463">
        <v>45.683571999999998</v>
      </c>
      <c r="J57" s="463">
        <v>47.092262000000005</v>
      </c>
      <c r="K57" s="463">
        <v>48.647023000000004</v>
      </c>
      <c r="L57" s="463">
        <v>50.049356000000003</v>
      </c>
      <c r="M57" s="463">
        <v>52.003653</v>
      </c>
      <c r="N57" s="463">
        <v>49.608393999999997</v>
      </c>
      <c r="O57" s="463">
        <v>51.055008000000001</v>
      </c>
      <c r="P57" s="463">
        <v>52.773502999999998</v>
      </c>
      <c r="Q57" s="463">
        <v>54.633850999999993</v>
      </c>
      <c r="R57" s="463">
        <v>53.195563999999997</v>
      </c>
      <c r="S57" s="463">
        <v>56.159367999999994</v>
      </c>
      <c r="T57" s="463">
        <v>52.372185000000002</v>
      </c>
      <c r="U57" s="463">
        <v>58.907924999999992</v>
      </c>
      <c r="V57" s="463">
        <v>60.058115000000001</v>
      </c>
      <c r="W57" s="463">
        <v>57.229312</v>
      </c>
      <c r="X57" s="463">
        <v>57.790846999999999</v>
      </c>
      <c r="Y57" s="463">
        <v>62.653041000000009</v>
      </c>
    </row>
    <row r="58" spans="1:25" ht="9.9499999999999993" customHeight="1">
      <c r="A58" s="453"/>
      <c r="B58" s="453"/>
      <c r="C58" s="417" t="s">
        <v>116</v>
      </c>
      <c r="D58" s="463">
        <v>14.8116</v>
      </c>
      <c r="E58" s="463">
        <v>20.056999999999999</v>
      </c>
      <c r="F58" s="463">
        <v>21.144500000000001</v>
      </c>
      <c r="G58" s="463">
        <v>25.045909999999999</v>
      </c>
      <c r="H58" s="463">
        <v>37.686620000000005</v>
      </c>
      <c r="I58" s="463">
        <v>32.763300000000001</v>
      </c>
      <c r="J58" s="463">
        <v>34.512</v>
      </c>
      <c r="K58" s="463">
        <v>28.873529999999999</v>
      </c>
      <c r="L58" s="463">
        <v>36.074598000000009</v>
      </c>
      <c r="M58" s="463">
        <v>39.093429</v>
      </c>
      <c r="N58" s="463">
        <v>45.615586999999998</v>
      </c>
      <c r="O58" s="463">
        <v>40.452976999999997</v>
      </c>
      <c r="P58" s="463">
        <v>39.273648000000001</v>
      </c>
      <c r="Q58" s="463">
        <v>41.123609999999992</v>
      </c>
      <c r="R58" s="463">
        <v>42.443946999999994</v>
      </c>
      <c r="S58" s="463">
        <v>44.61664900000001</v>
      </c>
      <c r="T58" s="463">
        <v>40.173068000000001</v>
      </c>
      <c r="U58" s="463">
        <v>43.234079000000001</v>
      </c>
      <c r="V58" s="463">
        <v>40.465327000000009</v>
      </c>
      <c r="W58" s="463">
        <v>37.655676999999997</v>
      </c>
      <c r="X58" s="463">
        <v>37.324698000000005</v>
      </c>
      <c r="Y58" s="463">
        <v>38.558340000000001</v>
      </c>
    </row>
    <row r="59" spans="1:25" ht="9.9499999999999993" customHeight="1">
      <c r="A59" s="453"/>
      <c r="B59" s="453"/>
      <c r="C59" s="417" t="s">
        <v>60</v>
      </c>
      <c r="D59" s="463">
        <v>25.442700000000002</v>
      </c>
      <c r="E59" s="463">
        <v>27.723318999999996</v>
      </c>
      <c r="F59" s="463">
        <v>29.107429000000003</v>
      </c>
      <c r="G59" s="463">
        <v>28.051659999999998</v>
      </c>
      <c r="H59" s="463">
        <v>34.89572900000001</v>
      </c>
      <c r="I59" s="463">
        <v>30.623099999999997</v>
      </c>
      <c r="J59" s="463">
        <v>34.318729999999995</v>
      </c>
      <c r="K59" s="463">
        <v>50.692248999999997</v>
      </c>
      <c r="L59" s="463">
        <v>54.012938999999996</v>
      </c>
      <c r="M59" s="463">
        <v>56.032806999999998</v>
      </c>
      <c r="N59" s="463">
        <v>50.168632999999993</v>
      </c>
      <c r="O59" s="463">
        <v>43.835982000000001</v>
      </c>
      <c r="P59" s="463">
        <v>48.340375999999999</v>
      </c>
      <c r="Q59" s="463">
        <v>52.767307000000002</v>
      </c>
      <c r="R59" s="463">
        <v>50.566619000000003</v>
      </c>
      <c r="S59" s="463">
        <v>45.503883000000002</v>
      </c>
      <c r="T59" s="463">
        <v>41.846009000000002</v>
      </c>
      <c r="U59" s="463">
        <v>42.551079999999999</v>
      </c>
      <c r="V59" s="463">
        <v>54.118329999999993</v>
      </c>
      <c r="W59" s="463">
        <v>57.506057999999996</v>
      </c>
      <c r="X59" s="463">
        <v>59.003198999999995</v>
      </c>
      <c r="Y59" s="463">
        <v>52.712426999999998</v>
      </c>
    </row>
    <row r="60" spans="1:25" ht="9.9499999999999993" customHeight="1">
      <c r="A60" s="453"/>
      <c r="B60" s="453"/>
      <c r="C60" s="417" t="s">
        <v>117</v>
      </c>
      <c r="D60" s="463">
        <v>1.0179800000000001</v>
      </c>
      <c r="E60" s="463">
        <v>0.75353999999999999</v>
      </c>
      <c r="F60" s="463">
        <v>0.38878999999999997</v>
      </c>
      <c r="G60" s="463">
        <v>0.26189999999999997</v>
      </c>
      <c r="H60" s="463">
        <v>0.18482000000000001</v>
      </c>
      <c r="I60" s="463">
        <v>0.15710000000000002</v>
      </c>
      <c r="J60" s="463">
        <v>0.33077999999999996</v>
      </c>
      <c r="K60" s="463">
        <v>0.28489999999999999</v>
      </c>
      <c r="L60" s="463">
        <v>0.33745999999999998</v>
      </c>
      <c r="M60" s="463">
        <v>0.97430000000000005</v>
      </c>
      <c r="N60" s="463">
        <v>0.56355000000000011</v>
      </c>
      <c r="O60" s="463">
        <v>0.43464900000000001</v>
      </c>
      <c r="P60" s="463">
        <v>0.45177</v>
      </c>
      <c r="Q60" s="463">
        <v>0.57689000000000001</v>
      </c>
      <c r="R60" s="463">
        <v>0.32400899999999999</v>
      </c>
      <c r="S60" s="463">
        <v>0.47209799999999996</v>
      </c>
      <c r="T60" s="463">
        <v>0.58030000000000004</v>
      </c>
      <c r="U60" s="463">
        <v>1.1111289999999998</v>
      </c>
      <c r="V60" s="463">
        <v>0.29799000000000003</v>
      </c>
      <c r="W60" s="463">
        <v>0.37106</v>
      </c>
      <c r="X60" s="463">
        <v>0.30684999999999996</v>
      </c>
      <c r="Y60" s="463">
        <v>0.27655000000000002</v>
      </c>
    </row>
    <row r="61" spans="1:25" ht="9.9499999999999993" customHeight="1">
      <c r="A61" s="453"/>
      <c r="B61" s="453"/>
      <c r="C61" s="417" t="s">
        <v>118</v>
      </c>
      <c r="D61" s="463">
        <v>7.8416280000000009</v>
      </c>
      <c r="E61" s="463">
        <v>6.8964480000000004</v>
      </c>
      <c r="F61" s="463">
        <v>7.0649280000000001</v>
      </c>
      <c r="G61" s="463">
        <v>7.4828570000000001</v>
      </c>
      <c r="H61" s="463">
        <v>8.5026589999999995</v>
      </c>
      <c r="I61" s="463">
        <v>8.2458190000000009</v>
      </c>
      <c r="J61" s="463">
        <v>9.1806269999999994</v>
      </c>
      <c r="K61" s="463">
        <v>9.2190250000000002</v>
      </c>
      <c r="L61" s="463">
        <v>10.993857</v>
      </c>
      <c r="M61" s="463">
        <v>11.67127</v>
      </c>
      <c r="N61" s="463">
        <v>12.438874</v>
      </c>
      <c r="O61" s="463">
        <v>13.728885</v>
      </c>
      <c r="P61" s="463">
        <v>16.062859</v>
      </c>
      <c r="Q61" s="463">
        <v>21.225431</v>
      </c>
      <c r="R61" s="463">
        <v>28.333993000000003</v>
      </c>
      <c r="S61" s="463">
        <v>24.354311000000003</v>
      </c>
      <c r="T61" s="463">
        <v>25.841788000000005</v>
      </c>
      <c r="U61" s="463">
        <v>28.968219000000001</v>
      </c>
      <c r="V61" s="463">
        <v>27.884943</v>
      </c>
      <c r="W61" s="463">
        <v>26.012754000000001</v>
      </c>
      <c r="X61" s="463">
        <v>26.225518999999995</v>
      </c>
      <c r="Y61" s="463">
        <v>28.875632999999997</v>
      </c>
    </row>
    <row r="62" spans="1:25" ht="9.9499999999999993" customHeight="1">
      <c r="A62" s="453"/>
      <c r="B62" s="453"/>
      <c r="C62" s="417" t="s">
        <v>126</v>
      </c>
      <c r="D62" s="463">
        <v>3.0612999999999997</v>
      </c>
      <c r="E62" s="463">
        <v>3.73583</v>
      </c>
      <c r="F62" s="463">
        <v>5.2919000000000009</v>
      </c>
      <c r="G62" s="463">
        <v>5.9077500000000001</v>
      </c>
      <c r="H62" s="463">
        <v>7.8182600000000004</v>
      </c>
      <c r="I62" s="463">
        <v>7.9298000000000002</v>
      </c>
      <c r="J62" s="463">
        <v>8.2617799999999981</v>
      </c>
      <c r="K62" s="463">
        <v>9.6701100000000011</v>
      </c>
      <c r="L62" s="463">
        <v>9.2140179999999994</v>
      </c>
      <c r="M62" s="463">
        <v>10.814738</v>
      </c>
      <c r="N62" s="463">
        <v>10.871568</v>
      </c>
      <c r="O62" s="463">
        <v>11.442606</v>
      </c>
      <c r="P62" s="463">
        <v>12.533887</v>
      </c>
      <c r="Q62" s="463">
        <v>13.496174</v>
      </c>
      <c r="R62" s="463">
        <v>14.432397999999999</v>
      </c>
      <c r="S62" s="463">
        <v>13.595026000000001</v>
      </c>
      <c r="T62" s="463">
        <v>13.998995000000003</v>
      </c>
      <c r="U62" s="463">
        <v>13.057181</v>
      </c>
      <c r="V62" s="463">
        <v>12.000649000000003</v>
      </c>
      <c r="W62" s="463">
        <v>11.739085999999999</v>
      </c>
      <c r="X62" s="463">
        <v>10.50089</v>
      </c>
      <c r="Y62" s="463">
        <v>10.505119000000001</v>
      </c>
    </row>
    <row r="63" spans="1:25" ht="9.9499999999999993" customHeight="1">
      <c r="A63" s="453"/>
      <c r="B63" s="453"/>
      <c r="C63" s="417" t="s">
        <v>137</v>
      </c>
      <c r="D63" s="463">
        <v>8.8430589999999984</v>
      </c>
      <c r="E63" s="463">
        <v>9.3730259999999994</v>
      </c>
      <c r="F63" s="463">
        <v>13.957047000000001</v>
      </c>
      <c r="G63" s="463">
        <v>12.778338</v>
      </c>
      <c r="H63" s="463">
        <v>11.02975</v>
      </c>
      <c r="I63" s="463">
        <v>11.689112999999999</v>
      </c>
      <c r="J63" s="463">
        <v>10.969730000000002</v>
      </c>
      <c r="K63" s="463">
        <v>11.913877000000001</v>
      </c>
      <c r="L63" s="463">
        <v>12.628098999999999</v>
      </c>
      <c r="M63" s="463">
        <v>15.227538000000001</v>
      </c>
      <c r="N63" s="463">
        <v>15.823897000000001</v>
      </c>
      <c r="O63" s="463">
        <v>15.123192999999997</v>
      </c>
      <c r="P63" s="463">
        <v>13.024252000000001</v>
      </c>
      <c r="Q63" s="463">
        <v>17.692484</v>
      </c>
      <c r="R63" s="463">
        <v>13.864946</v>
      </c>
      <c r="S63" s="463">
        <v>16.194331999999999</v>
      </c>
      <c r="T63" s="463">
        <v>21.030007000000005</v>
      </c>
      <c r="U63" s="463">
        <v>20.335343000000002</v>
      </c>
      <c r="V63" s="463">
        <v>17.140759999999997</v>
      </c>
      <c r="W63" s="463">
        <v>18.129683</v>
      </c>
      <c r="X63" s="463">
        <v>17.755776999999998</v>
      </c>
      <c r="Y63" s="463">
        <v>17.053048999999998</v>
      </c>
    </row>
    <row r="64" spans="1:25" ht="9.9499999999999993" customHeight="1">
      <c r="A64" s="453"/>
      <c r="B64" s="453"/>
      <c r="C64" s="417" t="s">
        <v>170</v>
      </c>
      <c r="D64" s="463">
        <v>11.485950000000001</v>
      </c>
      <c r="E64" s="463">
        <v>8.8587599999999984</v>
      </c>
      <c r="F64" s="463">
        <v>9.9073799999999999</v>
      </c>
      <c r="G64" s="463">
        <v>12.006067999999999</v>
      </c>
      <c r="H64" s="463">
        <v>11.5443</v>
      </c>
      <c r="I64" s="463">
        <v>10.89991</v>
      </c>
      <c r="J64" s="463">
        <v>11.683669999999999</v>
      </c>
      <c r="K64" s="463">
        <v>15.849389</v>
      </c>
      <c r="L64" s="463">
        <v>17.587632000000003</v>
      </c>
      <c r="M64" s="463">
        <v>21.874635999999999</v>
      </c>
      <c r="N64" s="463">
        <v>22.022669000000004</v>
      </c>
      <c r="O64" s="463">
        <v>40.209386000000009</v>
      </c>
      <c r="P64" s="463">
        <v>28.964252999999999</v>
      </c>
      <c r="Q64" s="463">
        <v>24.527909999999999</v>
      </c>
      <c r="R64" s="463">
        <v>25.645617000000001</v>
      </c>
      <c r="S64" s="463">
        <v>36.379135000000005</v>
      </c>
      <c r="T64" s="463">
        <v>33.709432</v>
      </c>
      <c r="U64" s="463">
        <v>31.260265999999998</v>
      </c>
      <c r="V64" s="463">
        <v>37.558503999999999</v>
      </c>
      <c r="W64" s="463">
        <v>32.719228999999999</v>
      </c>
      <c r="X64" s="463">
        <v>41.567990999999999</v>
      </c>
      <c r="Y64" s="463">
        <v>47.575817999999991</v>
      </c>
    </row>
    <row r="65" spans="1:25" ht="9.9499999999999993" customHeight="1">
      <c r="A65" s="453"/>
      <c r="B65" s="453"/>
      <c r="C65" s="417" t="s">
        <v>138</v>
      </c>
      <c r="D65" s="463">
        <v>23.275347</v>
      </c>
      <c r="E65" s="463">
        <v>24.899908</v>
      </c>
      <c r="F65" s="463">
        <v>30.692299000000002</v>
      </c>
      <c r="G65" s="463">
        <v>31.650852</v>
      </c>
      <c r="H65" s="463">
        <v>32.414868000000006</v>
      </c>
      <c r="I65" s="463">
        <v>32.128998999999993</v>
      </c>
      <c r="J65" s="463">
        <v>33.162393999999999</v>
      </c>
      <c r="K65" s="463">
        <v>34.323955999999995</v>
      </c>
      <c r="L65" s="463">
        <v>33.428447999999996</v>
      </c>
      <c r="M65" s="463">
        <v>33.398671999999998</v>
      </c>
      <c r="N65" s="463">
        <v>33.255817999999998</v>
      </c>
      <c r="O65" s="463">
        <v>33.378001000000005</v>
      </c>
      <c r="P65" s="463">
        <v>34.017673000000002</v>
      </c>
      <c r="Q65" s="463">
        <v>34.147764000000002</v>
      </c>
      <c r="R65" s="463">
        <v>37.099713999999999</v>
      </c>
      <c r="S65" s="463">
        <v>37.287923999999997</v>
      </c>
      <c r="T65" s="463">
        <v>33.382283999999999</v>
      </c>
      <c r="U65" s="463">
        <v>37.363478999999998</v>
      </c>
      <c r="V65" s="463">
        <v>36.383516999999991</v>
      </c>
      <c r="W65" s="463">
        <v>34.136972</v>
      </c>
      <c r="X65" s="463">
        <v>32.017758000000001</v>
      </c>
      <c r="Y65" s="463">
        <v>36.157599000000005</v>
      </c>
    </row>
    <row r="66" spans="1:25" ht="9.9499999999999993" customHeight="1">
      <c r="A66" s="453"/>
      <c r="B66" s="453"/>
      <c r="C66" s="417" t="s">
        <v>44</v>
      </c>
      <c r="D66" s="463">
        <v>10.962</v>
      </c>
      <c r="E66" s="463">
        <v>10.8613</v>
      </c>
      <c r="F66" s="463">
        <v>10.526899999999999</v>
      </c>
      <c r="G66" s="463">
        <v>9.5204599999999999</v>
      </c>
      <c r="H66" s="463">
        <v>10.60393</v>
      </c>
      <c r="I66" s="463">
        <v>10.590299999999999</v>
      </c>
      <c r="J66" s="463">
        <v>11.047799999999999</v>
      </c>
      <c r="K66" s="463">
        <v>10.928533999999999</v>
      </c>
      <c r="L66" s="463">
        <v>13.509708</v>
      </c>
      <c r="M66" s="463">
        <v>11.593164</v>
      </c>
      <c r="N66" s="463">
        <v>11.932435000000002</v>
      </c>
      <c r="O66" s="463">
        <v>11.614739999999999</v>
      </c>
      <c r="P66" s="463">
        <v>11.725102</v>
      </c>
      <c r="Q66" s="463">
        <v>14.85431</v>
      </c>
      <c r="R66" s="463">
        <v>17.060309</v>
      </c>
      <c r="S66" s="463">
        <v>18.954599999999999</v>
      </c>
      <c r="T66" s="463">
        <v>20.278328999999999</v>
      </c>
      <c r="U66" s="463">
        <v>18.317019999999996</v>
      </c>
      <c r="V66" s="463">
        <v>18.545149000000002</v>
      </c>
      <c r="W66" s="463">
        <v>25.291642</v>
      </c>
      <c r="X66" s="463">
        <v>19.156828999999998</v>
      </c>
      <c r="Y66" s="463">
        <v>31.433968</v>
      </c>
    </row>
    <row r="67" spans="1:25" ht="9.9499999999999993" customHeight="1">
      <c r="A67" s="453"/>
      <c r="B67" s="453"/>
      <c r="C67" s="417" t="s">
        <v>172</v>
      </c>
      <c r="D67" s="463">
        <v>3.60636</v>
      </c>
      <c r="E67" s="463">
        <v>3.1524169999999998</v>
      </c>
      <c r="F67" s="463">
        <v>3.1016280000000003</v>
      </c>
      <c r="G67" s="463">
        <v>3.6054059999999999</v>
      </c>
      <c r="H67" s="463">
        <v>3.13856</v>
      </c>
      <c r="I67" s="463">
        <v>4.1963699999999999</v>
      </c>
      <c r="J67" s="463">
        <v>3.8536480000000002</v>
      </c>
      <c r="K67" s="463">
        <v>3.6128299999999998</v>
      </c>
      <c r="L67" s="463">
        <v>3.6148580000000003</v>
      </c>
      <c r="M67" s="463">
        <v>3.7944089999999995</v>
      </c>
      <c r="N67" s="463">
        <v>3.5850280000000003</v>
      </c>
      <c r="O67" s="463">
        <v>3.9504540000000001</v>
      </c>
      <c r="P67" s="463">
        <v>4.7676610000000004</v>
      </c>
      <c r="Q67" s="463">
        <v>4.1899760000000006</v>
      </c>
      <c r="R67" s="463">
        <v>4.3428890000000004</v>
      </c>
      <c r="S67" s="463">
        <v>4.1707289999999997</v>
      </c>
      <c r="T67" s="463">
        <v>5.4079899999999999</v>
      </c>
      <c r="U67" s="463">
        <v>4.4649599999999987</v>
      </c>
      <c r="V67" s="463">
        <v>4.1071479999999996</v>
      </c>
      <c r="W67" s="463">
        <v>4.7950100000000004</v>
      </c>
      <c r="X67" s="463">
        <v>5.1217300000000003</v>
      </c>
      <c r="Y67" s="463">
        <v>4.1166650000000011</v>
      </c>
    </row>
    <row r="68" spans="1:25" ht="9.9499999999999993" customHeight="1">
      <c r="A68" s="453"/>
      <c r="B68" s="453"/>
      <c r="C68" s="417" t="s">
        <v>43</v>
      </c>
      <c r="D68" s="463">
        <v>3.1739999999999999</v>
      </c>
      <c r="E68" s="463">
        <v>3.093</v>
      </c>
      <c r="F68" s="463">
        <v>7.8179999999999996</v>
      </c>
      <c r="G68" s="463">
        <v>12.15559</v>
      </c>
      <c r="H68" s="463">
        <v>8.3759999999999994</v>
      </c>
      <c r="I68" s="463">
        <v>6.6642719999999995</v>
      </c>
      <c r="J68" s="463">
        <v>7.4358399999999998</v>
      </c>
      <c r="K68" s="463">
        <v>6.6966299999999999</v>
      </c>
      <c r="L68" s="463">
        <v>6.9602200000000005</v>
      </c>
      <c r="M68" s="463">
        <v>5.6051299999999999</v>
      </c>
      <c r="N68" s="463">
        <v>5.0702299999999996</v>
      </c>
      <c r="O68" s="463">
        <v>5.3996000000000004</v>
      </c>
      <c r="P68" s="463">
        <v>8.0145</v>
      </c>
      <c r="Q68" s="463">
        <v>8.3974400000000013</v>
      </c>
      <c r="R68" s="463">
        <v>6.6507500000000004</v>
      </c>
      <c r="S68" s="463">
        <v>4.9664489999999999</v>
      </c>
      <c r="T68" s="463">
        <v>8.675908999999999</v>
      </c>
      <c r="U68" s="463">
        <v>7.9426499999999995</v>
      </c>
      <c r="V68" s="463">
        <v>8.704248999999999</v>
      </c>
      <c r="W68" s="463">
        <v>10.018070000000002</v>
      </c>
      <c r="X68" s="463">
        <v>3.9835289999999999</v>
      </c>
      <c r="Y68" s="463">
        <v>4.4991089999999998</v>
      </c>
    </row>
    <row r="69" spans="1:25" ht="9.9499999999999993" customHeight="1">
      <c r="A69" s="453"/>
      <c r="B69" s="453"/>
      <c r="C69" s="417" t="s">
        <v>171</v>
      </c>
      <c r="D69" s="463">
        <v>0</v>
      </c>
      <c r="E69" s="463">
        <v>0</v>
      </c>
      <c r="F69" s="463">
        <v>0</v>
      </c>
      <c r="G69" s="463">
        <v>0</v>
      </c>
      <c r="H69" s="463">
        <v>0</v>
      </c>
      <c r="I69" s="463">
        <v>0</v>
      </c>
      <c r="J69" s="463">
        <v>0</v>
      </c>
      <c r="K69" s="463">
        <v>0</v>
      </c>
      <c r="L69" s="463">
        <v>0</v>
      </c>
      <c r="M69" s="463">
        <v>0</v>
      </c>
      <c r="N69" s="463">
        <v>0</v>
      </c>
      <c r="O69" s="463">
        <v>0</v>
      </c>
      <c r="P69" s="463">
        <v>0</v>
      </c>
      <c r="Q69" s="463">
        <v>0.48959999999999998</v>
      </c>
      <c r="R69" s="463">
        <v>0.70220000000000005</v>
      </c>
      <c r="S69" s="463">
        <v>2.5821390000000002</v>
      </c>
      <c r="T69" s="463">
        <v>2.9819179999999998</v>
      </c>
      <c r="U69" s="463">
        <v>4.343718</v>
      </c>
      <c r="V69" s="463">
        <v>9.5557599999999994</v>
      </c>
      <c r="W69" s="463">
        <v>19.613880000000002</v>
      </c>
      <c r="X69" s="463">
        <v>10.791909000000002</v>
      </c>
      <c r="Y69" s="463">
        <v>13.3657</v>
      </c>
    </row>
    <row r="70" spans="1:25" ht="9.9499999999999993" customHeight="1">
      <c r="A70" s="453"/>
      <c r="B70" s="453"/>
      <c r="C70" s="417" t="s">
        <v>184</v>
      </c>
      <c r="D70" s="463">
        <v>1.139189</v>
      </c>
      <c r="E70" s="463">
        <v>1.211069</v>
      </c>
      <c r="F70" s="463">
        <v>1.0021900000000001</v>
      </c>
      <c r="G70" s="463">
        <v>1.0295099999999999</v>
      </c>
      <c r="H70" s="463">
        <v>0.97924900000000004</v>
      </c>
      <c r="I70" s="463">
        <v>1.0580499999999999</v>
      </c>
      <c r="J70" s="463">
        <v>1.2484390000000001</v>
      </c>
      <c r="K70" s="463">
        <v>1.211379</v>
      </c>
      <c r="L70" s="463">
        <v>1.32094</v>
      </c>
      <c r="M70" s="463">
        <v>1.2428200000000003</v>
      </c>
      <c r="N70" s="463">
        <v>1.4131500000000001</v>
      </c>
      <c r="O70" s="463">
        <v>1.4704900000000003</v>
      </c>
      <c r="P70" s="463">
        <v>1.7004490000000001</v>
      </c>
      <c r="Q70" s="463">
        <v>1.6497270000000002</v>
      </c>
      <c r="R70" s="463">
        <v>1.71044</v>
      </c>
      <c r="S70" s="463">
        <v>1.7985469999999997</v>
      </c>
      <c r="T70" s="463">
        <v>1.8387280000000001</v>
      </c>
      <c r="U70" s="463">
        <v>2.5434299999999994</v>
      </c>
      <c r="V70" s="463">
        <v>2.4589799999999999</v>
      </c>
      <c r="W70" s="463">
        <v>2.9066540000000001</v>
      </c>
      <c r="X70" s="463">
        <v>4.0801989999999995</v>
      </c>
      <c r="Y70" s="463">
        <v>4.6677600000000004</v>
      </c>
    </row>
    <row r="71" spans="1:25" ht="9.9499999999999993" customHeight="1">
      <c r="A71" s="453"/>
      <c r="B71" s="453"/>
      <c r="C71" s="417" t="s">
        <v>185</v>
      </c>
      <c r="D71" s="463">
        <v>33.423175000000001</v>
      </c>
      <c r="E71" s="463">
        <v>34.188164999999998</v>
      </c>
      <c r="F71" s="463">
        <v>33.904902999999997</v>
      </c>
      <c r="G71" s="463">
        <v>35.577369999999995</v>
      </c>
      <c r="H71" s="463">
        <v>33.492460999999999</v>
      </c>
      <c r="I71" s="463">
        <v>32.636839000000002</v>
      </c>
      <c r="J71" s="463">
        <v>31.176318999999999</v>
      </c>
      <c r="K71" s="463">
        <v>29.966940000000001</v>
      </c>
      <c r="L71" s="463">
        <v>28.266578999999997</v>
      </c>
      <c r="M71" s="463">
        <v>31.216467000000002</v>
      </c>
      <c r="N71" s="463">
        <v>28.225518999999998</v>
      </c>
      <c r="O71" s="463">
        <v>27.656203999999999</v>
      </c>
      <c r="P71" s="463">
        <v>30.102489000000002</v>
      </c>
      <c r="Q71" s="463">
        <v>29.77216</v>
      </c>
      <c r="R71" s="463">
        <v>27.552500999999996</v>
      </c>
      <c r="S71" s="463">
        <v>29.238969999999998</v>
      </c>
      <c r="T71" s="463">
        <v>31.896778999999995</v>
      </c>
      <c r="U71" s="463">
        <v>30.887446000000001</v>
      </c>
      <c r="V71" s="463">
        <v>38.740089999999995</v>
      </c>
      <c r="W71" s="463">
        <v>37.797632</v>
      </c>
      <c r="X71" s="463">
        <v>41.465030000000006</v>
      </c>
      <c r="Y71" s="463">
        <v>45.668330000000005</v>
      </c>
    </row>
    <row r="72" spans="1:25" ht="9.9499999999999993" customHeight="1">
      <c r="A72" s="453"/>
      <c r="B72" s="453"/>
      <c r="C72" s="417" t="s">
        <v>59</v>
      </c>
      <c r="D72" s="463">
        <v>5.1691899999999995</v>
      </c>
      <c r="E72" s="463">
        <v>5.4518789999999999</v>
      </c>
      <c r="F72" s="463">
        <v>4.1582700000000008</v>
      </c>
      <c r="G72" s="463">
        <v>2.9237500000000001</v>
      </c>
      <c r="H72" s="463">
        <v>3.0472399999999999</v>
      </c>
      <c r="I72" s="463">
        <v>3.7123000000000004</v>
      </c>
      <c r="J72" s="463">
        <v>1.6936500000000001</v>
      </c>
      <c r="K72" s="463">
        <v>5.2903000000000002</v>
      </c>
      <c r="L72" s="463">
        <v>9.6389390000000006</v>
      </c>
      <c r="M72" s="463">
        <v>8.7452099999999984</v>
      </c>
      <c r="N72" s="463">
        <v>10.782249999999999</v>
      </c>
      <c r="O72" s="463">
        <v>27.799420000000001</v>
      </c>
      <c r="P72" s="463">
        <v>14.685229999999999</v>
      </c>
      <c r="Q72" s="463">
        <v>12.0383</v>
      </c>
      <c r="R72" s="463">
        <v>12.88433</v>
      </c>
      <c r="S72" s="463">
        <v>9.7813489999999987</v>
      </c>
      <c r="T72" s="463">
        <v>9.5676000000000005</v>
      </c>
      <c r="U72" s="463">
        <v>6.4324500000000002</v>
      </c>
      <c r="V72" s="463">
        <v>14.554808999999999</v>
      </c>
      <c r="W72" s="463">
        <v>24.402500000000003</v>
      </c>
      <c r="X72" s="463">
        <v>22.80499</v>
      </c>
      <c r="Y72" s="463">
        <v>21.451598999999998</v>
      </c>
    </row>
    <row r="73" spans="1:25" ht="9.9499999999999993" customHeight="1">
      <c r="A73" s="453"/>
      <c r="B73" s="453"/>
      <c r="C73" s="417" t="s">
        <v>186</v>
      </c>
      <c r="D73" s="463">
        <v>2.3860000000000001</v>
      </c>
      <c r="E73" s="463">
        <v>1.70865</v>
      </c>
      <c r="F73" s="463">
        <v>0.77770000000000006</v>
      </c>
      <c r="G73" s="463">
        <v>0.86754999999999993</v>
      </c>
      <c r="H73" s="463">
        <v>3.972</v>
      </c>
      <c r="I73" s="463">
        <v>11.183</v>
      </c>
      <c r="J73" s="463">
        <v>6.6463999999999999</v>
      </c>
      <c r="K73" s="463">
        <v>4.4998000000000005</v>
      </c>
      <c r="L73" s="463">
        <v>1.5840000000000001</v>
      </c>
      <c r="M73" s="463">
        <v>1.24</v>
      </c>
      <c r="N73" s="463">
        <v>1.9472</v>
      </c>
      <c r="O73" s="463">
        <v>4.8281999999999998</v>
      </c>
      <c r="P73" s="463">
        <v>4.6651999999999996</v>
      </c>
      <c r="Q73" s="463">
        <v>6.7731000000000003</v>
      </c>
      <c r="R73" s="463">
        <v>4.5757000000000003</v>
      </c>
      <c r="S73" s="463">
        <v>14.52134</v>
      </c>
      <c r="T73" s="463">
        <v>19.316230000000001</v>
      </c>
      <c r="U73" s="463">
        <v>3.2882200000000004</v>
      </c>
      <c r="V73" s="463">
        <v>2.2538499999999999</v>
      </c>
      <c r="W73" s="463">
        <v>3.3621000000000003</v>
      </c>
      <c r="X73" s="463">
        <v>4.0978000000000003</v>
      </c>
      <c r="Y73" s="463">
        <v>3.9434999999999989</v>
      </c>
    </row>
    <row r="74" spans="1:25" ht="9.9499999999999993" customHeight="1">
      <c r="A74" s="453"/>
      <c r="B74" s="453"/>
      <c r="C74" s="417" t="s">
        <v>187</v>
      </c>
      <c r="D74" s="463">
        <v>7.1726139999999994</v>
      </c>
      <c r="E74" s="463">
        <v>6.7422790000000008</v>
      </c>
      <c r="F74" s="463">
        <v>9.004620000000001</v>
      </c>
      <c r="G74" s="463">
        <v>9.534180000000001</v>
      </c>
      <c r="H74" s="463">
        <v>8.5987089999999995</v>
      </c>
      <c r="I74" s="463">
        <v>9.9726599999999994</v>
      </c>
      <c r="J74" s="463">
        <v>9.2738999999999994</v>
      </c>
      <c r="K74" s="463">
        <v>10.707840000000001</v>
      </c>
      <c r="L74" s="463">
        <v>8.537312</v>
      </c>
      <c r="M74" s="463">
        <v>10.221590000000001</v>
      </c>
      <c r="N74" s="463">
        <v>9.0402999999999984</v>
      </c>
      <c r="O74" s="463">
        <v>9.6337479999999989</v>
      </c>
      <c r="P74" s="463">
        <v>10.216559999999999</v>
      </c>
      <c r="Q74" s="463">
        <v>10.404860000000001</v>
      </c>
      <c r="R74" s="463">
        <v>12.303839</v>
      </c>
      <c r="S74" s="463">
        <v>12.660038</v>
      </c>
      <c r="T74" s="463">
        <v>17.185919000000002</v>
      </c>
      <c r="U74" s="463">
        <v>15.331880000000002</v>
      </c>
      <c r="V74" s="463">
        <v>16.678650000000001</v>
      </c>
      <c r="W74" s="463">
        <v>17.98696</v>
      </c>
      <c r="X74" s="463">
        <v>19.73771</v>
      </c>
      <c r="Y74" s="463">
        <v>14.916464</v>
      </c>
    </row>
    <row r="75" spans="1:25" ht="9.9499999999999993" customHeight="1">
      <c r="A75" s="453"/>
      <c r="B75" s="453"/>
      <c r="C75" s="417" t="s">
        <v>127</v>
      </c>
      <c r="D75" s="463">
        <v>5.2152190000000003</v>
      </c>
      <c r="E75" s="463">
        <v>4.8300700000000001</v>
      </c>
      <c r="F75" s="463">
        <v>3.4362799999999996</v>
      </c>
      <c r="G75" s="463">
        <v>3.5071999999999997</v>
      </c>
      <c r="H75" s="463">
        <v>5.2987600000000006</v>
      </c>
      <c r="I75" s="463">
        <v>6.7294000000000009</v>
      </c>
      <c r="J75" s="463">
        <v>6.5493999999999994</v>
      </c>
      <c r="K75" s="463">
        <v>7.0749990000000009</v>
      </c>
      <c r="L75" s="463">
        <v>9.516489</v>
      </c>
      <c r="M75" s="463">
        <v>7.931160000000002</v>
      </c>
      <c r="N75" s="463">
        <v>10.978498000000002</v>
      </c>
      <c r="O75" s="463">
        <v>11.21955</v>
      </c>
      <c r="P75" s="463">
        <v>11.522771000000001</v>
      </c>
      <c r="Q75" s="463">
        <v>12.641107999999999</v>
      </c>
      <c r="R75" s="463">
        <v>11.395867999999998</v>
      </c>
      <c r="S75" s="463">
        <v>13.019689</v>
      </c>
      <c r="T75" s="463">
        <v>13.850415</v>
      </c>
      <c r="U75" s="463">
        <v>16.193309999999997</v>
      </c>
      <c r="V75" s="463">
        <v>16.123690000000003</v>
      </c>
      <c r="W75" s="463">
        <v>16.520233000000001</v>
      </c>
      <c r="X75" s="463">
        <v>18.093366999999997</v>
      </c>
      <c r="Y75" s="463">
        <v>12.649295</v>
      </c>
    </row>
    <row r="76" spans="1:25" ht="9.9499999999999993" customHeight="1">
      <c r="A76" s="453"/>
      <c r="B76" s="453"/>
      <c r="C76" s="417" t="s">
        <v>188</v>
      </c>
      <c r="D76" s="463">
        <v>0.77063999999999999</v>
      </c>
      <c r="E76" s="463">
        <v>0.15722999999999998</v>
      </c>
      <c r="F76" s="463">
        <v>0.16037800000000002</v>
      </c>
      <c r="G76" s="463">
        <v>0.14978999999999998</v>
      </c>
      <c r="H76" s="463">
        <v>0.15971000000000002</v>
      </c>
      <c r="I76" s="463">
        <v>0.24760200000000002</v>
      </c>
      <c r="J76" s="463">
        <v>0.19983999999999999</v>
      </c>
      <c r="K76" s="463">
        <v>0.16090399999999999</v>
      </c>
      <c r="L76" s="463">
        <v>0.45045400000000002</v>
      </c>
      <c r="M76" s="463">
        <v>0.17624799999999999</v>
      </c>
      <c r="N76" s="463">
        <v>0.17152400000000001</v>
      </c>
      <c r="O76" s="463">
        <v>0.16534599999999999</v>
      </c>
      <c r="P76" s="463">
        <v>0.22855200000000003</v>
      </c>
      <c r="Q76" s="463">
        <v>0.28773699999999997</v>
      </c>
      <c r="R76" s="463">
        <v>0.24579100000000001</v>
      </c>
      <c r="S76" s="463">
        <v>0.29517200000000005</v>
      </c>
      <c r="T76" s="463">
        <v>0.26874300000000001</v>
      </c>
      <c r="U76" s="463">
        <v>0.30054799999999998</v>
      </c>
      <c r="V76" s="463">
        <v>0.43802800000000003</v>
      </c>
      <c r="W76" s="463">
        <v>0.63102800000000003</v>
      </c>
      <c r="X76" s="463">
        <v>0.48986400000000002</v>
      </c>
      <c r="Y76" s="463">
        <v>0.46757299999999996</v>
      </c>
    </row>
    <row r="77" spans="1:25" ht="9.9499999999999993" customHeight="1">
      <c r="A77" s="453"/>
      <c r="B77" s="453"/>
      <c r="C77" s="417" t="s">
        <v>189</v>
      </c>
      <c r="D77" s="463">
        <v>0.374</v>
      </c>
      <c r="E77" s="463">
        <v>0.35324</v>
      </c>
      <c r="F77" s="463">
        <v>0.32600000000000001</v>
      </c>
      <c r="G77" s="463">
        <v>0.22900000000000001</v>
      </c>
      <c r="H77" s="463">
        <v>0.14099999999999999</v>
      </c>
      <c r="I77" s="463">
        <v>3.7999999999999999E-2</v>
      </c>
      <c r="J77" s="463">
        <v>9.4799999999999995E-2</v>
      </c>
      <c r="K77" s="463">
        <v>5.21E-2</v>
      </c>
      <c r="L77" s="463">
        <v>1.8380000000000004E-2</v>
      </c>
      <c r="M77" s="463">
        <v>0.17949999999999999</v>
      </c>
      <c r="N77" s="463">
        <v>8.0000000000000002E-3</v>
      </c>
      <c r="O77" s="463">
        <v>1.7000000000000001E-2</v>
      </c>
      <c r="P77" s="463">
        <v>0.01</v>
      </c>
      <c r="Q77" s="463">
        <v>7.1999999999999995E-2</v>
      </c>
      <c r="R77" s="463">
        <v>7.0000000000000001E-3</v>
      </c>
      <c r="S77" s="463">
        <v>0.03</v>
      </c>
      <c r="T77" s="463">
        <v>0.03</v>
      </c>
      <c r="U77" s="463">
        <v>1.2999999999999999E-2</v>
      </c>
      <c r="V77" s="463">
        <v>2.8000000000000001E-2</v>
      </c>
      <c r="W77" s="463">
        <v>3.5518999999999995E-2</v>
      </c>
      <c r="X77" s="463">
        <v>8.9999999999999993E-3</v>
      </c>
      <c r="Y77" s="463">
        <v>7.0499999999999993E-2</v>
      </c>
    </row>
    <row r="78" spans="1:25" ht="9.9499999999999993" customHeight="1">
      <c r="A78" s="453"/>
      <c r="B78" s="453"/>
      <c r="C78" s="417" t="s">
        <v>50</v>
      </c>
      <c r="D78" s="463">
        <v>10.8499</v>
      </c>
      <c r="E78" s="463">
        <v>11.819618999999999</v>
      </c>
      <c r="F78" s="463">
        <v>6.3054399999999999</v>
      </c>
      <c r="G78" s="463">
        <v>6.7064899999999996</v>
      </c>
      <c r="H78" s="463">
        <v>9.0579999999999998</v>
      </c>
      <c r="I78" s="463">
        <v>9.0084999999999997</v>
      </c>
      <c r="J78" s="463">
        <v>7.407</v>
      </c>
      <c r="K78" s="463">
        <v>8.4130500000000001</v>
      </c>
      <c r="L78" s="463">
        <v>8.7568000000000001</v>
      </c>
      <c r="M78" s="463">
        <v>7.7980999999999998</v>
      </c>
      <c r="N78" s="463">
        <v>9.07395</v>
      </c>
      <c r="O78" s="463">
        <v>10.059830000000002</v>
      </c>
      <c r="P78" s="463">
        <v>9.4898679999999995</v>
      </c>
      <c r="Q78" s="463">
        <v>10.722798999999998</v>
      </c>
      <c r="R78" s="463">
        <v>11.481856000000001</v>
      </c>
      <c r="S78" s="463">
        <v>10.95168</v>
      </c>
      <c r="T78" s="463">
        <v>10.173569000000001</v>
      </c>
      <c r="U78" s="463">
        <v>9.1129999999999995</v>
      </c>
      <c r="V78" s="463">
        <v>9.9842169999999992</v>
      </c>
      <c r="W78" s="463">
        <v>8.492919999999998</v>
      </c>
      <c r="X78" s="463">
        <v>8.8746199999999984</v>
      </c>
      <c r="Y78" s="463">
        <v>11.488469</v>
      </c>
    </row>
    <row r="79" spans="1:25" ht="9.9499999999999993" customHeight="1">
      <c r="A79" s="453"/>
      <c r="B79" s="453"/>
      <c r="C79" s="417" t="s">
        <v>208</v>
      </c>
      <c r="D79" s="463">
        <v>4.1195000000000004</v>
      </c>
      <c r="E79" s="463">
        <v>3.5487579999999999</v>
      </c>
      <c r="F79" s="463">
        <v>2.9359000000000002</v>
      </c>
      <c r="G79" s="463">
        <v>1.76284</v>
      </c>
      <c r="H79" s="463">
        <v>1.3905000000000001</v>
      </c>
      <c r="I79" s="463">
        <v>5.3724999999999996</v>
      </c>
      <c r="J79" s="463">
        <v>6.1406499999999999</v>
      </c>
      <c r="K79" s="463">
        <v>7.0820699999999999</v>
      </c>
      <c r="L79" s="463">
        <v>9.6387599999999996</v>
      </c>
      <c r="M79" s="463">
        <v>12.459239999999999</v>
      </c>
      <c r="N79" s="463">
        <v>12.222799999999999</v>
      </c>
      <c r="O79" s="463">
        <v>12.494289</v>
      </c>
      <c r="P79" s="463">
        <v>11.29373</v>
      </c>
      <c r="Q79" s="463">
        <v>11.505478999999999</v>
      </c>
      <c r="R79" s="463">
        <v>11.250818000000001</v>
      </c>
      <c r="S79" s="463">
        <v>10.70125</v>
      </c>
      <c r="T79" s="463">
        <v>9.4465500000000002</v>
      </c>
      <c r="U79" s="463">
        <v>8.1401199999999996</v>
      </c>
      <c r="V79" s="463">
        <v>14.323249000000001</v>
      </c>
      <c r="W79" s="463">
        <v>13.42094</v>
      </c>
      <c r="X79" s="463">
        <v>14.566253999999999</v>
      </c>
      <c r="Y79" s="463">
        <v>13.737824</v>
      </c>
    </row>
    <row r="80" spans="1:25" ht="9.9499999999999993" customHeight="1">
      <c r="A80" s="453"/>
      <c r="B80" s="453"/>
      <c r="C80" s="417" t="s">
        <v>209</v>
      </c>
      <c r="D80" s="463">
        <v>1.7370779999999999</v>
      </c>
      <c r="E80" s="463">
        <v>2.0156499999999999</v>
      </c>
      <c r="F80" s="463">
        <v>0.79835900000000004</v>
      </c>
      <c r="G80" s="463">
        <v>1.1766500000000002</v>
      </c>
      <c r="H80" s="463">
        <v>0.94746000000000019</v>
      </c>
      <c r="I80" s="463">
        <v>0.9478700000000001</v>
      </c>
      <c r="J80" s="463">
        <v>0.79147000000000001</v>
      </c>
      <c r="K80" s="463">
        <v>1.009825</v>
      </c>
      <c r="L80" s="463">
        <v>0.91139899999999996</v>
      </c>
      <c r="M80" s="463">
        <v>0.83597500000000002</v>
      </c>
      <c r="N80" s="463">
        <v>1.011779</v>
      </c>
      <c r="O80" s="463">
        <v>0.40549000000000002</v>
      </c>
      <c r="P80" s="463">
        <v>1.0127189999999999</v>
      </c>
      <c r="Q80" s="463">
        <v>1.20075</v>
      </c>
      <c r="R80" s="463">
        <v>0.78661000000000003</v>
      </c>
      <c r="S80" s="463">
        <v>0.55600899999999998</v>
      </c>
      <c r="T80" s="463">
        <v>0.61060999999999999</v>
      </c>
      <c r="U80" s="463">
        <v>0.53673000000000004</v>
      </c>
      <c r="V80" s="463">
        <v>0.49271000000000009</v>
      </c>
      <c r="W80" s="463">
        <v>0.33289000000000002</v>
      </c>
      <c r="X80" s="463">
        <v>0.54049999999999998</v>
      </c>
      <c r="Y80" s="463">
        <v>0.51903900000000003</v>
      </c>
    </row>
    <row r="81" spans="1:25" ht="9.9499999999999993" customHeight="1">
      <c r="A81" s="453"/>
      <c r="B81" s="453"/>
      <c r="C81" s="417" t="s">
        <v>210</v>
      </c>
      <c r="D81" s="463">
        <v>3.9714999999999998</v>
      </c>
      <c r="E81" s="463">
        <v>3.8559000000000001</v>
      </c>
      <c r="F81" s="463">
        <v>3.8450000000000002</v>
      </c>
      <c r="G81" s="463">
        <v>3.9249999999999998</v>
      </c>
      <c r="H81" s="463">
        <v>0.72799999999999998</v>
      </c>
      <c r="I81" s="463">
        <v>2.194</v>
      </c>
      <c r="J81" s="463">
        <v>3.6139999999999999</v>
      </c>
      <c r="K81" s="463">
        <v>2.4291499999999999</v>
      </c>
      <c r="L81" s="463">
        <v>2.581</v>
      </c>
      <c r="M81" s="463">
        <v>1.8766080000000001</v>
      </c>
      <c r="N81" s="463">
        <v>2.0390890000000002</v>
      </c>
      <c r="O81" s="463">
        <v>2.1192890000000002</v>
      </c>
      <c r="P81" s="463">
        <v>2.37365</v>
      </c>
      <c r="Q81" s="463">
        <v>3.34138</v>
      </c>
      <c r="R81" s="463">
        <v>2.8476089999999998</v>
      </c>
      <c r="S81" s="463">
        <v>2.7491650000000001</v>
      </c>
      <c r="T81" s="463">
        <v>2.4225699999999999</v>
      </c>
      <c r="U81" s="463">
        <v>1.6664400000000001</v>
      </c>
      <c r="V81" s="463">
        <v>0.57838999999999985</v>
      </c>
      <c r="W81" s="463">
        <v>1.086959</v>
      </c>
      <c r="X81" s="463">
        <v>1.0960840000000001</v>
      </c>
      <c r="Y81" s="463">
        <v>1.132555</v>
      </c>
    </row>
    <row r="82" spans="1:25" ht="9.9499999999999993" customHeight="1">
      <c r="A82" s="453"/>
      <c r="B82" s="457" t="s">
        <v>212</v>
      </c>
      <c r="C82" s="467"/>
      <c r="D82" s="458"/>
      <c r="E82" s="458"/>
      <c r="F82" s="458"/>
      <c r="G82" s="458"/>
      <c r="H82" s="458"/>
      <c r="I82" s="458"/>
      <c r="J82" s="458"/>
      <c r="K82" s="458"/>
      <c r="L82" s="458"/>
      <c r="M82" s="458"/>
      <c r="N82" s="458"/>
      <c r="O82" s="458"/>
      <c r="P82" s="458"/>
      <c r="Q82" s="458"/>
      <c r="R82" s="458"/>
      <c r="S82" s="458"/>
      <c r="T82" s="458"/>
      <c r="U82" s="458"/>
      <c r="V82" s="458"/>
      <c r="W82" s="458"/>
      <c r="X82" s="458"/>
      <c r="Y82" s="458"/>
    </row>
    <row r="83" spans="1:25" ht="9.9499999999999993" customHeight="1">
      <c r="A83" s="453"/>
      <c r="B83" s="453"/>
      <c r="C83" s="467" t="s">
        <v>302</v>
      </c>
      <c r="D83" s="463">
        <v>298.04756880510115</v>
      </c>
      <c r="E83" s="463">
        <v>301.93249400000002</v>
      </c>
      <c r="F83" s="463">
        <v>325.14629999999994</v>
      </c>
      <c r="G83" s="463">
        <v>349.0138047379304</v>
      </c>
      <c r="H83" s="463">
        <v>345.91073999999992</v>
      </c>
      <c r="I83" s="463">
        <v>376.86051597347341</v>
      </c>
      <c r="J83" s="463">
        <v>403.02247080616661</v>
      </c>
      <c r="K83" s="463">
        <v>460.36018260435173</v>
      </c>
      <c r="L83" s="463">
        <v>506.50191027218102</v>
      </c>
      <c r="M83" s="463">
        <v>563.90257675271425</v>
      </c>
      <c r="N83" s="463">
        <v>592.6308256143742</v>
      </c>
      <c r="O83" s="463">
        <v>672.34134266535909</v>
      </c>
      <c r="P83" s="463">
        <v>718.17315051190053</v>
      </c>
      <c r="Q83" s="463">
        <v>742.90445647414265</v>
      </c>
      <c r="R83" s="463">
        <v>783.13889088308349</v>
      </c>
      <c r="S83" s="463">
        <v>845.74483882949517</v>
      </c>
      <c r="T83" s="463">
        <v>883.66608968431603</v>
      </c>
      <c r="U83" s="463">
        <v>907.67328366218942</v>
      </c>
      <c r="V83" s="463">
        <v>989.62750014599612</v>
      </c>
      <c r="W83" s="463">
        <v>1037.3647598812079</v>
      </c>
      <c r="X83" s="463">
        <v>1047.4501544915236</v>
      </c>
      <c r="Y83" s="463">
        <v>1040.9999397383333</v>
      </c>
    </row>
    <row r="84" spans="1:25" ht="9.9499999999999993" customHeight="1">
      <c r="A84" s="461"/>
      <c r="B84" s="454"/>
      <c r="C84" s="468" t="s">
        <v>304</v>
      </c>
      <c r="D84" s="463">
        <v>41.013027499999993</v>
      </c>
      <c r="E84" s="463">
        <v>41.199247499999991</v>
      </c>
      <c r="F84" s="463">
        <v>40.934625499999996</v>
      </c>
      <c r="G84" s="463">
        <v>41.252364037625</v>
      </c>
      <c r="H84" s="463">
        <v>43.399890473164426</v>
      </c>
      <c r="I84" s="463">
        <v>43.348720441942106</v>
      </c>
      <c r="J84" s="463">
        <v>43.671199932333323</v>
      </c>
      <c r="K84" s="463">
        <v>43.585391950363324</v>
      </c>
      <c r="L84" s="463">
        <v>42.565711318611108</v>
      </c>
      <c r="M84" s="463">
        <v>42.373622528903482</v>
      </c>
      <c r="N84" s="463">
        <v>43.422445188452244</v>
      </c>
      <c r="O84" s="463">
        <v>43.736773054888978</v>
      </c>
      <c r="P84" s="463">
        <v>45.069336628967299</v>
      </c>
      <c r="Q84" s="463">
        <v>44.587161284500006</v>
      </c>
      <c r="R84" s="463">
        <v>43.353059942230452</v>
      </c>
      <c r="S84" s="463">
        <v>41.45068620155476</v>
      </c>
      <c r="T84" s="463">
        <v>42.894541052318118</v>
      </c>
      <c r="U84" s="463">
        <v>42.178746329075445</v>
      </c>
      <c r="V84" s="463">
        <v>42.700948139382852</v>
      </c>
      <c r="W84" s="463">
        <v>42.768728682624179</v>
      </c>
      <c r="X84" s="463">
        <v>40.864173628089105</v>
      </c>
      <c r="Y84" s="463">
        <v>41.567057290450137</v>
      </c>
    </row>
    <row r="85" spans="1:25" ht="9.9499999999999993" customHeight="1">
      <c r="A85" s="453"/>
      <c r="B85" s="453"/>
      <c r="C85" s="467" t="s">
        <v>294</v>
      </c>
      <c r="D85" s="463">
        <v>60.221514666666671</v>
      </c>
      <c r="E85" s="463">
        <v>61.013675999999997</v>
      </c>
      <c r="F85" s="463">
        <v>60.891573133333324</v>
      </c>
      <c r="G85" s="463">
        <v>61.616140618133343</v>
      </c>
      <c r="H85" s="463">
        <v>64.169909939133333</v>
      </c>
      <c r="I85" s="463">
        <v>66.821512883652787</v>
      </c>
      <c r="J85" s="463">
        <v>69.896260686073333</v>
      </c>
      <c r="K85" s="463">
        <v>72.74007972622222</v>
      </c>
      <c r="L85" s="463">
        <v>72.926596558000028</v>
      </c>
      <c r="M85" s="463">
        <v>72.39604478759199</v>
      </c>
      <c r="N85" s="463">
        <v>74.172109179533422</v>
      </c>
      <c r="O85" s="463">
        <v>76.708037117721673</v>
      </c>
      <c r="P85" s="463">
        <v>79.294059790832762</v>
      </c>
      <c r="Q85" s="463">
        <v>82.932233945333365</v>
      </c>
      <c r="R85" s="463">
        <v>87.430804727928418</v>
      </c>
      <c r="S85" s="463">
        <v>93.355379946543081</v>
      </c>
      <c r="T85" s="463">
        <v>95.827691298713361</v>
      </c>
      <c r="U85" s="463">
        <v>102.73094696755327</v>
      </c>
      <c r="V85" s="463">
        <v>106.30432553250679</v>
      </c>
      <c r="W85" s="463">
        <v>111.25278453190005</v>
      </c>
      <c r="X85" s="463">
        <v>110.07323713108329</v>
      </c>
      <c r="Y85" s="463">
        <v>112.90291863271736</v>
      </c>
    </row>
    <row r="86" spans="1:25" ht="9.9499999999999993" customHeight="1">
      <c r="A86" s="453"/>
      <c r="B86" s="453"/>
      <c r="C86" s="467" t="s">
        <v>101</v>
      </c>
      <c r="D86" s="463">
        <v>127.55579019607843</v>
      </c>
      <c r="E86" s="463">
        <v>126.61465882352944</v>
      </c>
      <c r="F86" s="463">
        <v>132.39557829411763</v>
      </c>
      <c r="G86" s="463">
        <v>135.81602896434424</v>
      </c>
      <c r="H86" s="463">
        <v>137.30085209204111</v>
      </c>
      <c r="I86" s="463">
        <v>146.40029885430877</v>
      </c>
      <c r="J86" s="463">
        <v>157.79517098888334</v>
      </c>
      <c r="K86" s="463">
        <v>159.18528562809084</v>
      </c>
      <c r="L86" s="463">
        <v>160.29522671919784</v>
      </c>
      <c r="M86" s="463">
        <v>161.37087412948895</v>
      </c>
      <c r="N86" s="463">
        <v>168.49063205101663</v>
      </c>
      <c r="O86" s="463">
        <v>175.18898092274338</v>
      </c>
      <c r="P86" s="463">
        <v>185.07184081161466</v>
      </c>
      <c r="Q86" s="463">
        <v>188.57936829078542</v>
      </c>
      <c r="R86" s="463">
        <v>189.78256707988086</v>
      </c>
      <c r="S86" s="463">
        <v>190.10390120484254</v>
      </c>
      <c r="T86" s="463">
        <v>187.38077379587511</v>
      </c>
      <c r="U86" s="463">
        <v>185.68674031511395</v>
      </c>
      <c r="V86" s="463">
        <v>185.56418741427217</v>
      </c>
      <c r="W86" s="463">
        <v>189.33869148111697</v>
      </c>
      <c r="X86" s="463">
        <v>180.47861684974069</v>
      </c>
      <c r="Y86" s="463">
        <v>183.42367957212124</v>
      </c>
    </row>
    <row r="87" spans="1:25" ht="9.9499999999999993" customHeight="1">
      <c r="A87" s="453"/>
      <c r="B87" s="453"/>
      <c r="C87" s="467" t="s">
        <v>103</v>
      </c>
      <c r="D87" s="463">
        <v>7.8188650000000006</v>
      </c>
      <c r="E87" s="463">
        <v>7.7114500000000001</v>
      </c>
      <c r="F87" s="463">
        <v>7.2643516750000012</v>
      </c>
      <c r="G87" s="463">
        <v>7.8714882978372254</v>
      </c>
      <c r="H87" s="463">
        <v>7.9372923724569997</v>
      </c>
      <c r="I87" s="463">
        <v>8.115059235320512</v>
      </c>
      <c r="J87" s="463">
        <v>8.1096378655555554</v>
      </c>
      <c r="K87" s="463">
        <v>8.4283889620832841</v>
      </c>
      <c r="L87" s="463">
        <v>7.8644187066666653</v>
      </c>
      <c r="M87" s="463">
        <v>7.5561723595808479</v>
      </c>
      <c r="N87" s="463">
        <v>7.5750838716206337</v>
      </c>
      <c r="O87" s="463">
        <v>7.7901408212792802</v>
      </c>
      <c r="P87" s="463">
        <v>7.9960827873630107</v>
      </c>
      <c r="Q87" s="463">
        <v>8.2664199616978085</v>
      </c>
      <c r="R87" s="463">
        <v>7.8899037794830678</v>
      </c>
      <c r="S87" s="463">
        <v>7.4812269552292783</v>
      </c>
      <c r="T87" s="463">
        <v>7.3696964305806842</v>
      </c>
      <c r="U87" s="463">
        <v>6.6725881113712511</v>
      </c>
      <c r="V87" s="463">
        <v>6.030838838671424</v>
      </c>
      <c r="W87" s="463">
        <v>6.3743009978515293</v>
      </c>
      <c r="X87" s="463">
        <v>6.1899793556701974</v>
      </c>
      <c r="Y87" s="463">
        <v>6.2081772929525236</v>
      </c>
    </row>
    <row r="88" spans="1:25" ht="9.9499999999999993" customHeight="1">
      <c r="A88" s="453"/>
      <c r="B88" s="453"/>
      <c r="C88" s="467" t="s">
        <v>105</v>
      </c>
      <c r="D88" s="463">
        <v>8.9720444444444443</v>
      </c>
      <c r="E88" s="463">
        <v>9.4083999999999985</v>
      </c>
      <c r="F88" s="463">
        <v>9.6804068888888875</v>
      </c>
      <c r="G88" s="463">
        <v>9.6960125534333343</v>
      </c>
      <c r="H88" s="463">
        <v>9.8252506563888868</v>
      </c>
      <c r="I88" s="463">
        <v>10.42656509575</v>
      </c>
      <c r="J88" s="463">
        <v>10.716866188666668</v>
      </c>
      <c r="K88" s="463">
        <v>11.089543501805556</v>
      </c>
      <c r="L88" s="463">
        <v>11.02949379888889</v>
      </c>
      <c r="M88" s="463">
        <v>11.846810671111111</v>
      </c>
      <c r="N88" s="463">
        <v>12.344479399567899</v>
      </c>
      <c r="O88" s="463">
        <v>13.152578690555554</v>
      </c>
      <c r="P88" s="463">
        <v>13.812251479780661</v>
      </c>
      <c r="Q88" s="463">
        <v>14.215930909777777</v>
      </c>
      <c r="R88" s="463">
        <v>14.626308032222221</v>
      </c>
      <c r="S88" s="463">
        <v>13.914857320333333</v>
      </c>
      <c r="T88" s="463">
        <v>14.732453677861109</v>
      </c>
      <c r="U88" s="463">
        <v>15.143166750987653</v>
      </c>
      <c r="V88" s="463">
        <v>14.96954650197531</v>
      </c>
      <c r="W88" s="463">
        <v>14.964322974320988</v>
      </c>
      <c r="X88" s="463">
        <v>14.709558023174603</v>
      </c>
      <c r="Y88" s="463">
        <v>15.127823016953611</v>
      </c>
    </row>
    <row r="89" spans="1:25" ht="9.9499999999999993" customHeight="1">
      <c r="A89" s="453"/>
      <c r="B89" s="453"/>
      <c r="C89" s="467" t="s">
        <v>107</v>
      </c>
      <c r="D89" s="463">
        <v>3.6875333333333331</v>
      </c>
      <c r="E89" s="463">
        <v>3.8218666666666663</v>
      </c>
      <c r="F89" s="463">
        <v>3.6525102222222228</v>
      </c>
      <c r="G89" s="463">
        <v>4.0470050959839998</v>
      </c>
      <c r="H89" s="463">
        <v>4.2720090244444444</v>
      </c>
      <c r="I89" s="463">
        <v>4.5335391800000009</v>
      </c>
      <c r="J89" s="463">
        <v>4.4870622622222216</v>
      </c>
      <c r="K89" s="463">
        <v>4.7803484459259256</v>
      </c>
      <c r="L89" s="463">
        <v>4.5177097028395066</v>
      </c>
      <c r="M89" s="463">
        <v>4.7692592366666666</v>
      </c>
      <c r="N89" s="463">
        <v>4.6595556833333323</v>
      </c>
      <c r="O89" s="463">
        <v>4.7407135751333334</v>
      </c>
      <c r="P89" s="463">
        <v>5.0563211262302303</v>
      </c>
      <c r="Q89" s="463">
        <v>4.8912404411111119</v>
      </c>
      <c r="R89" s="463">
        <v>4.7381777677777777</v>
      </c>
      <c r="S89" s="463">
        <v>4.4312236533333333</v>
      </c>
      <c r="T89" s="463">
        <v>4.667866756444444</v>
      </c>
      <c r="U89" s="463">
        <v>4.6495281011111098</v>
      </c>
      <c r="V89" s="463">
        <v>4.6503821358444446</v>
      </c>
      <c r="W89" s="463">
        <v>4.4591197427386797</v>
      </c>
      <c r="X89" s="463">
        <v>4.3729405538888884</v>
      </c>
      <c r="Y89" s="463">
        <v>4.5680776643002874</v>
      </c>
    </row>
    <row r="90" spans="1:25" ht="9.9499999999999993" customHeight="1">
      <c r="A90" s="453"/>
      <c r="B90" s="453"/>
      <c r="C90" s="467" t="s">
        <v>129</v>
      </c>
      <c r="D90" s="463">
        <v>89.608090974885513</v>
      </c>
      <c r="E90" s="463">
        <v>92.255862923595515</v>
      </c>
      <c r="F90" s="463">
        <v>97.484642002211885</v>
      </c>
      <c r="G90" s="463">
        <v>94.732196904916023</v>
      </c>
      <c r="H90" s="463">
        <v>103.29571539665626</v>
      </c>
      <c r="I90" s="463">
        <v>100.43656933059152</v>
      </c>
      <c r="J90" s="463">
        <v>116.95908509119619</v>
      </c>
      <c r="K90" s="463">
        <v>131.01751590158051</v>
      </c>
      <c r="L90" s="463">
        <v>131.45212366656887</v>
      </c>
      <c r="M90" s="463">
        <v>132.37506727035793</v>
      </c>
      <c r="N90" s="463">
        <v>140.1050909898666</v>
      </c>
      <c r="O90" s="463">
        <v>156.68408049153405</v>
      </c>
      <c r="P90" s="463">
        <v>154.68890622726931</v>
      </c>
      <c r="Q90" s="463">
        <v>173.80477228305449</v>
      </c>
      <c r="R90" s="463">
        <v>176.51812021084109</v>
      </c>
      <c r="S90" s="463">
        <v>192.47111424215947</v>
      </c>
      <c r="T90" s="463">
        <v>197.94550739440072</v>
      </c>
      <c r="U90" s="463">
        <v>207.45463201965663</v>
      </c>
      <c r="V90" s="463">
        <v>216.76227032506227</v>
      </c>
      <c r="W90" s="463">
        <v>242.05701585106263</v>
      </c>
      <c r="X90" s="463">
        <v>246.64367920971131</v>
      </c>
      <c r="Y90" s="463">
        <v>249.77813971860004</v>
      </c>
    </row>
    <row r="91" spans="1:25" ht="9.9499999999999993" customHeight="1">
      <c r="A91" s="453"/>
      <c r="B91" s="453"/>
      <c r="C91" s="467" t="s">
        <v>130</v>
      </c>
      <c r="D91" s="463">
        <v>453.83920977167867</v>
      </c>
      <c r="E91" s="463">
        <v>510.28491930741154</v>
      </c>
      <c r="F91" s="463">
        <v>527.60265851848487</v>
      </c>
      <c r="G91" s="463">
        <v>566.96163463032678</v>
      </c>
      <c r="H91" s="463">
        <v>593.55664794926179</v>
      </c>
      <c r="I91" s="463">
        <v>637.77767868138744</v>
      </c>
      <c r="J91" s="463">
        <v>697.03895727045131</v>
      </c>
      <c r="K91" s="463">
        <v>749.62998549698023</v>
      </c>
      <c r="L91" s="463">
        <v>807.57632470566284</v>
      </c>
      <c r="M91" s="463">
        <v>859.11243981713346</v>
      </c>
      <c r="N91" s="463">
        <v>879.0636810684291</v>
      </c>
      <c r="O91" s="463">
        <v>919.85449774712595</v>
      </c>
      <c r="P91" s="463">
        <v>940.70157645114455</v>
      </c>
      <c r="Q91" s="463">
        <v>944.37457015727443</v>
      </c>
      <c r="R91" s="463">
        <v>968.06419851970577</v>
      </c>
      <c r="S91" s="463">
        <v>983.98109952550317</v>
      </c>
      <c r="T91" s="463">
        <v>1007.1770646229287</v>
      </c>
      <c r="U91" s="463">
        <v>1037.2269527772521</v>
      </c>
      <c r="V91" s="463">
        <v>1069.64354028086</v>
      </c>
      <c r="W91" s="463">
        <v>1100.1122019981924</v>
      </c>
      <c r="X91" s="463">
        <v>1104.3678010363653</v>
      </c>
      <c r="Y91" s="463">
        <v>1126.0496030873387</v>
      </c>
    </row>
    <row r="92" spans="1:25" ht="9.9499999999999993" customHeight="1">
      <c r="A92" s="453"/>
      <c r="B92" s="453"/>
      <c r="C92" s="467" t="s">
        <v>131</v>
      </c>
      <c r="D92" s="463">
        <v>1.5000799999999999</v>
      </c>
      <c r="E92" s="463">
        <v>1.7283899999999999</v>
      </c>
      <c r="F92" s="463">
        <v>1.5494270980719058</v>
      </c>
      <c r="G92" s="463">
        <v>1.5506489760650002</v>
      </c>
      <c r="H92" s="463">
        <v>1.482339458</v>
      </c>
      <c r="I92" s="463">
        <v>1.4932989738333331</v>
      </c>
      <c r="J92" s="463">
        <v>1.4523926485</v>
      </c>
      <c r="K92" s="463">
        <v>1.64138929</v>
      </c>
      <c r="L92" s="463">
        <v>1.8362637732754798</v>
      </c>
      <c r="M92" s="463">
        <v>2.068355151804</v>
      </c>
      <c r="N92" s="463">
        <v>1.9781610326000001</v>
      </c>
      <c r="O92" s="463">
        <v>2.1167164424800005</v>
      </c>
      <c r="P92" s="463">
        <v>2.090280425</v>
      </c>
      <c r="Q92" s="463">
        <v>1.7186943951702716</v>
      </c>
      <c r="R92" s="463">
        <v>1.650799666248</v>
      </c>
      <c r="S92" s="463">
        <v>1.601844305465669</v>
      </c>
      <c r="T92" s="463">
        <v>1.626509871945494</v>
      </c>
      <c r="U92" s="463">
        <v>1.7760256465159454</v>
      </c>
      <c r="V92" s="463">
        <v>1.841159235302789</v>
      </c>
      <c r="W92" s="463">
        <v>1.8035927122019999</v>
      </c>
      <c r="X92" s="463">
        <v>1.7244749020999997</v>
      </c>
      <c r="Y92" s="463">
        <v>1.7169235598400001</v>
      </c>
    </row>
    <row r="93" spans="1:25" ht="9.9499999999999993" customHeight="1">
      <c r="A93" s="453"/>
      <c r="B93" s="453"/>
      <c r="C93" s="467" t="s">
        <v>132</v>
      </c>
      <c r="D93" s="463">
        <v>0.34538999999999997</v>
      </c>
      <c r="E93" s="463">
        <v>0.37969999999999998</v>
      </c>
      <c r="F93" s="463">
        <v>0.33756700000000006</v>
      </c>
      <c r="G93" s="463">
        <v>0.32320141999999996</v>
      </c>
      <c r="H93" s="463">
        <v>0.29764054099999998</v>
      </c>
      <c r="I93" s="463">
        <v>0.267170825</v>
      </c>
      <c r="J93" s="463">
        <v>0.249339852</v>
      </c>
      <c r="K93" s="463">
        <v>0.31982610633983743</v>
      </c>
      <c r="L93" s="463">
        <v>0.33802645165212003</v>
      </c>
      <c r="M93" s="463">
        <v>0.34765765574000007</v>
      </c>
      <c r="N93" s="463">
        <v>0.31648996588239997</v>
      </c>
      <c r="O93" s="463">
        <v>0.32138628799999996</v>
      </c>
      <c r="P93" s="463">
        <v>0.33139195180000003</v>
      </c>
      <c r="Q93" s="463">
        <v>0.31437199451499998</v>
      </c>
      <c r="R93" s="463">
        <v>0.32495217799999992</v>
      </c>
      <c r="S93" s="463">
        <v>0.25258865211199999</v>
      </c>
      <c r="T93" s="463">
        <v>0.2655518516016</v>
      </c>
      <c r="U93" s="463">
        <v>0.29105300987999999</v>
      </c>
      <c r="V93" s="463">
        <v>0.269273851216</v>
      </c>
      <c r="W93" s="463">
        <v>0.26208530849600004</v>
      </c>
      <c r="X93" s="463">
        <v>0.27039061379999996</v>
      </c>
      <c r="Y93" s="463">
        <v>0.27605327563809517</v>
      </c>
    </row>
    <row r="94" spans="1:25" ht="9.9499999999999993" customHeight="1">
      <c r="A94" s="455"/>
      <c r="B94" s="455"/>
      <c r="C94" s="455" t="s">
        <v>200</v>
      </c>
      <c r="D94" s="469">
        <v>9.9984740000000016</v>
      </c>
      <c r="E94" s="469">
        <v>10.436578000000001</v>
      </c>
      <c r="F94" s="469">
        <v>9.6474133999999996</v>
      </c>
      <c r="G94" s="469">
        <v>9.6614673526879997</v>
      </c>
      <c r="H94" s="469">
        <v>9.4916973599999981</v>
      </c>
      <c r="I94" s="469">
        <v>9.1662045370178422</v>
      </c>
      <c r="J94" s="469">
        <v>8.6673303423999997</v>
      </c>
      <c r="K94" s="469">
        <v>8.9144623160999981</v>
      </c>
      <c r="L94" s="469">
        <v>8.2795577415422841</v>
      </c>
      <c r="M94" s="469">
        <v>8.4335136930759997</v>
      </c>
      <c r="N94" s="469">
        <v>8.4291493110510718</v>
      </c>
      <c r="O94" s="469">
        <v>8.3514980100791689</v>
      </c>
      <c r="P94" s="469">
        <v>8.8445695332909047</v>
      </c>
      <c r="Q94" s="469">
        <v>8.2832690692349313</v>
      </c>
      <c r="R94" s="469">
        <v>7.7022151757231079</v>
      </c>
      <c r="S94" s="469">
        <v>6.8196256040501471</v>
      </c>
      <c r="T94" s="469">
        <v>7.3018204418712838</v>
      </c>
      <c r="U94" s="469">
        <v>6.4336701354051149</v>
      </c>
      <c r="V94" s="469">
        <v>6.4488430553812854</v>
      </c>
      <c r="W94" s="469">
        <v>6.2472307317085107</v>
      </c>
      <c r="X94" s="469">
        <v>6.0038385746688876</v>
      </c>
      <c r="Y94" s="469">
        <v>6.4438763024491497</v>
      </c>
    </row>
    <row r="95" spans="1:25" ht="9" customHeight="1">
      <c r="A95" s="113" t="s">
        <v>97</v>
      </c>
      <c r="B95" s="165"/>
      <c r="C95" s="164"/>
      <c r="D95" s="114"/>
      <c r="E95" s="114"/>
      <c r="F95" s="114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9" customHeight="1">
      <c r="A96" s="164" t="s">
        <v>358</v>
      </c>
      <c r="B96" s="165"/>
      <c r="C96" s="164"/>
      <c r="D96" s="114"/>
      <c r="E96" s="114"/>
      <c r="F96" s="114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topLeftCell="B1" zoomScaleNormal="100" workbookViewId="0">
      <selection activeCell="AA44" sqref="AA44"/>
    </sheetView>
  </sheetViews>
  <sheetFormatPr baseColWidth="10" defaultColWidth="14.140625" defaultRowHeight="17.25" customHeight="1"/>
  <cols>
    <col min="1" max="1" width="1.28515625" style="162" customWidth="1"/>
    <col min="2" max="2" width="14.140625" style="162" customWidth="1"/>
    <col min="3" max="23" width="4.85546875" style="162" customWidth="1"/>
    <col min="24" max="16384" width="14.140625" style="162"/>
  </cols>
  <sheetData>
    <row r="1" spans="1:23" s="161" customFormat="1" ht="16.5" customHeight="1">
      <c r="A1" s="15" t="s">
        <v>488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</row>
    <row r="2" spans="1:23" s="161" customFormat="1" ht="3.95" customHeight="1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</row>
    <row r="3" spans="1:23" s="161" customFormat="1" ht="16.5" customHeight="1">
      <c r="A3" s="497" t="s">
        <v>234</v>
      </c>
      <c r="B3" s="498"/>
      <c r="C3" s="411" t="s">
        <v>307</v>
      </c>
      <c r="D3" s="411" t="s">
        <v>308</v>
      </c>
      <c r="E3" s="411" t="s">
        <v>309</v>
      </c>
      <c r="F3" s="411" t="s">
        <v>310</v>
      </c>
      <c r="G3" s="411" t="s">
        <v>311</v>
      </c>
      <c r="H3" s="411" t="s">
        <v>312</v>
      </c>
      <c r="I3" s="411" t="s">
        <v>217</v>
      </c>
      <c r="J3" s="411" t="s">
        <v>218</v>
      </c>
      <c r="K3" s="411" t="s">
        <v>219</v>
      </c>
      <c r="L3" s="411" t="s">
        <v>220</v>
      </c>
      <c r="M3" s="411" t="s">
        <v>221</v>
      </c>
      <c r="N3" s="411" t="s">
        <v>222</v>
      </c>
      <c r="O3" s="411" t="s">
        <v>223</v>
      </c>
      <c r="P3" s="411" t="s">
        <v>224</v>
      </c>
      <c r="Q3" s="411" t="s">
        <v>225</v>
      </c>
      <c r="R3" s="411" t="s">
        <v>226</v>
      </c>
      <c r="S3" s="411" t="s">
        <v>498</v>
      </c>
      <c r="T3" s="411" t="s">
        <v>499</v>
      </c>
      <c r="U3" s="411" t="s">
        <v>149</v>
      </c>
      <c r="V3" s="411" t="s">
        <v>343</v>
      </c>
      <c r="W3" s="411" t="s">
        <v>354</v>
      </c>
    </row>
    <row r="4" spans="1:23" s="161" customFormat="1" ht="14.1" customHeight="1">
      <c r="A4" s="499" t="s">
        <v>90</v>
      </c>
      <c r="B4" s="500"/>
      <c r="C4" s="412">
        <v>0.60201615287334143</v>
      </c>
      <c r="D4" s="412">
        <v>6.7429608404929509</v>
      </c>
      <c r="E4" s="412">
        <v>2.5263584440406328</v>
      </c>
      <c r="F4" s="412">
        <v>-1.1776754607290996</v>
      </c>
      <c r="G4" s="412">
        <v>6.596333234474816</v>
      </c>
      <c r="H4" s="412">
        <v>5.4106989588825094</v>
      </c>
      <c r="I4" s="412">
        <v>4.4964854724602432</v>
      </c>
      <c r="J4" s="412">
        <v>7.4753123203432414</v>
      </c>
      <c r="K4" s="412">
        <v>2.8371722637856367</v>
      </c>
      <c r="L4" s="412">
        <v>3.336830828594195</v>
      </c>
      <c r="M4" s="412">
        <v>4.5611508883835139</v>
      </c>
      <c r="N4" s="412">
        <v>6.7104791921783979</v>
      </c>
      <c r="O4" s="412">
        <v>2.3677507365019057</v>
      </c>
      <c r="P4" s="412">
        <v>1.0151776459582429</v>
      </c>
      <c r="Q4" s="412">
        <v>3.3812416476439955</v>
      </c>
      <c r="R4" s="412">
        <v>1.5857648012718384</v>
      </c>
      <c r="S4" s="412">
        <v>0.51652282678167349</v>
      </c>
      <c r="T4" s="412">
        <v>9.4855952736652593</v>
      </c>
      <c r="U4" s="412">
        <v>3.3682084294534453</v>
      </c>
      <c r="V4" s="412">
        <v>2.9553241889197723</v>
      </c>
      <c r="W4" s="412">
        <v>-8.4367131547324892E-2</v>
      </c>
    </row>
    <row r="5" spans="1:23" s="161" customFormat="1" ht="14.1" customHeight="1">
      <c r="A5" s="413" t="s">
        <v>79</v>
      </c>
      <c r="B5" s="414"/>
      <c r="C5" s="415">
        <v>-0.26975110225779808</v>
      </c>
      <c r="D5" s="415">
        <v>7.7190466004526392</v>
      </c>
      <c r="E5" s="415">
        <v>1.7704500167118997</v>
      </c>
      <c r="F5" s="415">
        <v>-2.4928236349971655</v>
      </c>
      <c r="G5" s="415">
        <v>6.8946869256244936</v>
      </c>
      <c r="H5" s="415">
        <v>4.5615491040086775</v>
      </c>
      <c r="I5" s="415">
        <v>2.6211812218232433</v>
      </c>
      <c r="J5" s="415">
        <v>8.4930966966796806</v>
      </c>
      <c r="K5" s="415">
        <v>1.2218091131346975</v>
      </c>
      <c r="L5" s="415">
        <v>2.9318488193330161</v>
      </c>
      <c r="M5" s="415">
        <v>2.3611340368071998</v>
      </c>
      <c r="N5" s="415">
        <v>7.7260600064881224</v>
      </c>
      <c r="O5" s="415">
        <v>1.9501341230551361</v>
      </c>
      <c r="P5" s="415">
        <v>-0.21231714796704493</v>
      </c>
      <c r="Q5" s="415">
        <v>2.4754951243955103</v>
      </c>
      <c r="R5" s="415">
        <v>0.74307065252059434</v>
      </c>
      <c r="S5" s="415">
        <v>-0.5919044732719092</v>
      </c>
      <c r="T5" s="415">
        <v>11.645737037734394</v>
      </c>
      <c r="U5" s="415">
        <v>2.6983921305751224</v>
      </c>
      <c r="V5" s="415">
        <v>4.6262735923105813</v>
      </c>
      <c r="W5" s="415">
        <v>-0.39429143222474705</v>
      </c>
    </row>
    <row r="6" spans="1:23" s="161" customFormat="1" ht="9.9499999999999993" customHeight="1">
      <c r="A6" s="416"/>
      <c r="B6" s="417" t="s">
        <v>280</v>
      </c>
      <c r="C6" s="418">
        <v>13.951354915130111</v>
      </c>
      <c r="D6" s="418">
        <v>4.2438311021493869</v>
      </c>
      <c r="E6" s="418">
        <v>-2.4603750724301321</v>
      </c>
      <c r="F6" s="418">
        <v>-19.944348161910852</v>
      </c>
      <c r="G6" s="418">
        <v>21.823797307081417</v>
      </c>
      <c r="H6" s="418">
        <v>-1.5794366674247162</v>
      </c>
      <c r="I6" s="418">
        <v>16.479153250517076</v>
      </c>
      <c r="J6" s="418">
        <v>7.176140395652908</v>
      </c>
      <c r="K6" s="418">
        <v>13.495846139769663</v>
      </c>
      <c r="L6" s="418">
        <v>-5.0667396140286369</v>
      </c>
      <c r="M6" s="418">
        <v>-22.526948594697238</v>
      </c>
      <c r="N6" s="418">
        <v>30.910573403736173</v>
      </c>
      <c r="O6" s="418">
        <v>6.6314274410830931</v>
      </c>
      <c r="P6" s="418">
        <v>-13.392623527548221</v>
      </c>
      <c r="Q6" s="418">
        <v>9.7086266568153121</v>
      </c>
      <c r="R6" s="418">
        <v>4.0153654554093032</v>
      </c>
      <c r="S6" s="418">
        <v>-17.784881925287543</v>
      </c>
      <c r="T6" s="418">
        <v>26.669268500699971</v>
      </c>
      <c r="U6" s="418">
        <v>-7.3877635691506738</v>
      </c>
      <c r="V6" s="418">
        <v>16.655168044304336</v>
      </c>
      <c r="W6" s="418">
        <v>-7.1298611528193945</v>
      </c>
    </row>
    <row r="7" spans="1:23" s="161" customFormat="1" ht="9.9499999999999993" customHeight="1">
      <c r="A7" s="419"/>
      <c r="B7" s="417" t="s">
        <v>281</v>
      </c>
      <c r="C7" s="418">
        <v>-24.803144062583694</v>
      </c>
      <c r="D7" s="418">
        <v>27.627226004943893</v>
      </c>
      <c r="E7" s="418">
        <v>-0.62625153559079383</v>
      </c>
      <c r="F7" s="418">
        <v>-10.184148241579472</v>
      </c>
      <c r="G7" s="418">
        <v>14.005132277797738</v>
      </c>
      <c r="H7" s="418">
        <v>-6.1705561176639616</v>
      </c>
      <c r="I7" s="418">
        <v>2.1322325109012441</v>
      </c>
      <c r="J7" s="418">
        <v>6.8782112558497088</v>
      </c>
      <c r="K7" s="418">
        <v>3.6848403864685686</v>
      </c>
      <c r="L7" s="418">
        <v>0.46493185966043349</v>
      </c>
      <c r="M7" s="418">
        <v>7.3656283687802082</v>
      </c>
      <c r="N7" s="418">
        <v>11.912788245657758</v>
      </c>
      <c r="O7" s="418">
        <v>2.7191054639247758</v>
      </c>
      <c r="P7" s="418">
        <v>2.3026689636967301</v>
      </c>
      <c r="Q7" s="418">
        <v>2.8577302398531401</v>
      </c>
      <c r="R7" s="418">
        <v>-4.9954951502690363</v>
      </c>
      <c r="S7" s="418">
        <v>3.7974751349979297</v>
      </c>
      <c r="T7" s="418">
        <v>10.367242573744907</v>
      </c>
      <c r="U7" s="418">
        <v>4.0261111158850449</v>
      </c>
      <c r="V7" s="418">
        <v>5.5145474524147087</v>
      </c>
      <c r="W7" s="418">
        <v>2.2068460962326508</v>
      </c>
    </row>
    <row r="8" spans="1:23" s="161" customFormat="1" ht="9.9499999999999993" customHeight="1">
      <c r="A8" s="420"/>
      <c r="B8" s="417" t="s">
        <v>81</v>
      </c>
      <c r="C8" s="418">
        <v>6.1272062541779304</v>
      </c>
      <c r="D8" s="418">
        <v>0.93525811956760574</v>
      </c>
      <c r="E8" s="418">
        <v>-4.99432395592404</v>
      </c>
      <c r="F8" s="418">
        <v>24.658715726937096</v>
      </c>
      <c r="G8" s="418">
        <v>-16.220225988913917</v>
      </c>
      <c r="H8" s="418">
        <v>36.472639174935864</v>
      </c>
      <c r="I8" s="418">
        <v>-18.097157215162351</v>
      </c>
      <c r="J8" s="418">
        <v>29.196270838776716</v>
      </c>
      <c r="K8" s="418">
        <v>-8.3295339130805992</v>
      </c>
      <c r="L8" s="418">
        <v>6.2943548860495024</v>
      </c>
      <c r="M8" s="418">
        <v>20.059453962989735</v>
      </c>
      <c r="N8" s="418">
        <v>-3.7549271552045127</v>
      </c>
      <c r="O8" s="418">
        <v>-17.74082030519174</v>
      </c>
      <c r="P8" s="418">
        <v>-13.759991095481983</v>
      </c>
      <c r="Q8" s="418">
        <v>16.95429862367741</v>
      </c>
      <c r="R8" s="418">
        <v>5.0543721084515214</v>
      </c>
      <c r="S8" s="418">
        <v>18.069877149735603</v>
      </c>
      <c r="T8" s="418">
        <v>10.241007689276227</v>
      </c>
      <c r="U8" s="418">
        <v>-5.1780452096595546</v>
      </c>
      <c r="V8" s="418">
        <v>6.4662414029834636</v>
      </c>
      <c r="W8" s="418">
        <v>-4.7273847567827154</v>
      </c>
    </row>
    <row r="9" spans="1:23" s="161" customFormat="1" ht="9.9499999999999993" customHeight="1">
      <c r="A9" s="420"/>
      <c r="B9" s="417" t="s">
        <v>282</v>
      </c>
      <c r="C9" s="418">
        <v>24.784900531289299</v>
      </c>
      <c r="D9" s="418">
        <v>-1.6655123969306351</v>
      </c>
      <c r="E9" s="418">
        <v>7.1319762635771999</v>
      </c>
      <c r="F9" s="418">
        <v>3.4292323140221015</v>
      </c>
      <c r="G9" s="418">
        <v>9.3769563494894292E-2</v>
      </c>
      <c r="H9" s="418">
        <v>20.163373397408858</v>
      </c>
      <c r="I9" s="418">
        <v>9.3567286907658911</v>
      </c>
      <c r="J9" s="418">
        <v>22.324980735812705</v>
      </c>
      <c r="K9" s="418">
        <v>-11.283870632493652</v>
      </c>
      <c r="L9" s="418">
        <v>7.8094680259440885</v>
      </c>
      <c r="M9" s="418">
        <v>27.147397443338185</v>
      </c>
      <c r="N9" s="418">
        <v>-8.2758308367424256</v>
      </c>
      <c r="O9" s="418">
        <v>0.14578892296630563</v>
      </c>
      <c r="P9" s="418">
        <v>6.4282379931408951</v>
      </c>
      <c r="Q9" s="418">
        <v>2.2090236619407566</v>
      </c>
      <c r="R9" s="418">
        <v>3.6901293691298465</v>
      </c>
      <c r="S9" s="418">
        <v>1.6678563808001368</v>
      </c>
      <c r="T9" s="418">
        <v>-6.1658088958255641</v>
      </c>
      <c r="U9" s="418">
        <v>3.2612877823737119</v>
      </c>
      <c r="V9" s="418">
        <v>5.6146327503895588</v>
      </c>
      <c r="W9" s="418">
        <v>-13.482920812219612</v>
      </c>
    </row>
    <row r="10" spans="1:23" s="161" customFormat="1" ht="9.9499999999999993" customHeight="1">
      <c r="A10" s="420"/>
      <c r="B10" s="417" t="s">
        <v>229</v>
      </c>
      <c r="C10" s="418">
        <v>13.628852426634296</v>
      </c>
      <c r="D10" s="418">
        <v>-7.0736634865379955</v>
      </c>
      <c r="E10" s="418">
        <v>23.080721206185984</v>
      </c>
      <c r="F10" s="418">
        <v>-7.2091559365332847</v>
      </c>
      <c r="G10" s="418">
        <v>-3.4288822739326541</v>
      </c>
      <c r="H10" s="418">
        <v>-8.2827096559766602</v>
      </c>
      <c r="I10" s="418">
        <v>7.1341817073259817</v>
      </c>
      <c r="J10" s="418">
        <v>14.637482755486509</v>
      </c>
      <c r="K10" s="418">
        <v>14.070244565418854</v>
      </c>
      <c r="L10" s="418">
        <v>-5.614342377231063</v>
      </c>
      <c r="M10" s="418">
        <v>-5.2244218143230103</v>
      </c>
      <c r="N10" s="418">
        <v>13.946328209869318</v>
      </c>
      <c r="O10" s="418">
        <v>-5.9039188684934851</v>
      </c>
      <c r="P10" s="418">
        <v>-1.3318969333683373</v>
      </c>
      <c r="Q10" s="418">
        <v>8.8870188784654793</v>
      </c>
      <c r="R10" s="418">
        <v>-10.906973616107384</v>
      </c>
      <c r="S10" s="418">
        <v>-4.0299885980829782</v>
      </c>
      <c r="T10" s="418">
        <v>5.2227852129040464</v>
      </c>
      <c r="U10" s="418">
        <v>-4.4715545010875939</v>
      </c>
      <c r="V10" s="418">
        <v>0.25294131644790774</v>
      </c>
      <c r="W10" s="418">
        <v>5.7283006397612413</v>
      </c>
    </row>
    <row r="11" spans="1:23" s="161" customFormat="1" ht="9.9499999999999993" customHeight="1">
      <c r="A11" s="420"/>
      <c r="B11" s="417" t="s">
        <v>283</v>
      </c>
      <c r="C11" s="418">
        <v>0.70964349104079005</v>
      </c>
      <c r="D11" s="418">
        <v>-0.98557680028636963</v>
      </c>
      <c r="E11" s="418">
        <v>4.8489301407139695</v>
      </c>
      <c r="F11" s="418">
        <v>-0.50522037286093724</v>
      </c>
      <c r="G11" s="418">
        <v>2.9234923471586072</v>
      </c>
      <c r="H11" s="418">
        <v>-4.0096082166439118</v>
      </c>
      <c r="I11" s="418">
        <v>4.8372483125602495</v>
      </c>
      <c r="J11" s="418">
        <v>0.79078488910080402</v>
      </c>
      <c r="K11" s="418">
        <v>5.6025250776165825</v>
      </c>
      <c r="L11" s="418">
        <v>4.0378714196592336</v>
      </c>
      <c r="M11" s="418">
        <v>3.9922657151552743</v>
      </c>
      <c r="N11" s="418">
        <v>3.7025787542986466</v>
      </c>
      <c r="O11" s="418">
        <v>7.0314563731673996</v>
      </c>
      <c r="P11" s="418">
        <v>-3.0430263197219976</v>
      </c>
      <c r="Q11" s="418">
        <v>3.8134706663121021</v>
      </c>
      <c r="R11" s="418">
        <v>-1.8316837114796258</v>
      </c>
      <c r="S11" s="418">
        <v>1.470482840376075</v>
      </c>
      <c r="T11" s="418">
        <v>1.3528848580819153</v>
      </c>
      <c r="U11" s="418">
        <v>4.8972496531359822</v>
      </c>
      <c r="V11" s="418">
        <v>4.8132943970136122</v>
      </c>
      <c r="W11" s="418">
        <v>-4.8763795162132251E-2</v>
      </c>
    </row>
    <row r="12" spans="1:23" s="161" customFormat="1" ht="9.9499999999999993" customHeight="1">
      <c r="A12" s="420"/>
      <c r="B12" s="417" t="s">
        <v>284</v>
      </c>
      <c r="C12" s="418">
        <v>5.9069854268856137</v>
      </c>
      <c r="D12" s="418">
        <v>-1.4094963758905177</v>
      </c>
      <c r="E12" s="418">
        <v>4.6971523583233976</v>
      </c>
      <c r="F12" s="418">
        <v>2.9047233607533807</v>
      </c>
      <c r="G12" s="418">
        <v>1.7551591570948988</v>
      </c>
      <c r="H12" s="418">
        <v>4.4993995832437017</v>
      </c>
      <c r="I12" s="418">
        <v>5.2671853488813758</v>
      </c>
      <c r="J12" s="418">
        <v>-4.1444743289836055</v>
      </c>
      <c r="K12" s="418">
        <v>3.8143087936505005</v>
      </c>
      <c r="L12" s="418">
        <v>6.0942312414102418</v>
      </c>
      <c r="M12" s="418">
        <v>-0.56550445942279426</v>
      </c>
      <c r="N12" s="418">
        <v>5.4881851674119186</v>
      </c>
      <c r="O12" s="418">
        <v>1.4149219624058684</v>
      </c>
      <c r="P12" s="418">
        <v>1.1755930471888609</v>
      </c>
      <c r="Q12" s="418">
        <v>-2.8888669355883967</v>
      </c>
      <c r="R12" s="418">
        <v>-0.78898014877897271</v>
      </c>
      <c r="S12" s="418">
        <v>-4.7049460512159307</v>
      </c>
      <c r="T12" s="418">
        <v>10.845081573092962</v>
      </c>
      <c r="U12" s="418">
        <v>4.8284279299032562</v>
      </c>
      <c r="V12" s="418">
        <v>1.2056345441957106</v>
      </c>
      <c r="W12" s="418">
        <v>-0.88083721204135212</v>
      </c>
    </row>
    <row r="13" spans="1:23" s="161" customFormat="1" ht="9.9499999999999993" customHeight="1">
      <c r="A13" s="420"/>
      <c r="B13" s="417" t="s">
        <v>285</v>
      </c>
      <c r="C13" s="418">
        <v>3.840235271616721</v>
      </c>
      <c r="D13" s="418">
        <v>12.392024986858363</v>
      </c>
      <c r="E13" s="418">
        <v>-7.6110376567292137</v>
      </c>
      <c r="F13" s="418">
        <v>31.024323623232107</v>
      </c>
      <c r="G13" s="418">
        <v>20.103550493152778</v>
      </c>
      <c r="H13" s="418">
        <v>-10.101745643132098</v>
      </c>
      <c r="I13" s="418">
        <v>12.193818302521887</v>
      </c>
      <c r="J13" s="418">
        <v>-20.27171144007799</v>
      </c>
      <c r="K13" s="418">
        <v>-43.225051658898948</v>
      </c>
      <c r="L13" s="418">
        <v>-34.314179728293936</v>
      </c>
      <c r="M13" s="418">
        <v>68.701575859831195</v>
      </c>
      <c r="N13" s="418">
        <v>7.3754723515916165</v>
      </c>
      <c r="O13" s="418">
        <v>-26.705805838013873</v>
      </c>
      <c r="P13" s="418">
        <v>7.8766754754675983</v>
      </c>
      <c r="Q13" s="418">
        <v>-17.090701382901308</v>
      </c>
      <c r="R13" s="418">
        <v>-30.596707983996652</v>
      </c>
      <c r="S13" s="418">
        <v>-52.762550762618766</v>
      </c>
      <c r="T13" s="418">
        <v>59.97068665395684</v>
      </c>
      <c r="U13" s="418">
        <v>36.886853826292068</v>
      </c>
      <c r="V13" s="418">
        <v>-63.865644854606529</v>
      </c>
      <c r="W13" s="418">
        <v>-38.144852530273397</v>
      </c>
    </row>
    <row r="14" spans="1:23" s="161" customFormat="1" ht="9.9499999999999993" customHeight="1">
      <c r="A14" s="420"/>
      <c r="B14" s="417" t="s">
        <v>286</v>
      </c>
      <c r="C14" s="418">
        <v>-3.8639721503163083</v>
      </c>
      <c r="D14" s="418">
        <v>21.902533170675387</v>
      </c>
      <c r="E14" s="418">
        <v>12.67495214484693</v>
      </c>
      <c r="F14" s="418">
        <v>-18.493967110355168</v>
      </c>
      <c r="G14" s="418">
        <v>-22.70823567896635</v>
      </c>
      <c r="H14" s="418">
        <v>12.838325517698523</v>
      </c>
      <c r="I14" s="418">
        <v>14.986742352795201</v>
      </c>
      <c r="J14" s="418">
        <v>18.217821173734272</v>
      </c>
      <c r="K14" s="418">
        <v>11.689066277956917</v>
      </c>
      <c r="L14" s="418">
        <v>-1.7996059864997194</v>
      </c>
      <c r="M14" s="418">
        <v>-0.14880984239081796</v>
      </c>
      <c r="N14" s="418">
        <v>-0.77771692833166206</v>
      </c>
      <c r="O14" s="418">
        <v>17.101358247901665</v>
      </c>
      <c r="P14" s="418">
        <v>5.3634810194904237</v>
      </c>
      <c r="Q14" s="418">
        <v>-16.291765591108387</v>
      </c>
      <c r="R14" s="418">
        <v>-9.4894694939362765</v>
      </c>
      <c r="S14" s="418">
        <v>-11.951124211372122</v>
      </c>
      <c r="T14" s="418">
        <v>13.429159657291212</v>
      </c>
      <c r="U14" s="418">
        <v>15.920438799451864</v>
      </c>
      <c r="V14" s="418">
        <v>0.28515771338624152</v>
      </c>
      <c r="W14" s="418">
        <v>-10.344163827827169</v>
      </c>
    </row>
    <row r="15" spans="1:23" s="161" customFormat="1" ht="9.9499999999999993" customHeight="1">
      <c r="A15" s="420"/>
      <c r="B15" s="417" t="s">
        <v>287</v>
      </c>
      <c r="C15" s="418">
        <v>4.3150703281217284</v>
      </c>
      <c r="D15" s="418">
        <v>-4.4305271067754397</v>
      </c>
      <c r="E15" s="418">
        <v>2.1494179865654717</v>
      </c>
      <c r="F15" s="418">
        <v>4.521065358311982</v>
      </c>
      <c r="G15" s="418">
        <v>4.7892763842511954</v>
      </c>
      <c r="H15" s="418">
        <v>5.0002932276553391</v>
      </c>
      <c r="I15" s="418">
        <v>2.6337423943712857</v>
      </c>
      <c r="J15" s="418">
        <v>-3.3143058810617076</v>
      </c>
      <c r="K15" s="418">
        <v>6.7865250242033603</v>
      </c>
      <c r="L15" s="418">
        <v>4.9783084625896645</v>
      </c>
      <c r="M15" s="418">
        <v>-5.4566356877932094</v>
      </c>
      <c r="N15" s="418">
        <v>3.0978763999971015</v>
      </c>
      <c r="O15" s="418">
        <v>1.7361460979309351</v>
      </c>
      <c r="P15" s="418">
        <v>-1.1343342100817666</v>
      </c>
      <c r="Q15" s="418">
        <v>8.6467670825345131</v>
      </c>
      <c r="R15" s="418">
        <v>-1.6065788037534667</v>
      </c>
      <c r="S15" s="418">
        <v>-4.3129294541568441</v>
      </c>
      <c r="T15" s="418">
        <v>6.4317045280274598</v>
      </c>
      <c r="U15" s="418">
        <v>3.1892842831880097</v>
      </c>
      <c r="V15" s="418">
        <v>3.7716482928178641</v>
      </c>
      <c r="W15" s="418">
        <v>-2.7285374923550765</v>
      </c>
    </row>
    <row r="16" spans="1:23" s="161" customFormat="1" ht="9.9499999999999993" customHeight="1">
      <c r="A16" s="420"/>
      <c r="B16" s="417" t="s">
        <v>288</v>
      </c>
      <c r="C16" s="418">
        <v>4.0538295941059843</v>
      </c>
      <c r="D16" s="418">
        <v>5.1165957354811331</v>
      </c>
      <c r="E16" s="418">
        <v>8.4784966533038677</v>
      </c>
      <c r="F16" s="418">
        <v>-4.3370199067166437</v>
      </c>
      <c r="G16" s="418">
        <v>5.706977273799696</v>
      </c>
      <c r="H16" s="418">
        <v>6.3944510600058457</v>
      </c>
      <c r="I16" s="418">
        <v>9.6461976916164538</v>
      </c>
      <c r="J16" s="418">
        <v>-9.2393078352475015</v>
      </c>
      <c r="K16" s="418">
        <v>8.8805476245259243</v>
      </c>
      <c r="L16" s="418">
        <v>8.7500258489755289</v>
      </c>
      <c r="M16" s="418">
        <v>-5.7708948931616373</v>
      </c>
      <c r="N16" s="418">
        <v>11.072050543804757</v>
      </c>
      <c r="O16" s="418">
        <v>-5.6282073006907023</v>
      </c>
      <c r="P16" s="418">
        <v>-10.60370113034741</v>
      </c>
      <c r="Q16" s="418">
        <v>2.4519602545539421</v>
      </c>
      <c r="R16" s="418">
        <v>6.0098487556801805</v>
      </c>
      <c r="S16" s="418">
        <v>-4.4658880302775312</v>
      </c>
      <c r="T16" s="418">
        <v>-7.6023855569249621</v>
      </c>
      <c r="U16" s="418">
        <v>1.2678787032334382</v>
      </c>
      <c r="V16" s="418">
        <v>1.5179623020089794</v>
      </c>
      <c r="W16" s="418">
        <v>20.775288119061241</v>
      </c>
    </row>
    <row r="17" spans="1:23" s="161" customFormat="1" ht="9.9499999999999993" customHeight="1">
      <c r="A17" s="420"/>
      <c r="B17" s="417" t="s">
        <v>289</v>
      </c>
      <c r="C17" s="418">
        <v>-15.206022789909357</v>
      </c>
      <c r="D17" s="418">
        <v>10.698796746625728</v>
      </c>
      <c r="E17" s="418">
        <v>2.4750658704549178</v>
      </c>
      <c r="F17" s="418">
        <v>-10.974224169554347</v>
      </c>
      <c r="G17" s="418">
        <v>14.480287086327781</v>
      </c>
      <c r="H17" s="418">
        <v>-0.84981694538771579</v>
      </c>
      <c r="I17" s="418">
        <v>-5.0196804247875537</v>
      </c>
      <c r="J17" s="418">
        <v>0.44656938202123353</v>
      </c>
      <c r="K17" s="418">
        <v>12.036197396173765</v>
      </c>
      <c r="L17" s="418">
        <v>-7.5672511682832173</v>
      </c>
      <c r="M17" s="418">
        <v>-4.2680336535846575</v>
      </c>
      <c r="N17" s="418">
        <v>9.9688346477458509</v>
      </c>
      <c r="O17" s="418">
        <v>11.096062456768241</v>
      </c>
      <c r="P17" s="418">
        <v>-1.6343931325743077</v>
      </c>
      <c r="Q17" s="418">
        <v>-2.3472540791587004</v>
      </c>
      <c r="R17" s="418">
        <v>-4.9188605648081367</v>
      </c>
      <c r="S17" s="418">
        <v>-9.187442222575438</v>
      </c>
      <c r="T17" s="418">
        <v>10.566852995400655</v>
      </c>
      <c r="U17" s="418">
        <v>1.0656589739217459</v>
      </c>
      <c r="V17" s="418">
        <v>9.7909669246746702</v>
      </c>
      <c r="W17" s="418">
        <v>-3.3476885877289475</v>
      </c>
    </row>
    <row r="18" spans="1:23" s="161" customFormat="1" ht="9.9499999999999993" customHeight="1">
      <c r="A18" s="420"/>
      <c r="B18" s="417" t="s">
        <v>290</v>
      </c>
      <c r="C18" s="418">
        <v>19.267928219553522</v>
      </c>
      <c r="D18" s="418">
        <v>1.7024959627514269</v>
      </c>
      <c r="E18" s="418">
        <v>6.1078911276895909</v>
      </c>
      <c r="F18" s="418">
        <v>0.37870597950222518</v>
      </c>
      <c r="G18" s="418">
        <v>7.497687121923402</v>
      </c>
      <c r="H18" s="418">
        <v>8.6183825829174499</v>
      </c>
      <c r="I18" s="418">
        <v>4.9903759923489277</v>
      </c>
      <c r="J18" s="418">
        <v>7.3032771337064428</v>
      </c>
      <c r="K18" s="418">
        <v>18.92375927749206</v>
      </c>
      <c r="L18" s="418">
        <v>-1.9777608351103093</v>
      </c>
      <c r="M18" s="418">
        <v>5.0211712160126432</v>
      </c>
      <c r="N18" s="418">
        <v>10.881550357365889</v>
      </c>
      <c r="O18" s="418">
        <v>4.3065325706671986</v>
      </c>
      <c r="P18" s="418">
        <v>11.690683613856368</v>
      </c>
      <c r="Q18" s="418">
        <v>8.0020287445483831</v>
      </c>
      <c r="R18" s="418">
        <v>6.1436512457320847</v>
      </c>
      <c r="S18" s="418">
        <v>12.008425935296763</v>
      </c>
      <c r="T18" s="418">
        <v>5.1897902454033362</v>
      </c>
      <c r="U18" s="418">
        <v>3.0360761916735202</v>
      </c>
      <c r="V18" s="418">
        <v>6.6098652993517915</v>
      </c>
      <c r="W18" s="418">
        <v>19.508312377829597</v>
      </c>
    </row>
    <row r="19" spans="1:23" s="161" customFormat="1" ht="9.9499999999999993" customHeight="1">
      <c r="A19" s="420"/>
      <c r="B19" s="417" t="s">
        <v>45</v>
      </c>
      <c r="C19" s="418">
        <v>0</v>
      </c>
      <c r="D19" s="418">
        <v>268.54970459799637</v>
      </c>
      <c r="E19" s="418">
        <v>-24.164810379964919</v>
      </c>
      <c r="F19" s="418">
        <v>19.829494070158148</v>
      </c>
      <c r="G19" s="418">
        <v>107.41996545514235</v>
      </c>
      <c r="H19" s="418">
        <v>10.318110741207231</v>
      </c>
      <c r="I19" s="418">
        <v>-29.281958386675054</v>
      </c>
      <c r="J19" s="418">
        <v>31.780738310831815</v>
      </c>
      <c r="K19" s="418">
        <v>-3.4303382478978461</v>
      </c>
      <c r="L19" s="418">
        <v>-14.049005537516035</v>
      </c>
      <c r="M19" s="418">
        <v>10.4294980015045</v>
      </c>
      <c r="N19" s="418">
        <v>7.9603918548349473</v>
      </c>
      <c r="O19" s="418">
        <v>-26.781870991510303</v>
      </c>
      <c r="P19" s="418">
        <v>-25.197789972223738</v>
      </c>
      <c r="Q19" s="418">
        <v>9.514031670612134</v>
      </c>
      <c r="R19" s="418">
        <v>1.0371787961085621</v>
      </c>
      <c r="S19" s="418">
        <v>-25.033812287155797</v>
      </c>
      <c r="T19" s="418">
        <v>8.4960066512609558</v>
      </c>
      <c r="U19" s="418">
        <v>0.61168519891716677</v>
      </c>
      <c r="V19" s="418">
        <v>23.76416135353281</v>
      </c>
      <c r="W19" s="418">
        <v>-11.967273459429373</v>
      </c>
    </row>
    <row r="20" spans="1:23" s="161" customFormat="1" ht="9.9499999999999993" customHeight="1">
      <c r="A20" s="420"/>
      <c r="B20" s="417" t="s">
        <v>291</v>
      </c>
      <c r="C20" s="418">
        <v>30.90260355689356</v>
      </c>
      <c r="D20" s="418">
        <v>-11.440587734241914</v>
      </c>
      <c r="E20" s="418">
        <v>-5.8160504959422816</v>
      </c>
      <c r="F20" s="418">
        <v>78.984841231849316</v>
      </c>
      <c r="G20" s="418">
        <v>102.28314573084742</v>
      </c>
      <c r="H20" s="418">
        <v>8.2121422332069205</v>
      </c>
      <c r="I20" s="418">
        <v>57.521157965902894</v>
      </c>
      <c r="J20" s="418">
        <v>9.1777758242667531</v>
      </c>
      <c r="K20" s="418">
        <v>-24.025735516134784</v>
      </c>
      <c r="L20" s="418">
        <v>-23.504352230664328</v>
      </c>
      <c r="M20" s="418">
        <v>40.862956159466954</v>
      </c>
      <c r="N20" s="418">
        <v>9.1621240400314274</v>
      </c>
      <c r="O20" s="418">
        <v>16.146234585044361</v>
      </c>
      <c r="P20" s="418">
        <v>6.2732020845724046</v>
      </c>
      <c r="Q20" s="418">
        <v>-26.58178061475548</v>
      </c>
      <c r="R20" s="418">
        <v>33.968591507121083</v>
      </c>
      <c r="S20" s="418">
        <v>67.728826063990027</v>
      </c>
      <c r="T20" s="418">
        <v>23.798255954879433</v>
      </c>
      <c r="U20" s="418">
        <v>-10.788126488761629</v>
      </c>
      <c r="V20" s="418">
        <v>-52.541113878325916</v>
      </c>
      <c r="W20" s="418">
        <v>30.95907321336351</v>
      </c>
    </row>
    <row r="21" spans="1:23" s="161" customFormat="1" ht="9.9499999999999993" customHeight="1">
      <c r="A21" s="420"/>
      <c r="B21" s="417" t="s">
        <v>252</v>
      </c>
      <c r="C21" s="418">
        <v>-0.78448287962782359</v>
      </c>
      <c r="D21" s="418">
        <v>9.6317428380255024</v>
      </c>
      <c r="E21" s="418">
        <v>6.2580539639876642</v>
      </c>
      <c r="F21" s="418">
        <v>-16.923621402160183</v>
      </c>
      <c r="G21" s="418">
        <v>-10.08717919933183</v>
      </c>
      <c r="H21" s="418">
        <v>-2.2424242301130382</v>
      </c>
      <c r="I21" s="418">
        <v>-4.7957907941210909</v>
      </c>
      <c r="J21" s="418">
        <v>7.2761136051944897</v>
      </c>
      <c r="K21" s="418">
        <v>6.7365427457978244</v>
      </c>
      <c r="L21" s="418">
        <v>2.3453597684869987</v>
      </c>
      <c r="M21" s="418">
        <v>-7.4516405156648151</v>
      </c>
      <c r="N21" s="418">
        <v>-2.0971593149657797</v>
      </c>
      <c r="O21" s="418">
        <v>15.439923335206984</v>
      </c>
      <c r="P21" s="418">
        <v>-1.7199778241627217</v>
      </c>
      <c r="Q21" s="418">
        <v>-0.33816365707947105</v>
      </c>
      <c r="R21" s="418">
        <v>-3.847715387697237</v>
      </c>
      <c r="S21" s="418">
        <v>-6.7944884963548553</v>
      </c>
      <c r="T21" s="418">
        <v>14.146784932824197</v>
      </c>
      <c r="U21" s="418">
        <v>-1.3481574045614675</v>
      </c>
      <c r="V21" s="418">
        <v>1.455439000484815</v>
      </c>
      <c r="W21" s="418">
        <v>1.7732752404988172</v>
      </c>
    </row>
    <row r="22" spans="1:23" s="161" customFormat="1" ht="9.9499999999999993" customHeight="1">
      <c r="A22" s="420"/>
      <c r="B22" s="417" t="s">
        <v>253</v>
      </c>
      <c r="C22" s="418">
        <v>-21.526052924930774</v>
      </c>
      <c r="D22" s="418">
        <v>14.779859763765835</v>
      </c>
      <c r="E22" s="418">
        <v>9.0647855218207063</v>
      </c>
      <c r="F22" s="418">
        <v>-12.125692035714442</v>
      </c>
      <c r="G22" s="418">
        <v>16.971448409050826</v>
      </c>
      <c r="H22" s="418">
        <v>22.023440395775928</v>
      </c>
      <c r="I22" s="418">
        <v>-2.3624226796446046</v>
      </c>
      <c r="J22" s="418">
        <v>7.6506387348323379</v>
      </c>
      <c r="K22" s="418">
        <v>19.841260649232705</v>
      </c>
      <c r="L22" s="418">
        <v>-12.35133586327427</v>
      </c>
      <c r="M22" s="418">
        <v>-9.6835468195895391</v>
      </c>
      <c r="N22" s="418">
        <v>15.08993312916318</v>
      </c>
      <c r="O22" s="418">
        <v>7.591157391993586</v>
      </c>
      <c r="P22" s="418">
        <v>-5.8001029382170444</v>
      </c>
      <c r="Q22" s="418">
        <v>2.1216345665985736</v>
      </c>
      <c r="R22" s="418">
        <v>-7.9510639900617353</v>
      </c>
      <c r="S22" s="418">
        <v>-10.446762629581707</v>
      </c>
      <c r="T22" s="418">
        <v>14.15118113498044</v>
      </c>
      <c r="U22" s="418">
        <v>2.2032714067161008</v>
      </c>
      <c r="V22" s="418">
        <v>-2.8913257868854791</v>
      </c>
      <c r="W22" s="418">
        <v>9.4154006788137004</v>
      </c>
    </row>
    <row r="23" spans="1:23" s="161" customFormat="1" ht="9.9499999999999993" customHeight="1">
      <c r="A23" s="420"/>
      <c r="B23" s="417" t="s">
        <v>254</v>
      </c>
      <c r="C23" s="418">
        <v>-5.0303160054405378</v>
      </c>
      <c r="D23" s="418">
        <v>39.782958611474143</v>
      </c>
      <c r="E23" s="418">
        <v>6.2146277785465998</v>
      </c>
      <c r="F23" s="418">
        <v>35.676956340688058</v>
      </c>
      <c r="G23" s="418">
        <v>9.228732638245507</v>
      </c>
      <c r="H23" s="418">
        <v>12.906357241509703</v>
      </c>
      <c r="I23" s="418">
        <v>-45.383086880856247</v>
      </c>
      <c r="J23" s="418">
        <v>126.95832645652776</v>
      </c>
      <c r="K23" s="418">
        <v>-71.621313196316507</v>
      </c>
      <c r="L23" s="418">
        <v>314.09009012583721</v>
      </c>
      <c r="M23" s="418">
        <v>4.6864772224011864</v>
      </c>
      <c r="N23" s="418">
        <v>-58.67266964597232</v>
      </c>
      <c r="O23" s="418">
        <v>196.94543373783188</v>
      </c>
      <c r="P23" s="418">
        <v>-12.295476505941028</v>
      </c>
      <c r="Q23" s="418">
        <v>-40.956280606703153</v>
      </c>
      <c r="R23" s="418">
        <v>9.8129091400082089</v>
      </c>
      <c r="S23" s="418">
        <v>14.907108373461808</v>
      </c>
      <c r="T23" s="418">
        <v>0.96581451350417069</v>
      </c>
      <c r="U23" s="418">
        <v>5.8667067030606201</v>
      </c>
      <c r="V23" s="418">
        <v>42.789592094408782</v>
      </c>
      <c r="W23" s="418">
        <v>-8.6478933081472249</v>
      </c>
    </row>
    <row r="24" spans="1:23" s="161" customFormat="1" ht="9.9499999999999993" customHeight="1">
      <c r="A24" s="420"/>
      <c r="B24" s="417" t="s">
        <v>255</v>
      </c>
      <c r="C24" s="418">
        <v>-2.7656076271071361</v>
      </c>
      <c r="D24" s="418">
        <v>-13.351456712697086</v>
      </c>
      <c r="E24" s="418">
        <v>3.5855386741027173</v>
      </c>
      <c r="F24" s="418">
        <v>9.1201417440345942</v>
      </c>
      <c r="G24" s="418">
        <v>-4.2863832668723179</v>
      </c>
      <c r="H24" s="418">
        <v>28.172398273106868</v>
      </c>
      <c r="I24" s="418">
        <v>0.48642667863962874</v>
      </c>
      <c r="J24" s="418">
        <v>1.7826990673626586</v>
      </c>
      <c r="K24" s="418">
        <v>5.7894376298887051</v>
      </c>
      <c r="L24" s="418">
        <v>18.82206665167525</v>
      </c>
      <c r="M24" s="418">
        <v>18.041591793901681</v>
      </c>
      <c r="N24" s="418">
        <v>4.6795589981029284</v>
      </c>
      <c r="O24" s="418">
        <v>18.01448063823301</v>
      </c>
      <c r="P24" s="418">
        <v>15.043812200273132</v>
      </c>
      <c r="Q24" s="418">
        <v>13.204548264987203</v>
      </c>
      <c r="R24" s="418">
        <v>17.421451894327799</v>
      </c>
      <c r="S24" s="418">
        <v>6.3136972785763357</v>
      </c>
      <c r="T24" s="418">
        <v>14.799517634719939</v>
      </c>
      <c r="U24" s="418">
        <v>10.945153071311697</v>
      </c>
      <c r="V24" s="418">
        <v>11.000771384133401</v>
      </c>
      <c r="W24" s="418">
        <v>-4.9655268150795013</v>
      </c>
    </row>
    <row r="25" spans="1:23" s="161" customFormat="1" ht="9.9499999999999993" customHeight="1">
      <c r="A25" s="420"/>
      <c r="B25" s="417" t="s">
        <v>256</v>
      </c>
      <c r="C25" s="418">
        <v>-12.734447962025286</v>
      </c>
      <c r="D25" s="418">
        <v>11.787293678244804</v>
      </c>
      <c r="E25" s="418">
        <v>16.149805248562998</v>
      </c>
      <c r="F25" s="418">
        <v>-22.890331146882815</v>
      </c>
      <c r="G25" s="418">
        <v>16.915529725506296</v>
      </c>
      <c r="H25" s="418">
        <v>19.08059548728589</v>
      </c>
      <c r="I25" s="418">
        <v>-13.211568144782394</v>
      </c>
      <c r="J25" s="418">
        <v>1.2848645839907968</v>
      </c>
      <c r="K25" s="418">
        <v>-0.22962441144057655</v>
      </c>
      <c r="L25" s="418">
        <v>2.0472066968717062</v>
      </c>
      <c r="M25" s="418">
        <v>-0.85736158880487245</v>
      </c>
      <c r="N25" s="418">
        <v>10.833984510352535</v>
      </c>
      <c r="O25" s="418">
        <v>6.8085656789376614</v>
      </c>
      <c r="P25" s="418">
        <v>-5.1838458175775255</v>
      </c>
      <c r="Q25" s="418">
        <v>-7.7812679826918423</v>
      </c>
      <c r="R25" s="418">
        <v>-5.7304695403740951</v>
      </c>
      <c r="S25" s="418">
        <v>-4.2994890186197949</v>
      </c>
      <c r="T25" s="418">
        <v>-5.8658073903205876</v>
      </c>
      <c r="U25" s="418">
        <v>3.5181481755975241</v>
      </c>
      <c r="V25" s="418">
        <v>6.4873580806056319</v>
      </c>
      <c r="W25" s="418">
        <v>-21.433226785763338</v>
      </c>
    </row>
    <row r="26" spans="1:23" s="161" customFormat="1" ht="9.9499999999999993" customHeight="1">
      <c r="A26" s="420"/>
      <c r="B26" s="417" t="s">
        <v>257</v>
      </c>
      <c r="C26" s="418">
        <v>2.1167054466218582</v>
      </c>
      <c r="D26" s="418">
        <v>2.6246826953731484</v>
      </c>
      <c r="E26" s="418">
        <v>4.3565224218377718</v>
      </c>
      <c r="F26" s="418">
        <v>9.5562195232294265</v>
      </c>
      <c r="G26" s="418">
        <v>-4.8188954610341117</v>
      </c>
      <c r="H26" s="418">
        <v>7.202518812756975</v>
      </c>
      <c r="I26" s="418">
        <v>4.5429421579368467</v>
      </c>
      <c r="J26" s="418">
        <v>5.0584309138584027</v>
      </c>
      <c r="K26" s="418">
        <v>7.0369361326472424</v>
      </c>
      <c r="L26" s="418">
        <v>1.3287726540595513</v>
      </c>
      <c r="M26" s="418">
        <v>4.194146679421995</v>
      </c>
      <c r="N26" s="418">
        <v>3.9602306580965863</v>
      </c>
      <c r="O26" s="418">
        <v>4.4301779408488784</v>
      </c>
      <c r="P26" s="418">
        <v>-1.1874395598091336</v>
      </c>
      <c r="Q26" s="418">
        <v>4.0456185536120959</v>
      </c>
      <c r="R26" s="418">
        <v>15.013384015996834</v>
      </c>
      <c r="S26" s="418">
        <v>1.0917484764515262</v>
      </c>
      <c r="T26" s="418">
        <v>-2.7960724914434243</v>
      </c>
      <c r="U26" s="418">
        <v>-5.7498472765006863</v>
      </c>
      <c r="V26" s="418">
        <v>13.103838355458919</v>
      </c>
      <c r="W26" s="418">
        <v>2.7816613822815972</v>
      </c>
    </row>
    <row r="27" spans="1:23" s="161" customFormat="1" ht="9.9499999999999993" customHeight="1">
      <c r="A27" s="420"/>
      <c r="B27" s="417" t="s">
        <v>258</v>
      </c>
      <c r="C27" s="418">
        <v>11.311047179624678</v>
      </c>
      <c r="D27" s="418">
        <v>9.0176266386144519</v>
      </c>
      <c r="E27" s="418">
        <v>5.3319583441090224</v>
      </c>
      <c r="F27" s="418">
        <v>3.4168247793193496</v>
      </c>
      <c r="G27" s="418">
        <v>-5.238937792994669</v>
      </c>
      <c r="H27" s="418">
        <v>5.5270597860404891</v>
      </c>
      <c r="I27" s="418">
        <v>11.957552676965054</v>
      </c>
      <c r="J27" s="418">
        <v>13.506807208834481</v>
      </c>
      <c r="K27" s="418">
        <v>17.596254482428719</v>
      </c>
      <c r="L27" s="418">
        <v>12.514685303267026</v>
      </c>
      <c r="M27" s="418">
        <v>18.303911006336172</v>
      </c>
      <c r="N27" s="418">
        <v>30.581894115653242</v>
      </c>
      <c r="O27" s="418">
        <v>6.5486052998419364</v>
      </c>
      <c r="P27" s="418">
        <v>32.824108026425037</v>
      </c>
      <c r="Q27" s="418">
        <v>8.0948382611581771</v>
      </c>
      <c r="R27" s="418">
        <v>24.025638775071421</v>
      </c>
      <c r="S27" s="418">
        <v>0.10823115703324504</v>
      </c>
      <c r="T27" s="418">
        <v>10.626804472473506</v>
      </c>
      <c r="U27" s="418">
        <v>19.800799003432523</v>
      </c>
      <c r="V27" s="418">
        <v>16.272956977482789</v>
      </c>
      <c r="W27" s="418">
        <v>8.585527715264174</v>
      </c>
    </row>
    <row r="28" spans="1:23" s="161" customFormat="1" ht="9.9499999999999993" customHeight="1">
      <c r="A28" s="420"/>
      <c r="B28" s="417" t="s">
        <v>144</v>
      </c>
      <c r="C28" s="418">
        <v>-5.7751839190924192</v>
      </c>
      <c r="D28" s="418">
        <v>13.52560707693755</v>
      </c>
      <c r="E28" s="418">
        <v>20.936652735301475</v>
      </c>
      <c r="F28" s="418">
        <v>5.8076735816891656</v>
      </c>
      <c r="G28" s="418">
        <v>0.469311366631886</v>
      </c>
      <c r="H28" s="418">
        <v>8.0646350122943744</v>
      </c>
      <c r="I28" s="418">
        <v>1.852920049727369</v>
      </c>
      <c r="J28" s="418">
        <v>-7.5901029718290385</v>
      </c>
      <c r="K28" s="418">
        <v>-5.5322432995625226</v>
      </c>
      <c r="L28" s="418">
        <v>26.232269655240991</v>
      </c>
      <c r="M28" s="418">
        <v>3.9173752719943611</v>
      </c>
      <c r="N28" s="418">
        <v>8.7378883065089461</v>
      </c>
      <c r="O28" s="418">
        <v>10.079291106553011</v>
      </c>
      <c r="P28" s="418">
        <v>22.452919522619119</v>
      </c>
      <c r="Q28" s="418">
        <v>8.2407952927814101</v>
      </c>
      <c r="R28" s="418">
        <v>4.3227763894669868</v>
      </c>
      <c r="S28" s="418">
        <v>10.27832142279863</v>
      </c>
      <c r="T28" s="418">
        <v>7.8960505313643736</v>
      </c>
      <c r="U28" s="418">
        <v>-0.1478611837277044</v>
      </c>
      <c r="V28" s="418">
        <v>3.1786823100960593</v>
      </c>
      <c r="W28" s="418">
        <v>16.971458566928966</v>
      </c>
    </row>
    <row r="29" spans="1:23" s="161" customFormat="1" ht="9.9499999999999993" customHeight="1">
      <c r="A29" s="420"/>
      <c r="B29" s="417" t="s">
        <v>145</v>
      </c>
      <c r="C29" s="418">
        <v>-29.691180277984962</v>
      </c>
      <c r="D29" s="418">
        <v>-44.763049117634615</v>
      </c>
      <c r="E29" s="418">
        <v>31.123203372817908</v>
      </c>
      <c r="F29" s="418">
        <v>16.768922816514809</v>
      </c>
      <c r="G29" s="418">
        <v>-24.717541389910203</v>
      </c>
      <c r="H29" s="418">
        <v>16.654680511243704</v>
      </c>
      <c r="I29" s="418">
        <v>23.093850803670168</v>
      </c>
      <c r="J29" s="418">
        <v>23.392535369963284</v>
      </c>
      <c r="K29" s="418">
        <v>5.4313852578756094</v>
      </c>
      <c r="L29" s="418">
        <v>-11.709783591660505</v>
      </c>
      <c r="M29" s="418">
        <v>-12.850419493206077</v>
      </c>
      <c r="N29" s="418">
        <v>32.311045846706989</v>
      </c>
      <c r="O29" s="418">
        <v>32.780766758150826</v>
      </c>
      <c r="P29" s="418">
        <v>-5.454081324209703</v>
      </c>
      <c r="Q29" s="418">
        <v>-19.653466004271714</v>
      </c>
      <c r="R29" s="418">
        <v>-9.8395961261144027</v>
      </c>
      <c r="S29" s="418">
        <v>0.76955732658405829</v>
      </c>
      <c r="T29" s="418">
        <v>12.77850677887149</v>
      </c>
      <c r="U29" s="418">
        <v>-22.822273440363382</v>
      </c>
      <c r="V29" s="418">
        <v>4.7789962517582163</v>
      </c>
      <c r="W29" s="418">
        <v>22.434037157609012</v>
      </c>
    </row>
    <row r="30" spans="1:23" s="161" customFormat="1" ht="9.9499999999999993" customHeight="1">
      <c r="A30" s="420"/>
      <c r="B30" s="417" t="s">
        <v>139</v>
      </c>
      <c r="C30" s="418">
        <v>-10.144818395169064</v>
      </c>
      <c r="D30" s="418">
        <v>26.004942091965489</v>
      </c>
      <c r="E30" s="418">
        <v>-8.5493150919912502</v>
      </c>
      <c r="F30" s="418">
        <v>-18.375250487946726</v>
      </c>
      <c r="G30" s="418">
        <v>1.4465145619342312</v>
      </c>
      <c r="H30" s="418">
        <v>17.426541460461188</v>
      </c>
      <c r="I30" s="418">
        <v>13.218395518724989</v>
      </c>
      <c r="J30" s="418">
        <v>-8.965524656614809</v>
      </c>
      <c r="K30" s="418">
        <v>-17.312421890361552</v>
      </c>
      <c r="L30" s="418">
        <v>6.8864960401677111</v>
      </c>
      <c r="M30" s="418">
        <v>-4.7459557625893378</v>
      </c>
      <c r="N30" s="418">
        <v>14.219525137774379</v>
      </c>
      <c r="O30" s="418">
        <v>-3.0673065787785614</v>
      </c>
      <c r="P30" s="418">
        <v>9.1520408242582896</v>
      </c>
      <c r="Q30" s="418">
        <v>3.2559024766543709</v>
      </c>
      <c r="R30" s="418">
        <v>-2.2760988388970005</v>
      </c>
      <c r="S30" s="418">
        <v>-30.957073865294195</v>
      </c>
      <c r="T30" s="418">
        <v>53.965465572831619</v>
      </c>
      <c r="U30" s="418">
        <v>10.240113703462029</v>
      </c>
      <c r="V30" s="418">
        <v>0.29508685306698368</v>
      </c>
      <c r="W30" s="418">
        <v>2.0285213694059445</v>
      </c>
    </row>
    <row r="31" spans="1:23" s="161" customFormat="1" ht="9.9499999999999993" customHeight="1">
      <c r="A31" s="420"/>
      <c r="B31" s="417" t="s">
        <v>146</v>
      </c>
      <c r="C31" s="418">
        <v>9.3373341319572312</v>
      </c>
      <c r="D31" s="418">
        <v>4.3915567434277047</v>
      </c>
      <c r="E31" s="418">
        <v>10.198282653698998</v>
      </c>
      <c r="F31" s="418">
        <v>20.997846999276227</v>
      </c>
      <c r="G31" s="418">
        <v>28.601630774819874</v>
      </c>
      <c r="H31" s="418">
        <v>-0.93660568204557704</v>
      </c>
      <c r="I31" s="418">
        <v>1.6102546263534023</v>
      </c>
      <c r="J31" s="418">
        <v>56.975067112253576</v>
      </c>
      <c r="K31" s="418">
        <v>-92.625234775843651</v>
      </c>
      <c r="L31" s="418">
        <v>1104.0002127960815</v>
      </c>
      <c r="M31" s="418">
        <v>-15.083563419270273</v>
      </c>
      <c r="N31" s="418">
        <v>37.159356835572055</v>
      </c>
      <c r="O31" s="418">
        <v>-35.749783652602915</v>
      </c>
      <c r="P31" s="418">
        <v>105.72693368567184</v>
      </c>
      <c r="Q31" s="418">
        <v>-71.407601154680734</v>
      </c>
      <c r="R31" s="418">
        <v>56.819842290372755</v>
      </c>
      <c r="S31" s="418">
        <v>45.251437726019894</v>
      </c>
      <c r="T31" s="418">
        <v>106.5724846065764</v>
      </c>
      <c r="U31" s="418">
        <v>18.483933390387119</v>
      </c>
      <c r="V31" s="418">
        <v>-6.709255036280104</v>
      </c>
      <c r="W31" s="418">
        <v>-18.165653256987792</v>
      </c>
    </row>
    <row r="32" spans="1:23" s="161" customFormat="1" ht="9.9499999999999993" customHeight="1">
      <c r="A32" s="420"/>
      <c r="B32" s="417" t="s">
        <v>147</v>
      </c>
      <c r="C32" s="418">
        <v>-3.5832916029073569</v>
      </c>
      <c r="D32" s="418">
        <v>22.338244386005289</v>
      </c>
      <c r="E32" s="418">
        <v>3.1445434428986285</v>
      </c>
      <c r="F32" s="418">
        <v>-21.49354597933074</v>
      </c>
      <c r="G32" s="418">
        <v>17.910724096381415</v>
      </c>
      <c r="H32" s="418">
        <v>8.2992054214715782</v>
      </c>
      <c r="I32" s="418">
        <v>-14.363526677523975</v>
      </c>
      <c r="J32" s="418">
        <v>3.5764033670693252E-2</v>
      </c>
      <c r="K32" s="418">
        <v>19.511782550734292</v>
      </c>
      <c r="L32" s="418">
        <v>5.9597440357612053</v>
      </c>
      <c r="M32" s="418">
        <v>-10.55189981503435</v>
      </c>
      <c r="N32" s="418">
        <v>-1.4479679950070712</v>
      </c>
      <c r="O32" s="418">
        <v>17.503056622101631</v>
      </c>
      <c r="P32" s="418">
        <v>2.775219091088621</v>
      </c>
      <c r="Q32" s="418">
        <v>-3.6719982311484767</v>
      </c>
      <c r="R32" s="418">
        <v>-8.4880806045016026</v>
      </c>
      <c r="S32" s="418">
        <v>-8.7165239501196705</v>
      </c>
      <c r="T32" s="418">
        <v>-1.4883744303944568</v>
      </c>
      <c r="U32" s="418">
        <v>5.5004606497782493</v>
      </c>
      <c r="V32" s="418">
        <v>0.37447093575340151</v>
      </c>
      <c r="W32" s="418">
        <v>-10.747234286574392</v>
      </c>
    </row>
    <row r="33" spans="1:23" s="161" customFormat="1" ht="9.9499999999999993" customHeight="1">
      <c r="A33" s="420"/>
      <c r="B33" s="417" t="s">
        <v>261</v>
      </c>
      <c r="C33" s="418">
        <v>-20.609786123464357</v>
      </c>
      <c r="D33" s="418">
        <v>4.3580717231597399</v>
      </c>
      <c r="E33" s="418">
        <v>15.213672638073916</v>
      </c>
      <c r="F33" s="418">
        <v>11.421067113357264</v>
      </c>
      <c r="G33" s="418">
        <v>-2.4023016996238988</v>
      </c>
      <c r="H33" s="418">
        <v>-7.5341570056746239</v>
      </c>
      <c r="I33" s="418">
        <v>4.9388018956965096</v>
      </c>
      <c r="J33" s="418">
        <v>-15.342836115926229</v>
      </c>
      <c r="K33" s="418">
        <v>1.8315867627121563</v>
      </c>
      <c r="L33" s="418">
        <v>4.9600421384146332</v>
      </c>
      <c r="M33" s="418">
        <v>5.8226209043182209</v>
      </c>
      <c r="N33" s="418">
        <v>1.0771877011343411</v>
      </c>
      <c r="O33" s="418">
        <v>3.6475296727405571</v>
      </c>
      <c r="P33" s="418">
        <v>3.8730910097426241</v>
      </c>
      <c r="Q33" s="418">
        <v>4.7683430181519215</v>
      </c>
      <c r="R33" s="418">
        <v>-1.0132277814243418</v>
      </c>
      <c r="S33" s="418">
        <v>-2.7992054789175325</v>
      </c>
      <c r="T33" s="418">
        <v>-3.454547517904516</v>
      </c>
      <c r="U33" s="418">
        <v>-3.7981353899936288</v>
      </c>
      <c r="V33" s="418">
        <v>-5.1911434358693391</v>
      </c>
      <c r="W33" s="418">
        <v>-1.2745045981445879</v>
      </c>
    </row>
    <row r="34" spans="1:23" s="161" customFormat="1" ht="9.9499999999999993" customHeight="1">
      <c r="A34" s="420"/>
      <c r="B34" s="417" t="s">
        <v>262</v>
      </c>
      <c r="C34" s="418">
        <v>18.3661912577622</v>
      </c>
      <c r="D34" s="418">
        <v>-19.503781921143915</v>
      </c>
      <c r="E34" s="418">
        <v>9.1584605530715013</v>
      </c>
      <c r="F34" s="418">
        <v>-27.559723447075648</v>
      </c>
      <c r="G34" s="418">
        <v>-2.0396100691460917</v>
      </c>
      <c r="H34" s="418">
        <v>0.2278264256605933</v>
      </c>
      <c r="I34" s="418">
        <v>47.896141987190056</v>
      </c>
      <c r="J34" s="418">
        <v>-6.1229446678196187</v>
      </c>
      <c r="K34" s="418">
        <v>-10.314258908104168</v>
      </c>
      <c r="L34" s="418">
        <v>-39.782399751641073</v>
      </c>
      <c r="M34" s="418">
        <v>32.256133021490086</v>
      </c>
      <c r="N34" s="418">
        <v>42.030005440450992</v>
      </c>
      <c r="O34" s="418">
        <v>-11.428975256923701</v>
      </c>
      <c r="P34" s="418">
        <v>2.4522416368018884</v>
      </c>
      <c r="Q34" s="418">
        <v>2.4873568857757267</v>
      </c>
      <c r="R34" s="418">
        <v>0.39638053314861033</v>
      </c>
      <c r="S34" s="418">
        <v>13.82553647267024</v>
      </c>
      <c r="T34" s="418">
        <v>8.695655794466095</v>
      </c>
      <c r="U34" s="418">
        <v>-23.376306339768259</v>
      </c>
      <c r="V34" s="418">
        <v>-0.62071986919364219</v>
      </c>
      <c r="W34" s="418">
        <v>10.892734986816532</v>
      </c>
    </row>
    <row r="35" spans="1:23" s="161" customFormat="1" ht="9.9499999999999993" customHeight="1">
      <c r="A35" s="420"/>
      <c r="B35" s="417" t="s">
        <v>205</v>
      </c>
      <c r="C35" s="418">
        <v>17.032391454423568</v>
      </c>
      <c r="D35" s="418">
        <v>-0.99425587591625009</v>
      </c>
      <c r="E35" s="418">
        <v>5.5370338130669827</v>
      </c>
      <c r="F35" s="418">
        <v>-21.530698505013746</v>
      </c>
      <c r="G35" s="418">
        <v>17.72536993239704</v>
      </c>
      <c r="H35" s="418">
        <v>1.25068504794279</v>
      </c>
      <c r="I35" s="418">
        <v>4.1785169732961425</v>
      </c>
      <c r="J35" s="418">
        <v>0.44468318831860643</v>
      </c>
      <c r="K35" s="418">
        <v>16.869120101658062</v>
      </c>
      <c r="L35" s="418">
        <v>-9.8188974245424276</v>
      </c>
      <c r="M35" s="418">
        <v>2.6767673250425394</v>
      </c>
      <c r="N35" s="418">
        <v>19.59725345364145</v>
      </c>
      <c r="O35" s="418">
        <v>3.1963455772052063</v>
      </c>
      <c r="P35" s="418">
        <v>-2.2935502870872315</v>
      </c>
      <c r="Q35" s="418">
        <v>3.4130794635130357</v>
      </c>
      <c r="R35" s="418">
        <v>-6.2476790322759879</v>
      </c>
      <c r="S35" s="418">
        <v>-0.56045372674176086</v>
      </c>
      <c r="T35" s="418">
        <v>12.218963458320765</v>
      </c>
      <c r="U35" s="418">
        <v>0.38044938864727484</v>
      </c>
      <c r="V35" s="418">
        <v>-0.43941236664938321</v>
      </c>
      <c r="W35" s="418">
        <v>0.47393135630351413</v>
      </c>
    </row>
    <row r="36" spans="1:23" s="161" customFormat="1" ht="9.9499999999999993" customHeight="1">
      <c r="A36" s="420"/>
      <c r="B36" s="417" t="s">
        <v>206</v>
      </c>
      <c r="C36" s="418">
        <v>3.9238618965995231</v>
      </c>
      <c r="D36" s="418">
        <v>-12.21328658807208</v>
      </c>
      <c r="E36" s="418">
        <v>-13.640820407799358</v>
      </c>
      <c r="F36" s="418">
        <v>-2.3430970722062572</v>
      </c>
      <c r="G36" s="418">
        <v>-11.753951055888322</v>
      </c>
      <c r="H36" s="418">
        <v>8.4157057478449602</v>
      </c>
      <c r="I36" s="418">
        <v>13.175203159172533</v>
      </c>
      <c r="J36" s="418">
        <v>-26.268487882353398</v>
      </c>
      <c r="K36" s="418">
        <v>70.228021711910941</v>
      </c>
      <c r="L36" s="418">
        <v>-8.6520552889636448</v>
      </c>
      <c r="M36" s="418">
        <v>16.584813359921078</v>
      </c>
      <c r="N36" s="418">
        <v>-9.156396229121988</v>
      </c>
      <c r="O36" s="418">
        <v>1.6250050198648891</v>
      </c>
      <c r="P36" s="418">
        <v>-3.7299521948032766</v>
      </c>
      <c r="Q36" s="418">
        <v>7.4485033605815376</v>
      </c>
      <c r="R36" s="418">
        <v>-8.085328063024722</v>
      </c>
      <c r="S36" s="418">
        <v>0.8541190319886427</v>
      </c>
      <c r="T36" s="418">
        <v>6.82905361182784</v>
      </c>
      <c r="U36" s="418">
        <v>16.87286108125814</v>
      </c>
      <c r="V36" s="418">
        <v>-12.642839572816843</v>
      </c>
      <c r="W36" s="418">
        <v>-30.751280408445037</v>
      </c>
    </row>
    <row r="37" spans="1:23" s="161" customFormat="1" ht="9.9499999999999993" customHeight="1">
      <c r="A37" s="420"/>
      <c r="B37" s="417" t="s">
        <v>207</v>
      </c>
      <c r="C37" s="418">
        <v>16.178684277786349</v>
      </c>
      <c r="D37" s="418">
        <v>-0.88300325309045302</v>
      </c>
      <c r="E37" s="418">
        <v>4.4068344170907769</v>
      </c>
      <c r="F37" s="418">
        <v>7.3524648376122048</v>
      </c>
      <c r="G37" s="418">
        <v>17.083176769962584</v>
      </c>
      <c r="H37" s="418">
        <v>8.2224008235378001</v>
      </c>
      <c r="I37" s="418">
        <v>3.1241557620347749</v>
      </c>
      <c r="J37" s="418">
        <v>8.8426369476442002</v>
      </c>
      <c r="K37" s="418">
        <v>20.560446850736813</v>
      </c>
      <c r="L37" s="418">
        <v>12.532258307791677</v>
      </c>
      <c r="M37" s="418">
        <v>49.077692627254436</v>
      </c>
      <c r="N37" s="418">
        <v>14.522914101604556</v>
      </c>
      <c r="O37" s="418">
        <v>5.5737780521454727</v>
      </c>
      <c r="P37" s="418">
        <v>2.8882056092148556</v>
      </c>
      <c r="Q37" s="418">
        <v>4.1881884712329898</v>
      </c>
      <c r="R37" s="418">
        <v>-0.84222656876594693</v>
      </c>
      <c r="S37" s="418">
        <v>2.1007014672512092</v>
      </c>
      <c r="T37" s="418">
        <v>9.4892588403667091</v>
      </c>
      <c r="U37" s="418">
        <v>6.1767783259272235</v>
      </c>
      <c r="V37" s="418">
        <v>2.7598459023576938</v>
      </c>
      <c r="W37" s="418">
        <v>1.6494315680155136</v>
      </c>
    </row>
    <row r="38" spans="1:23" s="161" customFormat="1" ht="9.9499999999999993" customHeight="1">
      <c r="A38" s="420"/>
      <c r="B38" s="417" t="s">
        <v>268</v>
      </c>
      <c r="C38" s="418">
        <v>0</v>
      </c>
      <c r="D38" s="418">
        <v>0</v>
      </c>
      <c r="E38" s="418">
        <v>296.03097773475315</v>
      </c>
      <c r="F38" s="418">
        <v>216.91517966267412</v>
      </c>
      <c r="G38" s="418">
        <v>107.41997686077904</v>
      </c>
      <c r="H38" s="418">
        <v>-41.696415290792807</v>
      </c>
      <c r="I38" s="418">
        <v>19.624976082658343</v>
      </c>
      <c r="J38" s="418">
        <v>41.863936873533802</v>
      </c>
      <c r="K38" s="418">
        <v>-44.674533974744435</v>
      </c>
      <c r="L38" s="418">
        <v>-22.206371849738471</v>
      </c>
      <c r="M38" s="418">
        <v>91.206776108976612</v>
      </c>
      <c r="N38" s="418">
        <v>-33.639311321185559</v>
      </c>
      <c r="O38" s="418">
        <v>-29.832771316495766</v>
      </c>
      <c r="P38" s="418">
        <v>-66.408395449195766</v>
      </c>
      <c r="Q38" s="418">
        <v>230.71532846715326</v>
      </c>
      <c r="R38" s="418">
        <v>-10.554427474176753</v>
      </c>
      <c r="S38" s="418">
        <v>15.619602230666739</v>
      </c>
      <c r="T38" s="418">
        <v>94.510841727847009</v>
      </c>
      <c r="U38" s="418">
        <v>-66.793943383805129</v>
      </c>
      <c r="V38" s="418">
        <v>-7.6394395982024799</v>
      </c>
      <c r="W38" s="418">
        <v>37.173440183171145</v>
      </c>
    </row>
    <row r="39" spans="1:23" s="161" customFormat="1" ht="9.9499999999999993" customHeight="1">
      <c r="A39" s="420"/>
      <c r="B39" s="417" t="s">
        <v>300</v>
      </c>
      <c r="C39" s="418">
        <v>-2.5431036868545309</v>
      </c>
      <c r="D39" s="418">
        <v>-4.5088900684576938</v>
      </c>
      <c r="E39" s="418">
        <v>1.9234512010662064</v>
      </c>
      <c r="F39" s="418">
        <v>-12.994906562670582</v>
      </c>
      <c r="G39" s="418">
        <v>14.327965997662083</v>
      </c>
      <c r="H39" s="418">
        <v>7.112257409075351</v>
      </c>
      <c r="I39" s="418">
        <v>10.509306182182776</v>
      </c>
      <c r="J39" s="418">
        <v>-1.2273603889523477</v>
      </c>
      <c r="K39" s="418">
        <v>4.9189072199589567</v>
      </c>
      <c r="L39" s="418">
        <v>-0.40314305476026879</v>
      </c>
      <c r="M39" s="418">
        <v>-2.0634306501364663</v>
      </c>
      <c r="N39" s="418">
        <v>11.674186414384401</v>
      </c>
      <c r="O39" s="418">
        <v>6.6350327115475949</v>
      </c>
      <c r="P39" s="418">
        <v>0.57362331442838421</v>
      </c>
      <c r="Q39" s="418">
        <v>2.7687692954863508</v>
      </c>
      <c r="R39" s="418">
        <v>-2.3369837508940505</v>
      </c>
      <c r="S39" s="418">
        <v>-1.7894706081025946</v>
      </c>
      <c r="T39" s="418">
        <v>3.0508011228529419</v>
      </c>
      <c r="U39" s="418">
        <v>-6.8094848082026704</v>
      </c>
      <c r="V39" s="418">
        <v>0.47459630485611193</v>
      </c>
      <c r="W39" s="418">
        <v>-1.5330224090481348</v>
      </c>
    </row>
    <row r="40" spans="1:23" s="161" customFormat="1" ht="9.9499999999999993" customHeight="1">
      <c r="A40" s="420"/>
      <c r="B40" s="417" t="s">
        <v>301</v>
      </c>
      <c r="C40" s="418">
        <v>15.060078754250949</v>
      </c>
      <c r="D40" s="418">
        <v>-16.61813468156582</v>
      </c>
      <c r="E40" s="418">
        <v>6.4326107797479271</v>
      </c>
      <c r="F40" s="418">
        <v>8.4371014406041223</v>
      </c>
      <c r="G40" s="418">
        <v>8.4295637519630873</v>
      </c>
      <c r="H40" s="418">
        <v>17.338436040116179</v>
      </c>
      <c r="I40" s="418">
        <v>-4.1983091805853245</v>
      </c>
      <c r="J40" s="418">
        <v>2.1397816692222849</v>
      </c>
      <c r="K40" s="418">
        <v>4.3210526716705999</v>
      </c>
      <c r="L40" s="418">
        <v>14.153307041409846</v>
      </c>
      <c r="M40" s="418">
        <v>19.273066814396444</v>
      </c>
      <c r="N40" s="418">
        <v>38.001624100595841</v>
      </c>
      <c r="O40" s="418">
        <v>11.930943868526533</v>
      </c>
      <c r="P40" s="418">
        <v>21.694949842437051</v>
      </c>
      <c r="Q40" s="418">
        <v>2.9022949490678851</v>
      </c>
      <c r="R40" s="418">
        <v>4.8502324493376214</v>
      </c>
      <c r="S40" s="418">
        <v>17.433443862038999</v>
      </c>
      <c r="T40" s="418">
        <v>4.6526079409879406</v>
      </c>
      <c r="U40" s="418">
        <v>5.1427285581708615</v>
      </c>
      <c r="V40" s="418">
        <v>-4.9525000581701502</v>
      </c>
      <c r="W40" s="418">
        <v>27.171157566434424</v>
      </c>
    </row>
    <row r="41" spans="1:23" s="161" customFormat="1" ht="9.9499999999999993" customHeight="1">
      <c r="A41" s="420"/>
      <c r="B41" s="417" t="s">
        <v>263</v>
      </c>
      <c r="C41" s="418">
        <v>-6.7523114549096093</v>
      </c>
      <c r="D41" s="418">
        <v>11.681073291753696</v>
      </c>
      <c r="E41" s="418">
        <v>19.590903666903326</v>
      </c>
      <c r="F41" s="418">
        <v>-7.4359293206336723</v>
      </c>
      <c r="G41" s="418">
        <v>21.594684130454556</v>
      </c>
      <c r="H41" s="418">
        <v>2.3553546737633324</v>
      </c>
      <c r="I41" s="418">
        <v>6.7187900890706143</v>
      </c>
      <c r="J41" s="418">
        <v>3.7687217258409955</v>
      </c>
      <c r="K41" s="418">
        <v>-1.7409043750407416</v>
      </c>
      <c r="L41" s="418">
        <v>3.7198241050074854</v>
      </c>
      <c r="M41" s="418">
        <v>-5.6921347998159515</v>
      </c>
      <c r="N41" s="418">
        <v>14.388997216325272</v>
      </c>
      <c r="O41" s="418">
        <v>4.8869990048901135</v>
      </c>
      <c r="P41" s="418">
        <v>5.1223723017601364</v>
      </c>
      <c r="Q41" s="418">
        <v>-1.0049230744003657</v>
      </c>
      <c r="R41" s="418">
        <v>-5.587493873531546</v>
      </c>
      <c r="S41" s="418">
        <v>-6.8334676883496144</v>
      </c>
      <c r="T41" s="418">
        <v>2.6763724295475244</v>
      </c>
      <c r="U41" s="418">
        <v>4.2753370042630801</v>
      </c>
      <c r="V41" s="418">
        <v>9.7062887053277702</v>
      </c>
      <c r="W41" s="418">
        <v>-6.5998368072889058</v>
      </c>
    </row>
    <row r="42" spans="1:23" s="161" customFormat="1" ht="9.9499999999999993" customHeight="1">
      <c r="A42" s="420"/>
      <c r="B42" s="417" t="s">
        <v>264</v>
      </c>
      <c r="C42" s="418">
        <v>-13.127542930718716</v>
      </c>
      <c r="D42" s="418">
        <v>-5.866149172754942</v>
      </c>
      <c r="E42" s="418">
        <v>10.42847675362979</v>
      </c>
      <c r="F42" s="418">
        <v>-12.973177998818375</v>
      </c>
      <c r="G42" s="418">
        <v>13.71966915688898</v>
      </c>
      <c r="H42" s="418">
        <v>17.141202398392362</v>
      </c>
      <c r="I42" s="418">
        <v>-9.7563910854630116</v>
      </c>
      <c r="J42" s="418">
        <v>9.2171347349782717</v>
      </c>
      <c r="K42" s="418">
        <v>3.4956707430217282</v>
      </c>
      <c r="L42" s="418">
        <v>9.2674783959256324</v>
      </c>
      <c r="M42" s="418">
        <v>-9.1298473746219688</v>
      </c>
      <c r="N42" s="418">
        <v>14.140752231384447</v>
      </c>
      <c r="O42" s="418">
        <v>12.029542709999031</v>
      </c>
      <c r="P42" s="418">
        <v>-6.9382479137698123</v>
      </c>
      <c r="Q42" s="418">
        <v>-0.17388146261159143</v>
      </c>
      <c r="R42" s="418">
        <v>-4.3454509176938831</v>
      </c>
      <c r="S42" s="418">
        <v>-5.2650441966527239</v>
      </c>
      <c r="T42" s="418">
        <v>7.7869871811259372</v>
      </c>
      <c r="U42" s="418">
        <v>3.1504261639030195</v>
      </c>
      <c r="V42" s="418">
        <v>6.7659996788186794</v>
      </c>
      <c r="W42" s="418">
        <v>6.4727785487963541</v>
      </c>
    </row>
    <row r="43" spans="1:23" s="161" customFormat="1" ht="9.9499999999999993" customHeight="1">
      <c r="A43" s="420"/>
      <c r="B43" s="417" t="s">
        <v>265</v>
      </c>
      <c r="C43" s="418">
        <v>-13.664999961982517</v>
      </c>
      <c r="D43" s="418">
        <v>11.076694454415614</v>
      </c>
      <c r="E43" s="418">
        <v>-1.9079584439388841</v>
      </c>
      <c r="F43" s="418">
        <v>-3.1135436045836795</v>
      </c>
      <c r="G43" s="418">
        <v>-7.0008777563820619</v>
      </c>
      <c r="H43" s="418">
        <v>23.48814986695864</v>
      </c>
      <c r="I43" s="418">
        <v>-8.3533224068524365</v>
      </c>
      <c r="J43" s="418">
        <v>8.5647960609091189</v>
      </c>
      <c r="K43" s="418">
        <v>-7.7279850994537824</v>
      </c>
      <c r="L43" s="418">
        <v>5.8364138419243261</v>
      </c>
      <c r="M43" s="418">
        <v>14.983632891420505</v>
      </c>
      <c r="N43" s="418">
        <v>-8.0299925650927797</v>
      </c>
      <c r="O43" s="418">
        <v>1.0122613890747312</v>
      </c>
      <c r="P43" s="418">
        <v>1.2679963607610256</v>
      </c>
      <c r="Q43" s="418">
        <v>-3.463672625839509</v>
      </c>
      <c r="R43" s="418">
        <v>6.4996072509602598</v>
      </c>
      <c r="S43" s="418">
        <v>-2.7563056460050528</v>
      </c>
      <c r="T43" s="418">
        <v>3.0740060823404081</v>
      </c>
      <c r="U43" s="418">
        <v>2.5301397196739517</v>
      </c>
      <c r="V43" s="418">
        <v>2.6727452481404956</v>
      </c>
      <c r="W43" s="418">
        <v>-3.1637144208419787</v>
      </c>
    </row>
    <row r="44" spans="1:23" s="161" customFormat="1" ht="9.9499999999999993" customHeight="1">
      <c r="A44" s="420"/>
      <c r="B44" s="417" t="s">
        <v>266</v>
      </c>
      <c r="C44" s="418">
        <v>5.3807159068080423</v>
      </c>
      <c r="D44" s="418">
        <v>-20.030408203249539</v>
      </c>
      <c r="E44" s="418">
        <v>16.832246631298119</v>
      </c>
      <c r="F44" s="418">
        <v>-25.273602258039883</v>
      </c>
      <c r="G44" s="418">
        <v>2.1840544953805274</v>
      </c>
      <c r="H44" s="418">
        <v>77.339657400757872</v>
      </c>
      <c r="I44" s="418">
        <v>-13.186925126119764</v>
      </c>
      <c r="J44" s="418">
        <v>32.783881979776488</v>
      </c>
      <c r="K44" s="418">
        <v>6.5713476948382921</v>
      </c>
      <c r="L44" s="418">
        <v>5.2360721770067231</v>
      </c>
      <c r="M44" s="418">
        <v>14.930402758415084</v>
      </c>
      <c r="N44" s="418">
        <v>-0.23898040524845676</v>
      </c>
      <c r="O44" s="418">
        <v>7.2670735063069092</v>
      </c>
      <c r="P44" s="418">
        <v>0.33491154526419376</v>
      </c>
      <c r="Q44" s="418">
        <v>16.314108120891756</v>
      </c>
      <c r="R44" s="418">
        <v>-21.881626086591087</v>
      </c>
      <c r="S44" s="418">
        <v>-13.477277166921297</v>
      </c>
      <c r="T44" s="418">
        <v>19.266422643848635</v>
      </c>
      <c r="U44" s="418">
        <v>-1.7085615718639646</v>
      </c>
      <c r="V44" s="418">
        <v>-2.9663072146235425E-2</v>
      </c>
      <c r="W44" s="418">
        <v>10.092279671379112</v>
      </c>
    </row>
    <row r="45" spans="1:23" s="161" customFormat="1" ht="9.9499999999999993" customHeight="1">
      <c r="A45" s="420"/>
      <c r="B45" s="417" t="s">
        <v>84</v>
      </c>
      <c r="C45" s="418">
        <v>38.78389838206089</v>
      </c>
      <c r="D45" s="418">
        <v>13.789733231334989</v>
      </c>
      <c r="E45" s="418">
        <v>-4.5801848695519283</v>
      </c>
      <c r="F45" s="418">
        <v>9.3374123645857168</v>
      </c>
      <c r="G45" s="418">
        <v>-2.7716330150103774</v>
      </c>
      <c r="H45" s="418">
        <v>-6.3114889285106557</v>
      </c>
      <c r="I45" s="418">
        <v>-3.9862760156168076</v>
      </c>
      <c r="J45" s="418">
        <v>21.500410475748509</v>
      </c>
      <c r="K45" s="418">
        <v>2.7585427792157891</v>
      </c>
      <c r="L45" s="418">
        <v>-10.782545852428949</v>
      </c>
      <c r="M45" s="418">
        <v>-4.2101822938558131</v>
      </c>
      <c r="N45" s="418">
        <v>9.4247126765473865</v>
      </c>
      <c r="O45" s="418">
        <v>2.7654983755927454</v>
      </c>
      <c r="P45" s="418">
        <v>10.478269142083541</v>
      </c>
      <c r="Q45" s="418">
        <v>-5.2621584258699556</v>
      </c>
      <c r="R45" s="418">
        <v>0.31463000994087498</v>
      </c>
      <c r="S45" s="418">
        <v>-1.4941334803187156</v>
      </c>
      <c r="T45" s="418">
        <v>0.24405565919263239</v>
      </c>
      <c r="U45" s="418">
        <v>-0.11625418663411269</v>
      </c>
      <c r="V45" s="418">
        <v>-13.412252426943926</v>
      </c>
      <c r="W45" s="418">
        <v>-0.43670875381491836</v>
      </c>
    </row>
    <row r="46" spans="1:23" s="161" customFormat="1" ht="9.9499999999999993" customHeight="1">
      <c r="A46" s="420"/>
      <c r="B46" s="417" t="s">
        <v>215</v>
      </c>
      <c r="C46" s="418">
        <v>10.620883562567807</v>
      </c>
      <c r="D46" s="418">
        <v>-26.817330480700797</v>
      </c>
      <c r="E46" s="418">
        <v>17.651690059499046</v>
      </c>
      <c r="F46" s="418">
        <v>-17.30524269848971</v>
      </c>
      <c r="G46" s="418">
        <v>10.001670056904977</v>
      </c>
      <c r="H46" s="418">
        <v>-18.39515518938537</v>
      </c>
      <c r="I46" s="418">
        <v>38.837004437711656</v>
      </c>
      <c r="J46" s="418">
        <v>19.551423760576526</v>
      </c>
      <c r="K46" s="418">
        <v>23.691463056540996</v>
      </c>
      <c r="L46" s="418">
        <v>-28.959510517296238</v>
      </c>
      <c r="M46" s="418">
        <v>-18.155513828730129</v>
      </c>
      <c r="N46" s="418">
        <v>54.184092278114363</v>
      </c>
      <c r="O46" s="418">
        <v>-1.2848463168277036</v>
      </c>
      <c r="P46" s="418">
        <v>-6.2573878993341996</v>
      </c>
      <c r="Q46" s="418">
        <v>-16.203775421557552</v>
      </c>
      <c r="R46" s="418">
        <v>8.1162668080384748</v>
      </c>
      <c r="S46" s="418">
        <v>9.7784102075291202</v>
      </c>
      <c r="T46" s="418">
        <v>21.755764652187224</v>
      </c>
      <c r="U46" s="418">
        <v>-17.642273223574321</v>
      </c>
      <c r="V46" s="418">
        <v>-6.6148332915123458</v>
      </c>
      <c r="W46" s="418">
        <v>18.655641472176843</v>
      </c>
    </row>
    <row r="47" spans="1:23" s="161" customFormat="1" ht="9.9499999999999993" customHeight="1">
      <c r="A47" s="420"/>
      <c r="B47" s="417" t="s">
        <v>267</v>
      </c>
      <c r="C47" s="418">
        <v>-4.6310180391035178</v>
      </c>
      <c r="D47" s="418">
        <v>6.7010638559249269</v>
      </c>
      <c r="E47" s="418">
        <v>-8.5048125189967845</v>
      </c>
      <c r="F47" s="418">
        <v>-9.3991860454347265</v>
      </c>
      <c r="G47" s="418">
        <v>7.4949921304748646</v>
      </c>
      <c r="H47" s="418">
        <v>-3.8417868537991229</v>
      </c>
      <c r="I47" s="418">
        <v>-5.0538876024992625</v>
      </c>
      <c r="J47" s="418">
        <v>-4.061838672211648</v>
      </c>
      <c r="K47" s="418">
        <v>9.0487030944966804</v>
      </c>
      <c r="L47" s="418">
        <v>-5.1142480185783707</v>
      </c>
      <c r="M47" s="418">
        <v>-5.8122570772647153</v>
      </c>
      <c r="N47" s="418">
        <v>3.7408209714935303</v>
      </c>
      <c r="O47" s="418">
        <v>2.389515522848229</v>
      </c>
      <c r="P47" s="418">
        <v>-4.9081641278409416</v>
      </c>
      <c r="Q47" s="418">
        <v>3.937041383901696</v>
      </c>
      <c r="R47" s="418">
        <v>-0.89627652574341132</v>
      </c>
      <c r="S47" s="418">
        <v>2.2249277552200297</v>
      </c>
      <c r="T47" s="418">
        <v>0.94920324978884363</v>
      </c>
      <c r="U47" s="418">
        <v>-6.0522879591036194</v>
      </c>
      <c r="V47" s="418">
        <v>8.7969676004115982</v>
      </c>
      <c r="W47" s="418">
        <v>0.43852421980796752</v>
      </c>
    </row>
    <row r="48" spans="1:23" s="161" customFormat="1" ht="9.9499999999999993" customHeight="1">
      <c r="A48" s="421"/>
      <c r="B48" s="422" t="s">
        <v>61</v>
      </c>
      <c r="C48" s="423">
        <v>-2.3692699927233662</v>
      </c>
      <c r="D48" s="423">
        <v>0.41452965926191965</v>
      </c>
      <c r="E48" s="423">
        <v>12.46242518096512</v>
      </c>
      <c r="F48" s="423">
        <v>2.6044976974345602</v>
      </c>
      <c r="G48" s="423">
        <v>-8.9052121330090337</v>
      </c>
      <c r="H48" s="423">
        <v>-8.2312533272912667</v>
      </c>
      <c r="I48" s="423">
        <v>-2.4521798700247621</v>
      </c>
      <c r="J48" s="423">
        <v>0.96988976640979274</v>
      </c>
      <c r="K48" s="423">
        <v>7.3106012749031057</v>
      </c>
      <c r="L48" s="423">
        <v>8.3667936336389239</v>
      </c>
      <c r="M48" s="423">
        <v>-34.045187937211331</v>
      </c>
      <c r="N48" s="423">
        <v>-7.8056606132601347</v>
      </c>
      <c r="O48" s="423">
        <v>28.515423482188673</v>
      </c>
      <c r="P48" s="423">
        <v>-1.3793249786373085</v>
      </c>
      <c r="Q48" s="423">
        <v>-5.8787036932787862</v>
      </c>
      <c r="R48" s="423">
        <v>23.947226373937646</v>
      </c>
      <c r="S48" s="423">
        <v>5.2877736077752591</v>
      </c>
      <c r="T48" s="423">
        <v>-1.4038652880772995</v>
      </c>
      <c r="U48" s="423">
        <v>-11.084183104306511</v>
      </c>
      <c r="V48" s="423">
        <v>13.299830083672148</v>
      </c>
      <c r="W48" s="423">
        <v>5.7866912263396575</v>
      </c>
    </row>
    <row r="49" spans="1:23" s="161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10"/>
      <c r="U49" s="110"/>
      <c r="V49" s="110"/>
      <c r="W49" s="110" t="s">
        <v>214</v>
      </c>
    </row>
    <row r="50" spans="1:23" s="161" customFormat="1" ht="15" customHeight="1">
      <c r="A50" s="16"/>
      <c r="B50" s="67" t="s">
        <v>247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161" customFormat="1" ht="18.75" customHeight="1">
      <c r="A51" s="497" t="s">
        <v>234</v>
      </c>
      <c r="B51" s="498"/>
      <c r="C51" s="411" t="s">
        <v>307</v>
      </c>
      <c r="D51" s="411" t="s">
        <v>308</v>
      </c>
      <c r="E51" s="411" t="s">
        <v>309</v>
      </c>
      <c r="F51" s="411" t="s">
        <v>310</v>
      </c>
      <c r="G51" s="411" t="s">
        <v>311</v>
      </c>
      <c r="H51" s="411" t="s">
        <v>312</v>
      </c>
      <c r="I51" s="411" t="s">
        <v>217</v>
      </c>
      <c r="J51" s="411" t="s">
        <v>218</v>
      </c>
      <c r="K51" s="411" t="s">
        <v>219</v>
      </c>
      <c r="L51" s="411" t="s">
        <v>220</v>
      </c>
      <c r="M51" s="411" t="s">
        <v>221</v>
      </c>
      <c r="N51" s="411" t="s">
        <v>222</v>
      </c>
      <c r="O51" s="411" t="s">
        <v>223</v>
      </c>
      <c r="P51" s="411" t="s">
        <v>224</v>
      </c>
      <c r="Q51" s="411" t="s">
        <v>225</v>
      </c>
      <c r="R51" s="411" t="s">
        <v>226</v>
      </c>
      <c r="S51" s="411" t="s">
        <v>498</v>
      </c>
      <c r="T51" s="411" t="s">
        <v>499</v>
      </c>
      <c r="U51" s="411" t="s">
        <v>149</v>
      </c>
      <c r="V51" s="411" t="s">
        <v>343</v>
      </c>
      <c r="W51" s="411" t="s">
        <v>354</v>
      </c>
    </row>
    <row r="52" spans="1:23" s="161" customFormat="1" ht="9.9499999999999993" customHeight="1">
      <c r="A52" s="420"/>
      <c r="B52" s="417" t="s">
        <v>62</v>
      </c>
      <c r="C52" s="418">
        <v>-23.811206607089741</v>
      </c>
      <c r="D52" s="418">
        <v>45.486167558534561</v>
      </c>
      <c r="E52" s="418">
        <v>-0.26975132833961801</v>
      </c>
      <c r="F52" s="418">
        <v>-10.026170639429777</v>
      </c>
      <c r="G52" s="418">
        <v>23.411816543359087</v>
      </c>
      <c r="H52" s="418">
        <v>-6.8375315149319942</v>
      </c>
      <c r="I52" s="418">
        <v>3.7878651292202914</v>
      </c>
      <c r="J52" s="418">
        <v>-6.1571369582807067</v>
      </c>
      <c r="K52" s="418">
        <v>31.5391476898218</v>
      </c>
      <c r="L52" s="418">
        <v>5.2809394055842063</v>
      </c>
      <c r="M52" s="418">
        <v>-1.7883008800565259</v>
      </c>
      <c r="N52" s="418">
        <v>5.3310820874971077</v>
      </c>
      <c r="O52" s="418">
        <v>3.7943005704810462</v>
      </c>
      <c r="P52" s="418">
        <v>68.573035346124684</v>
      </c>
      <c r="Q52" s="418">
        <v>19.584298128546894</v>
      </c>
      <c r="R52" s="418">
        <v>-19.225737932151198</v>
      </c>
      <c r="S52" s="418">
        <v>1.0122695555249361</v>
      </c>
      <c r="T52" s="418">
        <v>6.1424896975976528</v>
      </c>
      <c r="U52" s="418">
        <v>-2.4302026954719502</v>
      </c>
      <c r="V52" s="418">
        <v>20.400467551517099</v>
      </c>
      <c r="W52" s="418">
        <v>3.7390521567494117</v>
      </c>
    </row>
    <row r="53" spans="1:23" s="161" customFormat="1" ht="9.9499999999999993" customHeight="1">
      <c r="A53" s="420"/>
      <c r="B53" s="417" t="s">
        <v>88</v>
      </c>
      <c r="C53" s="418">
        <v>43.570422695164353</v>
      </c>
      <c r="D53" s="418">
        <v>2.0340288412065144</v>
      </c>
      <c r="E53" s="418">
        <v>-13.343435055324559</v>
      </c>
      <c r="F53" s="418">
        <v>3.3304325902551168</v>
      </c>
      <c r="G53" s="418">
        <v>7.4119651796115127</v>
      </c>
      <c r="H53" s="418">
        <v>7.3400891997123408</v>
      </c>
      <c r="I53" s="418">
        <v>11.655516568136214</v>
      </c>
      <c r="J53" s="418">
        <v>52.273683554078374</v>
      </c>
      <c r="K53" s="418">
        <v>8.3194630913443035</v>
      </c>
      <c r="L53" s="418">
        <v>0.64121074050693672</v>
      </c>
      <c r="M53" s="418">
        <v>12.285911438148078</v>
      </c>
      <c r="N53" s="418">
        <v>-7.2301800939659211</v>
      </c>
      <c r="O53" s="418">
        <v>17.528653029186071</v>
      </c>
      <c r="P53" s="418">
        <v>35.342035835584774</v>
      </c>
      <c r="Q53" s="418">
        <v>-8.5527849840989276</v>
      </c>
      <c r="R53" s="418">
        <v>-5.5250478095130511</v>
      </c>
      <c r="S53" s="418">
        <v>10.69941901616367</v>
      </c>
      <c r="T53" s="418">
        <v>-3.6816198262629163</v>
      </c>
      <c r="U53" s="418">
        <v>-2.5556494634281113</v>
      </c>
      <c r="V53" s="418">
        <v>-16.94900207343677</v>
      </c>
      <c r="W53" s="418">
        <v>-3.171193617240442</v>
      </c>
    </row>
    <row r="54" spans="1:23" s="161" customFormat="1" ht="9.9499999999999993" customHeight="1">
      <c r="A54" s="420"/>
      <c r="B54" s="417" t="s">
        <v>63</v>
      </c>
      <c r="C54" s="418">
        <v>-12.977112728749674</v>
      </c>
      <c r="D54" s="418">
        <v>-7.3889545124598115</v>
      </c>
      <c r="E54" s="418">
        <v>-0.40996100487551423</v>
      </c>
      <c r="F54" s="418">
        <v>-2.3400723374360832</v>
      </c>
      <c r="G54" s="418">
        <v>4.3038708966067318</v>
      </c>
      <c r="H54" s="418">
        <v>4.554747035241058</v>
      </c>
      <c r="I54" s="418">
        <v>-0.30985694318924617</v>
      </c>
      <c r="J54" s="418">
        <v>2.8503334000619329</v>
      </c>
      <c r="K54" s="418">
        <v>13.567932741282673</v>
      </c>
      <c r="L54" s="418">
        <v>4.1995804743812482</v>
      </c>
      <c r="M54" s="418">
        <v>-3.1528912933210806</v>
      </c>
      <c r="N54" s="418">
        <v>-1.6420440759741584</v>
      </c>
      <c r="O54" s="418">
        <v>1.2008248438436286</v>
      </c>
      <c r="P54" s="418">
        <v>-1.1186093759273597</v>
      </c>
      <c r="Q54" s="418">
        <v>8.6335976376510359</v>
      </c>
      <c r="R54" s="418">
        <v>-3.2762240684480193</v>
      </c>
      <c r="S54" s="418">
        <v>3.3098545736392815</v>
      </c>
      <c r="T54" s="418">
        <v>-7.052647725983741</v>
      </c>
      <c r="U54" s="418">
        <v>2.7440658846640931</v>
      </c>
      <c r="V54" s="418">
        <v>-21.32251000915636</v>
      </c>
      <c r="W54" s="418">
        <v>-17.583443090118365</v>
      </c>
    </row>
    <row r="55" spans="1:23" s="161" customFormat="1" ht="9.9499999999999993" customHeight="1">
      <c r="A55" s="420"/>
      <c r="B55" s="417" t="s">
        <v>140</v>
      </c>
      <c r="C55" s="418">
        <v>2.5298569069895471</v>
      </c>
      <c r="D55" s="418">
        <v>2.8689040469036753</v>
      </c>
      <c r="E55" s="418">
        <v>-13.751554498198926</v>
      </c>
      <c r="F55" s="418">
        <v>2.1320394282092758</v>
      </c>
      <c r="G55" s="418">
        <v>-20.877101268128541</v>
      </c>
      <c r="H55" s="418">
        <v>157.17505030181081</v>
      </c>
      <c r="I55" s="418">
        <v>-48.890701895602831</v>
      </c>
      <c r="J55" s="418">
        <v>69.98356717593235</v>
      </c>
      <c r="K55" s="418">
        <v>16.056248616189439</v>
      </c>
      <c r="L55" s="418">
        <v>49.7165580142062</v>
      </c>
      <c r="M55" s="418">
        <v>-67.232655977598483</v>
      </c>
      <c r="N55" s="418">
        <v>221.77827764886189</v>
      </c>
      <c r="O55" s="418">
        <v>-67.945535771443204</v>
      </c>
      <c r="P55" s="418">
        <v>-7.0647730801716602</v>
      </c>
      <c r="Q55" s="418">
        <v>-11.811133606656787</v>
      </c>
      <c r="R55" s="418">
        <v>141.03253216926967</v>
      </c>
      <c r="S55" s="418">
        <v>-23.760813543420888</v>
      </c>
      <c r="T55" s="418">
        <v>-75.013828638542108</v>
      </c>
      <c r="U55" s="418">
        <v>136.18884074617418</v>
      </c>
      <c r="V55" s="418">
        <v>-29.180334341362823</v>
      </c>
      <c r="W55" s="418">
        <v>34.599957348606303</v>
      </c>
    </row>
    <row r="56" spans="1:23" s="161" customFormat="1" ht="9.9499999999999993" customHeight="1">
      <c r="A56" s="420"/>
      <c r="B56" s="417" t="s">
        <v>115</v>
      </c>
      <c r="C56" s="418">
        <v>-1.8693032035815627</v>
      </c>
      <c r="D56" s="418">
        <v>1.4500755386218867</v>
      </c>
      <c r="E56" s="418">
        <v>-5.1478517425289745</v>
      </c>
      <c r="F56" s="418">
        <v>-8.9431684189435252</v>
      </c>
      <c r="G56" s="418">
        <v>-7.6658496770831359</v>
      </c>
      <c r="H56" s="418">
        <v>3.0835811175185857</v>
      </c>
      <c r="I56" s="418">
        <v>3.3015211713550707</v>
      </c>
      <c r="J56" s="418">
        <v>2.8826697165004189</v>
      </c>
      <c r="K56" s="418">
        <v>3.904739553491976</v>
      </c>
      <c r="L56" s="418">
        <v>-4.605943740144558</v>
      </c>
      <c r="M56" s="418">
        <v>2.9160669865668343</v>
      </c>
      <c r="N56" s="418">
        <v>3.365967546219939</v>
      </c>
      <c r="O56" s="418">
        <v>3.5251554174829058</v>
      </c>
      <c r="P56" s="418">
        <v>-2.6325931152098248</v>
      </c>
      <c r="Q56" s="418">
        <v>5.5715247233772969</v>
      </c>
      <c r="R56" s="418">
        <v>-6.7436353628480887</v>
      </c>
      <c r="S56" s="418">
        <v>12.479410587891238</v>
      </c>
      <c r="T56" s="418">
        <v>1.9525216683493829</v>
      </c>
      <c r="U56" s="418">
        <v>-4.7101095330747578</v>
      </c>
      <c r="V56" s="418">
        <v>0.98120173102902442</v>
      </c>
      <c r="W56" s="418">
        <v>8.4134326669412118</v>
      </c>
    </row>
    <row r="57" spans="1:23" s="161" customFormat="1" ht="9.9499999999999993" customHeight="1">
      <c r="A57" s="420"/>
      <c r="B57" s="417" t="s">
        <v>116</v>
      </c>
      <c r="C57" s="418">
        <v>35.414134867266213</v>
      </c>
      <c r="D57" s="418">
        <v>5.4220471655781033</v>
      </c>
      <c r="E57" s="418">
        <v>18.451181158220798</v>
      </c>
      <c r="F57" s="418">
        <v>50.470156604411656</v>
      </c>
      <c r="G57" s="418">
        <v>-13.063840694655049</v>
      </c>
      <c r="H57" s="418">
        <v>5.337374440303666</v>
      </c>
      <c r="I57" s="418">
        <v>-16.337708623087632</v>
      </c>
      <c r="J57" s="418">
        <v>24.940033310786735</v>
      </c>
      <c r="K57" s="418">
        <v>8.3683011519629638</v>
      </c>
      <c r="L57" s="418">
        <v>16.683514766637629</v>
      </c>
      <c r="M57" s="418">
        <v>-11.317644558646144</v>
      </c>
      <c r="N57" s="418">
        <v>-2.9153083096949861</v>
      </c>
      <c r="O57" s="418">
        <v>4.7104409552175985</v>
      </c>
      <c r="P57" s="418">
        <v>3.2106544148239768</v>
      </c>
      <c r="Q57" s="418">
        <v>5.1189914076558818</v>
      </c>
      <c r="R57" s="418">
        <v>-9.9594682693449403</v>
      </c>
      <c r="S57" s="418">
        <v>7.6195599499644828</v>
      </c>
      <c r="T57" s="418">
        <v>-6.4040961760743915</v>
      </c>
      <c r="U57" s="418">
        <v>-6.9433517737296668</v>
      </c>
      <c r="V57" s="418">
        <v>-0.87896175655001185</v>
      </c>
      <c r="W57" s="418">
        <v>3.3051627102247405</v>
      </c>
    </row>
    <row r="58" spans="1:23" s="161" customFormat="1" ht="9.9499999999999993" customHeight="1">
      <c r="A58" s="420"/>
      <c r="B58" s="417" t="s">
        <v>60</v>
      </c>
      <c r="C58" s="418">
        <v>8.9637459860784965</v>
      </c>
      <c r="D58" s="418">
        <v>4.9925840408935329</v>
      </c>
      <c r="E58" s="418">
        <v>-3.6271461831960505</v>
      </c>
      <c r="F58" s="418">
        <v>24.398089097044529</v>
      </c>
      <c r="G58" s="418">
        <v>-12.243988368891801</v>
      </c>
      <c r="H58" s="418">
        <v>12.068111980824913</v>
      </c>
      <c r="I58" s="418">
        <v>47.710154192768783</v>
      </c>
      <c r="J58" s="418">
        <v>6.550685884936791</v>
      </c>
      <c r="K58" s="418">
        <v>3.7396002465260869</v>
      </c>
      <c r="L58" s="418">
        <v>-10.465608121327918</v>
      </c>
      <c r="M58" s="418">
        <v>-12.622729824031687</v>
      </c>
      <c r="N58" s="418">
        <v>10.275563120725796</v>
      </c>
      <c r="O58" s="418">
        <v>9.1578331951741596</v>
      </c>
      <c r="P58" s="418">
        <v>-4.170552042763898</v>
      </c>
      <c r="Q58" s="418">
        <v>-10.012012074605991</v>
      </c>
      <c r="R58" s="418">
        <v>-8.0385974972729137</v>
      </c>
      <c r="S58" s="418">
        <v>1.684918148347192</v>
      </c>
      <c r="T58" s="418">
        <v>27.184386389252623</v>
      </c>
      <c r="U58" s="418">
        <v>6.2598531772876109</v>
      </c>
      <c r="V58" s="418">
        <v>2.603449187909912</v>
      </c>
      <c r="W58" s="418">
        <v>-10.661747340173877</v>
      </c>
    </row>
    <row r="59" spans="1:23" s="161" customFormat="1" ht="9.9499999999999993" customHeight="1">
      <c r="A59" s="420"/>
      <c r="B59" s="417" t="s">
        <v>117</v>
      </c>
      <c r="C59" s="418">
        <v>-25.976934713845068</v>
      </c>
      <c r="D59" s="418">
        <v>-48.404862382886115</v>
      </c>
      <c r="E59" s="418">
        <v>-32.637156305460522</v>
      </c>
      <c r="F59" s="418">
        <v>-29.431080565101155</v>
      </c>
      <c r="G59" s="418">
        <v>-14.99837679904773</v>
      </c>
      <c r="H59" s="418">
        <v>110.55378739656261</v>
      </c>
      <c r="I59" s="418">
        <v>-13.870246085011173</v>
      </c>
      <c r="J59" s="418">
        <v>18.448578448578456</v>
      </c>
      <c r="K59" s="418">
        <v>188.71569963847571</v>
      </c>
      <c r="L59" s="418">
        <v>-42.158472749666423</v>
      </c>
      <c r="M59" s="418">
        <v>-22.87303699760449</v>
      </c>
      <c r="N59" s="418">
        <v>3.939040467135535</v>
      </c>
      <c r="O59" s="418">
        <v>27.695508776589861</v>
      </c>
      <c r="P59" s="418">
        <v>-43.835219885940127</v>
      </c>
      <c r="Q59" s="418">
        <v>45.705211892262241</v>
      </c>
      <c r="R59" s="418">
        <v>22.919393854665792</v>
      </c>
      <c r="S59" s="418">
        <v>91.474926762019606</v>
      </c>
      <c r="T59" s="418">
        <v>-73.181331780558324</v>
      </c>
      <c r="U59" s="418">
        <v>24.520957079096604</v>
      </c>
      <c r="V59" s="418">
        <v>-17.304479059990317</v>
      </c>
      <c r="W59" s="418">
        <v>-9.8745315300635355</v>
      </c>
    </row>
    <row r="60" spans="1:23" s="161" customFormat="1" ht="9.9499999999999993" customHeight="1">
      <c r="A60" s="420"/>
      <c r="B60" s="417" t="s">
        <v>118</v>
      </c>
      <c r="C60" s="418">
        <v>-12.053364428917067</v>
      </c>
      <c r="D60" s="418">
        <v>2.4429967426710109</v>
      </c>
      <c r="E60" s="418">
        <v>5.9155450699568402</v>
      </c>
      <c r="F60" s="418">
        <v>13.628511142201404</v>
      </c>
      <c r="G60" s="418">
        <v>-3.0207021121274935</v>
      </c>
      <c r="H60" s="418">
        <v>11.336751388794708</v>
      </c>
      <c r="I60" s="418">
        <v>0.41825030033353361</v>
      </c>
      <c r="J60" s="418">
        <v>19.251840623059401</v>
      </c>
      <c r="K60" s="418">
        <v>6.1617410522985638</v>
      </c>
      <c r="L60" s="418">
        <v>6.5768678130143199</v>
      </c>
      <c r="M60" s="418">
        <v>10.37080205169698</v>
      </c>
      <c r="N60" s="418">
        <v>17.00046289265298</v>
      </c>
      <c r="O60" s="418">
        <v>32.139807739083047</v>
      </c>
      <c r="P60" s="418">
        <v>33.4907781142348</v>
      </c>
      <c r="Q60" s="418">
        <v>-14.045609455751629</v>
      </c>
      <c r="R60" s="418">
        <v>6.1076537948456133</v>
      </c>
      <c r="S60" s="418">
        <v>12.098354030301618</v>
      </c>
      <c r="T60" s="418">
        <v>-3.7395326236659643</v>
      </c>
      <c r="U60" s="418">
        <v>-6.713978221149663</v>
      </c>
      <c r="V60" s="418">
        <v>0.81792569906282697</v>
      </c>
      <c r="W60" s="418">
        <v>10.105096490178166</v>
      </c>
    </row>
    <row r="61" spans="1:23" s="161" customFormat="1" ht="9.9499999999999993" customHeight="1">
      <c r="A61" s="420"/>
      <c r="B61" s="417" t="s">
        <v>126</v>
      </c>
      <c r="C61" s="418">
        <v>22.034103158788731</v>
      </c>
      <c r="D61" s="418">
        <v>41.652591258167561</v>
      </c>
      <c r="E61" s="418">
        <v>11.637597082333384</v>
      </c>
      <c r="F61" s="418">
        <v>32.339046168168942</v>
      </c>
      <c r="G61" s="418">
        <v>1.426660152003123</v>
      </c>
      <c r="H61" s="418">
        <v>4.186486418320734</v>
      </c>
      <c r="I61" s="418">
        <v>17.046326578533979</v>
      </c>
      <c r="J61" s="418">
        <v>-4.7165130489725815</v>
      </c>
      <c r="K61" s="418">
        <v>17.372659788596035</v>
      </c>
      <c r="L61" s="418">
        <v>0.5254866091069621</v>
      </c>
      <c r="M61" s="418">
        <v>5.2525817802914654</v>
      </c>
      <c r="N61" s="418">
        <v>9.5369970791618677</v>
      </c>
      <c r="O61" s="418">
        <v>7.6774826516307071</v>
      </c>
      <c r="P61" s="418">
        <v>6.9369585780385101</v>
      </c>
      <c r="Q61" s="418">
        <v>-5.8020295726323496</v>
      </c>
      <c r="R61" s="418">
        <v>2.9714470571810869</v>
      </c>
      <c r="S61" s="418">
        <v>-6.7277258117457777</v>
      </c>
      <c r="T61" s="418">
        <v>-8.0915781132236635</v>
      </c>
      <c r="U61" s="418">
        <v>-2.1795737880509813</v>
      </c>
      <c r="V61" s="418">
        <v>-10.547635480309115</v>
      </c>
      <c r="W61" s="418">
        <v>4.027277687892461E-2</v>
      </c>
    </row>
    <row r="62" spans="1:23" s="161" customFormat="1" ht="9.9499999999999993" customHeight="1">
      <c r="A62" s="420"/>
      <c r="B62" s="417" t="s">
        <v>137</v>
      </c>
      <c r="C62" s="418">
        <v>5.993027978214327</v>
      </c>
      <c r="D62" s="418">
        <v>48.906521757221185</v>
      </c>
      <c r="E62" s="418">
        <v>-8.4452606629468185</v>
      </c>
      <c r="F62" s="418">
        <v>-13.68400178489566</v>
      </c>
      <c r="G62" s="418">
        <v>5.9780412067363287</v>
      </c>
      <c r="H62" s="418">
        <v>-6.1542993039762628</v>
      </c>
      <c r="I62" s="418">
        <v>8.6068390015068719</v>
      </c>
      <c r="J62" s="418">
        <v>5.994874716265719</v>
      </c>
      <c r="K62" s="418">
        <v>20.584563044683147</v>
      </c>
      <c r="L62" s="418">
        <v>3.9163192368983246</v>
      </c>
      <c r="M62" s="418">
        <v>-4.4281380244070352</v>
      </c>
      <c r="N62" s="418">
        <v>-13.87895400131438</v>
      </c>
      <c r="O62" s="418">
        <v>35.842611153408278</v>
      </c>
      <c r="P62" s="418">
        <v>-21.633694850310448</v>
      </c>
      <c r="Q62" s="418">
        <v>16.800541451802253</v>
      </c>
      <c r="R62" s="418">
        <v>29.860293095139735</v>
      </c>
      <c r="S62" s="418">
        <v>-3.3032038458189805</v>
      </c>
      <c r="T62" s="418">
        <v>-15.709511268140409</v>
      </c>
      <c r="U62" s="418">
        <v>5.7694232927828271</v>
      </c>
      <c r="V62" s="418">
        <v>-2.0623967887359207</v>
      </c>
      <c r="W62" s="418">
        <v>-3.9577428799651981</v>
      </c>
    </row>
    <row r="63" spans="1:23" s="161" customFormat="1" ht="9.9499999999999993" customHeight="1">
      <c r="A63" s="420"/>
      <c r="B63" s="417" t="s">
        <v>170</v>
      </c>
      <c r="C63" s="418">
        <v>-22.873075365990637</v>
      </c>
      <c r="D63" s="418">
        <v>11.837096839738305</v>
      </c>
      <c r="E63" s="418">
        <v>21.183077665336334</v>
      </c>
      <c r="F63" s="418">
        <v>-3.8461218110708684</v>
      </c>
      <c r="G63" s="418">
        <v>-5.5818888975511687</v>
      </c>
      <c r="H63" s="418">
        <v>7.1905180868465868</v>
      </c>
      <c r="I63" s="418">
        <v>35.654199408233907</v>
      </c>
      <c r="J63" s="418">
        <v>10.967255583164736</v>
      </c>
      <c r="K63" s="418">
        <v>24.375106324717265</v>
      </c>
      <c r="L63" s="418">
        <v>0.6767335465605262</v>
      </c>
      <c r="M63" s="418">
        <v>82.581802414593767</v>
      </c>
      <c r="N63" s="418">
        <v>-27.966437985399729</v>
      </c>
      <c r="O63" s="418">
        <v>-15.316614586953104</v>
      </c>
      <c r="P63" s="418">
        <v>4.5568782664319851</v>
      </c>
      <c r="Q63" s="418">
        <v>41.853225835822187</v>
      </c>
      <c r="R63" s="418">
        <v>-7.3385554659284979</v>
      </c>
      <c r="S63" s="418">
        <v>-7.2655214125233343</v>
      </c>
      <c r="T63" s="418">
        <v>20.147742824709148</v>
      </c>
      <c r="U63" s="418">
        <v>-12.884631933156875</v>
      </c>
      <c r="V63" s="418">
        <v>27.044530908720411</v>
      </c>
      <c r="W63" s="418">
        <v>14.453012655819709</v>
      </c>
    </row>
    <row r="64" spans="1:23" s="161" customFormat="1" ht="9.9499999999999993" customHeight="1">
      <c r="A64" s="420"/>
      <c r="B64" s="417" t="s">
        <v>138</v>
      </c>
      <c r="C64" s="418">
        <v>6.979749861516571</v>
      </c>
      <c r="D64" s="418">
        <v>23.262700408370975</v>
      </c>
      <c r="E64" s="418">
        <v>3.1231058970199621</v>
      </c>
      <c r="F64" s="418">
        <v>2.4138876261530218</v>
      </c>
      <c r="G64" s="418">
        <v>-0.8819070310574828</v>
      </c>
      <c r="H64" s="418">
        <v>3.2163933896602437</v>
      </c>
      <c r="I64" s="418">
        <v>3.5026482105001255</v>
      </c>
      <c r="J64" s="418">
        <v>-2.6089883112541012</v>
      </c>
      <c r="K64" s="418">
        <v>-8.9073833161501526E-2</v>
      </c>
      <c r="L64" s="418">
        <v>-0.42772359332132748</v>
      </c>
      <c r="M64" s="418">
        <v>0.36740338186842525</v>
      </c>
      <c r="N64" s="418">
        <v>1.9164479023174419</v>
      </c>
      <c r="O64" s="418">
        <v>0.38242180762921851</v>
      </c>
      <c r="P64" s="418">
        <v>8.6446362930234564</v>
      </c>
      <c r="Q64" s="418">
        <v>0.50730849299809311</v>
      </c>
      <c r="R64" s="418">
        <v>-10.474275800390487</v>
      </c>
      <c r="S64" s="418">
        <v>11.926071325736709</v>
      </c>
      <c r="T64" s="418">
        <v>-2.6227803893743462</v>
      </c>
      <c r="U64" s="418">
        <v>-6.1746229755633379</v>
      </c>
      <c r="V64" s="418">
        <v>-6.207972986004739</v>
      </c>
      <c r="W64" s="418">
        <v>12.929827878641609</v>
      </c>
    </row>
    <row r="65" spans="1:23" s="161" customFormat="1" ht="9.9499999999999993" customHeight="1">
      <c r="A65" s="420"/>
      <c r="B65" s="417" t="s">
        <v>44</v>
      </c>
      <c r="C65" s="418">
        <v>-0.91862798759353437</v>
      </c>
      <c r="D65" s="418">
        <v>-3.0788211355914807</v>
      </c>
      <c r="E65" s="418">
        <v>-9.560649383959186</v>
      </c>
      <c r="F65" s="418">
        <v>11.380437499868702</v>
      </c>
      <c r="G65" s="418">
        <v>-0.12853724986869874</v>
      </c>
      <c r="H65" s="418">
        <v>4.3199909351010035</v>
      </c>
      <c r="I65" s="418">
        <v>-1.0795452488278179</v>
      </c>
      <c r="J65" s="418">
        <v>23.618666510988582</v>
      </c>
      <c r="K65" s="418">
        <v>-14.186420609535022</v>
      </c>
      <c r="L65" s="418">
        <v>2.9264746017567012</v>
      </c>
      <c r="M65" s="418">
        <v>-2.6624490307301185</v>
      </c>
      <c r="N65" s="418">
        <v>0.95018915619291544</v>
      </c>
      <c r="O65" s="418">
        <v>26.688108981909053</v>
      </c>
      <c r="P65" s="418">
        <v>14.850901859460341</v>
      </c>
      <c r="Q65" s="418">
        <v>11.103497597845347</v>
      </c>
      <c r="R65" s="418">
        <v>6.9836820613465855</v>
      </c>
      <c r="S65" s="418">
        <v>-9.6719458491870913</v>
      </c>
      <c r="T65" s="418">
        <v>1.245448222472878</v>
      </c>
      <c r="U65" s="418">
        <v>36.378747887115928</v>
      </c>
      <c r="V65" s="418">
        <v>-24.256285930348064</v>
      </c>
      <c r="W65" s="418">
        <v>64.087532440781317</v>
      </c>
    </row>
    <row r="66" spans="1:23" s="161" customFormat="1" ht="9.9499999999999993" customHeight="1">
      <c r="A66" s="420"/>
      <c r="B66" s="417" t="s">
        <v>42</v>
      </c>
      <c r="C66" s="418">
        <v>-12.587290231701786</v>
      </c>
      <c r="D66" s="418">
        <v>-1.6111129967894322</v>
      </c>
      <c r="E66" s="418">
        <v>16.242373360054785</v>
      </c>
      <c r="F66" s="418">
        <v>-12.948500113440753</v>
      </c>
      <c r="G66" s="418">
        <v>33.703673022022841</v>
      </c>
      <c r="H66" s="418">
        <v>-8.1671063323777489</v>
      </c>
      <c r="I66" s="418">
        <v>-6.249091769668647</v>
      </c>
      <c r="J66" s="418">
        <v>5.6133280558468002E-2</v>
      </c>
      <c r="K66" s="418">
        <v>4.9670277504676452</v>
      </c>
      <c r="L66" s="418">
        <v>-5.5181452500244426</v>
      </c>
      <c r="M66" s="418">
        <v>10.193114251827339</v>
      </c>
      <c r="N66" s="418">
        <v>20.686407182566867</v>
      </c>
      <c r="O66" s="418">
        <v>-12.116738165737861</v>
      </c>
      <c r="P66" s="418">
        <v>3.6494958443676007</v>
      </c>
      <c r="Q66" s="418">
        <v>-3.9641814469584813</v>
      </c>
      <c r="R66" s="418">
        <v>29.665341478671948</v>
      </c>
      <c r="S66" s="418">
        <v>-17.437717155542089</v>
      </c>
      <c r="T66" s="418">
        <v>-8.0137783989106097</v>
      </c>
      <c r="U66" s="418">
        <v>16.747923376513342</v>
      </c>
      <c r="V66" s="418">
        <v>6.8137501277369728</v>
      </c>
      <c r="W66" s="418">
        <v>-19.62354516930802</v>
      </c>
    </row>
    <row r="67" spans="1:23" s="161" customFormat="1" ht="9.9499999999999993" customHeight="1">
      <c r="A67" s="420"/>
      <c r="B67" s="417" t="s">
        <v>43</v>
      </c>
      <c r="C67" s="418">
        <v>-2.5519848771266451</v>
      </c>
      <c r="D67" s="418">
        <v>152.76430649854512</v>
      </c>
      <c r="E67" s="418">
        <v>55.482092606804812</v>
      </c>
      <c r="F67" s="418">
        <v>-31.093431088083769</v>
      </c>
      <c r="G67" s="418">
        <v>-20.436103151862461</v>
      </c>
      <c r="H67" s="418">
        <v>11.57767870218982</v>
      </c>
      <c r="I67" s="418">
        <v>-9.9411767870206891</v>
      </c>
      <c r="J67" s="418">
        <v>3.9361589336726288</v>
      </c>
      <c r="K67" s="418">
        <v>-19.469068506455265</v>
      </c>
      <c r="L67" s="418">
        <v>-9.5430436046978535</v>
      </c>
      <c r="M67" s="418">
        <v>6.4961550067748508</v>
      </c>
      <c r="N67" s="418">
        <v>48.427661308245028</v>
      </c>
      <c r="O67" s="418">
        <v>4.7780897123963051</v>
      </c>
      <c r="P67" s="418">
        <v>-20.800267700632592</v>
      </c>
      <c r="Q67" s="418">
        <v>-25.324978385896323</v>
      </c>
      <c r="R67" s="418">
        <v>74.690387437785006</v>
      </c>
      <c r="S67" s="418">
        <v>-8.4516677157402071</v>
      </c>
      <c r="T67" s="418">
        <v>9.5887266844189245</v>
      </c>
      <c r="U67" s="418">
        <v>15.094019024501737</v>
      </c>
      <c r="V67" s="418">
        <v>-60.236562531505577</v>
      </c>
      <c r="W67" s="418">
        <v>12.942795194913836</v>
      </c>
    </row>
    <row r="68" spans="1:23" s="161" customFormat="1" ht="9.9499999999999993" customHeight="1">
      <c r="A68" s="420"/>
      <c r="B68" s="417" t="s">
        <v>171</v>
      </c>
      <c r="C68" s="418">
        <v>0</v>
      </c>
      <c r="D68" s="418">
        <v>0</v>
      </c>
      <c r="E68" s="418">
        <v>0</v>
      </c>
      <c r="F68" s="418">
        <v>0</v>
      </c>
      <c r="G68" s="418">
        <v>0</v>
      </c>
      <c r="H68" s="418">
        <v>0</v>
      </c>
      <c r="I68" s="418">
        <v>0</v>
      </c>
      <c r="J68" s="418">
        <v>0</v>
      </c>
      <c r="K68" s="418">
        <v>0</v>
      </c>
      <c r="L68" s="418">
        <v>0</v>
      </c>
      <c r="M68" s="418">
        <v>0</v>
      </c>
      <c r="N68" s="418">
        <v>0</v>
      </c>
      <c r="O68" s="418">
        <v>0</v>
      </c>
      <c r="P68" s="418">
        <v>43.423202614379107</v>
      </c>
      <c r="Q68" s="418">
        <v>267.72130447166046</v>
      </c>
      <c r="R68" s="418">
        <v>15.482474026378901</v>
      </c>
      <c r="S68" s="418">
        <v>45.668593167216542</v>
      </c>
      <c r="T68" s="418">
        <v>119.99034007272114</v>
      </c>
      <c r="U68" s="418">
        <v>105.25714333553795</v>
      </c>
      <c r="V68" s="418">
        <v>-44.978204210487668</v>
      </c>
      <c r="W68" s="418">
        <v>23.849265222677452</v>
      </c>
    </row>
    <row r="69" spans="1:23" s="161" customFormat="1" ht="9.9499999999999993" customHeight="1">
      <c r="A69" s="420"/>
      <c r="B69" s="417" t="s">
        <v>184</v>
      </c>
      <c r="C69" s="418">
        <v>6.3097519375625799</v>
      </c>
      <c r="D69" s="418">
        <v>-17.247489614547153</v>
      </c>
      <c r="E69" s="418">
        <v>2.7260299943124622</v>
      </c>
      <c r="F69" s="418">
        <v>-4.8820312575885598</v>
      </c>
      <c r="G69" s="418">
        <v>8.0470850621241041</v>
      </c>
      <c r="H69" s="418">
        <v>17.994329190491953</v>
      </c>
      <c r="I69" s="418">
        <v>-2.9685070716310547</v>
      </c>
      <c r="J69" s="418">
        <v>9.0443205635891246</v>
      </c>
      <c r="K69" s="418">
        <v>-5.9139703544445528</v>
      </c>
      <c r="L69" s="418">
        <v>13.705122222043409</v>
      </c>
      <c r="M69" s="418">
        <v>4.0576018115557666</v>
      </c>
      <c r="N69" s="418">
        <v>15.638256635543213</v>
      </c>
      <c r="O69" s="418">
        <v>-2.9828592330613746</v>
      </c>
      <c r="P69" s="418">
        <v>3.6801846608560229</v>
      </c>
      <c r="Q69" s="418">
        <v>5.1511307032108489</v>
      </c>
      <c r="R69" s="418">
        <v>2.2340811777507463</v>
      </c>
      <c r="S69" s="418">
        <v>38.325516335205577</v>
      </c>
      <c r="T69" s="418">
        <v>-3.3203194111887768</v>
      </c>
      <c r="U69" s="418">
        <v>18.205678777379219</v>
      </c>
      <c r="V69" s="418">
        <v>40.37443053077525</v>
      </c>
      <c r="W69" s="418">
        <v>14.400302534263654</v>
      </c>
    </row>
    <row r="70" spans="1:23" s="161" customFormat="1" ht="9.9499999999999993" customHeight="1">
      <c r="A70" s="420"/>
      <c r="B70" s="417" t="s">
        <v>185</v>
      </c>
      <c r="C70" s="418">
        <v>2.2888011088114446</v>
      </c>
      <c r="D70" s="418">
        <v>-0.82853817980578226</v>
      </c>
      <c r="E70" s="418">
        <v>4.9328175337944202</v>
      </c>
      <c r="F70" s="418">
        <v>-5.8602111398341039</v>
      </c>
      <c r="G70" s="418">
        <v>-2.5546704376247398</v>
      </c>
      <c r="H70" s="418">
        <v>-4.4750657378307963</v>
      </c>
      <c r="I70" s="418">
        <v>-3.8791590501752293</v>
      </c>
      <c r="J70" s="418">
        <v>-5.6741228834175423</v>
      </c>
      <c r="K70" s="418">
        <v>10.435956894536137</v>
      </c>
      <c r="L70" s="418">
        <v>-9.5813148874278493</v>
      </c>
      <c r="M70" s="418">
        <v>-2.0170222556403772</v>
      </c>
      <c r="N70" s="418">
        <v>8.845339006032793</v>
      </c>
      <c r="O70" s="418">
        <v>-1.0973477973864609</v>
      </c>
      <c r="P70" s="418">
        <v>-7.4554852587115032</v>
      </c>
      <c r="Q70" s="418">
        <v>6.1209289131320732</v>
      </c>
      <c r="R70" s="418">
        <v>9.0899542630947572</v>
      </c>
      <c r="S70" s="418">
        <v>-3.164372803912241</v>
      </c>
      <c r="T70" s="418">
        <v>25.423416361456354</v>
      </c>
      <c r="U70" s="418">
        <v>-2.432771839198089</v>
      </c>
      <c r="V70" s="418">
        <v>9.7027189428163361</v>
      </c>
      <c r="W70" s="418">
        <v>10.136975663589265</v>
      </c>
    </row>
    <row r="71" spans="1:23" s="161" customFormat="1" ht="9.9499999999999993" customHeight="1">
      <c r="A71" s="420"/>
      <c r="B71" s="417" t="s">
        <v>59</v>
      </c>
      <c r="C71" s="418">
        <v>5.4687291432506724</v>
      </c>
      <c r="D71" s="418">
        <v>-23.72776431758663</v>
      </c>
      <c r="E71" s="418">
        <v>-29.688307878035836</v>
      </c>
      <c r="F71" s="418">
        <v>4.2236853356135029</v>
      </c>
      <c r="G71" s="418">
        <v>21.824995733844421</v>
      </c>
      <c r="H71" s="418">
        <v>-54.377340193411094</v>
      </c>
      <c r="I71" s="418">
        <v>212.36087739497535</v>
      </c>
      <c r="J71" s="418">
        <v>82.200234391244351</v>
      </c>
      <c r="K71" s="418">
        <v>-9.2720682224464834</v>
      </c>
      <c r="L71" s="418">
        <v>23.293208510716145</v>
      </c>
      <c r="M71" s="418">
        <v>157.82577847851798</v>
      </c>
      <c r="N71" s="418">
        <v>-47.17432953637163</v>
      </c>
      <c r="O71" s="418">
        <v>-18.024436798061728</v>
      </c>
      <c r="P71" s="418">
        <v>7.0278195426264567</v>
      </c>
      <c r="Q71" s="418">
        <v>-24.083371040636202</v>
      </c>
      <c r="R71" s="418">
        <v>-2.1852711727185725</v>
      </c>
      <c r="S71" s="418">
        <v>-32.768405869810636</v>
      </c>
      <c r="T71" s="418">
        <v>126.27162278758486</v>
      </c>
      <c r="U71" s="418">
        <v>67.659362620285862</v>
      </c>
      <c r="V71" s="418">
        <v>-6.5465013830550145</v>
      </c>
      <c r="W71" s="418">
        <v>-5.9346265883037148</v>
      </c>
    </row>
    <row r="72" spans="1:23" s="161" customFormat="1" ht="9.9499999999999993" customHeight="1">
      <c r="A72" s="420"/>
      <c r="B72" s="417" t="s">
        <v>186</v>
      </c>
      <c r="C72" s="418">
        <v>-28.38851634534786</v>
      </c>
      <c r="D72" s="418">
        <v>-54.48453457407895</v>
      </c>
      <c r="E72" s="418">
        <v>11.553298186961536</v>
      </c>
      <c r="F72" s="418">
        <v>357.84104662555478</v>
      </c>
      <c r="G72" s="418">
        <v>181.54582074521647</v>
      </c>
      <c r="H72" s="418">
        <v>-40.566931950281685</v>
      </c>
      <c r="I72" s="418">
        <v>-32.297183437650446</v>
      </c>
      <c r="J72" s="418">
        <v>-64.798435486021603</v>
      </c>
      <c r="K72" s="418">
        <v>-21.717171717171723</v>
      </c>
      <c r="L72" s="418">
        <v>57.032258064516149</v>
      </c>
      <c r="M72" s="418">
        <v>147.95603944124895</v>
      </c>
      <c r="N72" s="418">
        <v>-3.3759993372271313</v>
      </c>
      <c r="O72" s="418">
        <v>45.183486238532147</v>
      </c>
      <c r="P72" s="418">
        <v>-32.443046758500536</v>
      </c>
      <c r="Q72" s="418">
        <v>217.35778132307618</v>
      </c>
      <c r="R72" s="418">
        <v>33.019611137815083</v>
      </c>
      <c r="S72" s="418">
        <v>-82.976905949038709</v>
      </c>
      <c r="T72" s="418">
        <v>-31.456836829652524</v>
      </c>
      <c r="U72" s="418">
        <v>49.171417796215366</v>
      </c>
      <c r="V72" s="418">
        <v>21.882156985217584</v>
      </c>
      <c r="W72" s="418">
        <v>-3.7654351115232854</v>
      </c>
    </row>
    <row r="73" spans="1:23" s="161" customFormat="1" ht="9.9499999999999993" customHeight="1">
      <c r="A73" s="420"/>
      <c r="B73" s="417" t="s">
        <v>187</v>
      </c>
      <c r="C73" s="418">
        <v>-5.9996955084994035</v>
      </c>
      <c r="D73" s="418">
        <v>33.554544390702311</v>
      </c>
      <c r="E73" s="418">
        <v>5.8809810963705411</v>
      </c>
      <c r="F73" s="418">
        <v>-9.8117614729321456</v>
      </c>
      <c r="G73" s="418">
        <v>15.978573062537649</v>
      </c>
      <c r="H73" s="418">
        <v>-7.0067564721949749</v>
      </c>
      <c r="I73" s="418">
        <v>15.462103322226884</v>
      </c>
      <c r="J73" s="418">
        <v>-20.270456039686803</v>
      </c>
      <c r="K73" s="418">
        <v>19.72843442994705</v>
      </c>
      <c r="L73" s="418">
        <v>-11.55681258982214</v>
      </c>
      <c r="M73" s="418">
        <v>6.5644724179507286</v>
      </c>
      <c r="N73" s="418">
        <v>6.0496911482426308</v>
      </c>
      <c r="O73" s="418">
        <v>1.8430861268372123</v>
      </c>
      <c r="P73" s="418">
        <v>18.250884682734792</v>
      </c>
      <c r="Q73" s="418">
        <v>2.8950232524986852</v>
      </c>
      <c r="R73" s="418">
        <v>35.749347671784257</v>
      </c>
      <c r="S73" s="418">
        <v>-10.788128350890059</v>
      </c>
      <c r="T73" s="418">
        <v>8.7841151900484462</v>
      </c>
      <c r="U73" s="418">
        <v>7.8442200058158162</v>
      </c>
      <c r="V73" s="418">
        <v>9.7334402255856425</v>
      </c>
      <c r="W73" s="418">
        <v>-24.426572282194837</v>
      </c>
    </row>
    <row r="74" spans="1:23" s="161" customFormat="1" ht="9.9499999999999993" customHeight="1">
      <c r="A74" s="420"/>
      <c r="B74" s="417" t="s">
        <v>127</v>
      </c>
      <c r="C74" s="418">
        <v>-7.3850973468228549</v>
      </c>
      <c r="D74" s="418">
        <v>-28.856517607405273</v>
      </c>
      <c r="E74" s="418">
        <v>2.0638597553167992</v>
      </c>
      <c r="F74" s="418">
        <v>51.082344890510953</v>
      </c>
      <c r="G74" s="418">
        <v>26.999524417033438</v>
      </c>
      <c r="H74" s="418">
        <v>-2.6748298511011459</v>
      </c>
      <c r="I74" s="418">
        <v>8.0251473417412456</v>
      </c>
      <c r="J74" s="418">
        <v>34.508697457059689</v>
      </c>
      <c r="K74" s="418">
        <v>-16.658759338659447</v>
      </c>
      <c r="L74" s="418">
        <v>38.422349315862988</v>
      </c>
      <c r="M74" s="418">
        <v>2.1956737615655531</v>
      </c>
      <c r="N74" s="418">
        <v>2.7026128498914836</v>
      </c>
      <c r="O74" s="418">
        <v>9.7054519264506709</v>
      </c>
      <c r="P74" s="418">
        <v>-9.8507187819295687</v>
      </c>
      <c r="Q74" s="418">
        <v>14.249208572791506</v>
      </c>
      <c r="R74" s="418">
        <v>6.3805364321682045</v>
      </c>
      <c r="S74" s="418">
        <v>16.91570252588097</v>
      </c>
      <c r="T74" s="418">
        <v>-0.4299306318473195</v>
      </c>
      <c r="U74" s="418">
        <v>2.4593811962398071</v>
      </c>
      <c r="V74" s="418">
        <v>9.522468599565137</v>
      </c>
      <c r="W74" s="418">
        <v>-30.088772310869484</v>
      </c>
    </row>
    <row r="75" spans="1:23" s="161" customFormat="1" ht="9.9499999999999993" customHeight="1">
      <c r="A75" s="420"/>
      <c r="B75" s="417" t="s">
        <v>188</v>
      </c>
      <c r="C75" s="418">
        <v>-79.597477421364076</v>
      </c>
      <c r="D75" s="418">
        <v>2.002162437193955</v>
      </c>
      <c r="E75" s="418">
        <v>-6.6019030041526978</v>
      </c>
      <c r="F75" s="418">
        <v>6.6226049803057574</v>
      </c>
      <c r="G75" s="418">
        <v>55.032245945776737</v>
      </c>
      <c r="H75" s="418">
        <v>-19.289828030468247</v>
      </c>
      <c r="I75" s="418">
        <v>-19.483586869495596</v>
      </c>
      <c r="J75" s="418">
        <v>179.95202108089296</v>
      </c>
      <c r="K75" s="418">
        <v>-60.87325231877174</v>
      </c>
      <c r="L75" s="418">
        <v>-2.6803141028550304</v>
      </c>
      <c r="M75" s="418">
        <v>-3.6018283155710096</v>
      </c>
      <c r="N75" s="418">
        <v>38.226506840201765</v>
      </c>
      <c r="O75" s="418">
        <v>25.895638629283457</v>
      </c>
      <c r="P75" s="418">
        <v>-14.577895786777484</v>
      </c>
      <c r="Q75" s="418">
        <v>20.090646118043367</v>
      </c>
      <c r="R75" s="418">
        <v>-8.9537625520035746</v>
      </c>
      <c r="S75" s="418">
        <v>11.834726858001886</v>
      </c>
      <c r="T75" s="418">
        <v>45.743109253763151</v>
      </c>
      <c r="U75" s="418">
        <v>44.061110248659908</v>
      </c>
      <c r="V75" s="418">
        <v>-22.370481183085388</v>
      </c>
      <c r="W75" s="418">
        <v>-4.5504466545816964</v>
      </c>
    </row>
    <row r="76" spans="1:23" s="161" customFormat="1" ht="9.9499999999999993" customHeight="1">
      <c r="A76" s="420"/>
      <c r="B76" s="417" t="s">
        <v>189</v>
      </c>
      <c r="C76" s="418">
        <v>-5.5508021390374136</v>
      </c>
      <c r="D76" s="418">
        <v>-7.7114709545917819</v>
      </c>
      <c r="E76" s="418">
        <v>-29.754601226993859</v>
      </c>
      <c r="F76" s="418">
        <v>-38.427947598253276</v>
      </c>
      <c r="G76" s="418">
        <v>-73.049645390070921</v>
      </c>
      <c r="H76" s="418">
        <v>149.4736842105263</v>
      </c>
      <c r="I76" s="418">
        <v>-45.042194092827003</v>
      </c>
      <c r="J76" s="418">
        <v>-64.72168905950096</v>
      </c>
      <c r="K76" s="418">
        <v>876.60500544069646</v>
      </c>
      <c r="L76" s="418">
        <v>-95.543175487465177</v>
      </c>
      <c r="M76" s="418">
        <v>112.5</v>
      </c>
      <c r="N76" s="418">
        <v>-41.176470588235304</v>
      </c>
      <c r="O76" s="418">
        <v>620</v>
      </c>
      <c r="P76" s="418">
        <v>-90.277777777777786</v>
      </c>
      <c r="Q76" s="418">
        <v>328.57142857142844</v>
      </c>
      <c r="R76" s="418">
        <v>0</v>
      </c>
      <c r="S76" s="418">
        <v>-56.666666666666664</v>
      </c>
      <c r="T76" s="418">
        <v>115.38461538461537</v>
      </c>
      <c r="U76" s="418">
        <v>26.853571428571431</v>
      </c>
      <c r="V76" s="418">
        <v>-74.66144880204962</v>
      </c>
      <c r="W76" s="418">
        <v>683.33333333333337</v>
      </c>
    </row>
    <row r="77" spans="1:23" s="161" customFormat="1" ht="9.9499999999999993" customHeight="1">
      <c r="A77" s="420"/>
      <c r="B77" s="417" t="s">
        <v>50</v>
      </c>
      <c r="C77" s="418">
        <v>8.9375846781997836</v>
      </c>
      <c r="D77" s="418">
        <v>-46.652764357294416</v>
      </c>
      <c r="E77" s="418">
        <v>6.3603808774645332</v>
      </c>
      <c r="F77" s="418">
        <v>35.063199974949619</v>
      </c>
      <c r="G77" s="418">
        <v>-0.54647825126959981</v>
      </c>
      <c r="H77" s="418">
        <v>-17.777654437475711</v>
      </c>
      <c r="I77" s="418">
        <v>13.582422033211827</v>
      </c>
      <c r="J77" s="418">
        <v>4.0859141452861847</v>
      </c>
      <c r="K77" s="418">
        <v>-10.948063219440895</v>
      </c>
      <c r="L77" s="418">
        <v>16.36103666277684</v>
      </c>
      <c r="M77" s="418">
        <v>10.864948561541565</v>
      </c>
      <c r="N77" s="418">
        <v>-5.6657219853615821</v>
      </c>
      <c r="O77" s="418">
        <v>12.992077445123563</v>
      </c>
      <c r="P77" s="418">
        <v>7.0789072890390159</v>
      </c>
      <c r="Q77" s="418">
        <v>-4.6175113152437941</v>
      </c>
      <c r="R77" s="418">
        <v>-7.1049464557035868</v>
      </c>
      <c r="S77" s="418">
        <v>-10.424748679642338</v>
      </c>
      <c r="T77" s="418">
        <v>9.5601558213540763</v>
      </c>
      <c r="U77" s="418">
        <v>-14.936544347944359</v>
      </c>
      <c r="V77" s="418">
        <v>4.4943317492688095</v>
      </c>
      <c r="W77" s="418">
        <v>29.453080807967027</v>
      </c>
    </row>
    <row r="78" spans="1:23" s="161" customFormat="1" ht="9.9499999999999993" customHeight="1">
      <c r="A78" s="420"/>
      <c r="B78" s="417" t="s">
        <v>208</v>
      </c>
      <c r="C78" s="418">
        <v>-13.854642553707986</v>
      </c>
      <c r="D78" s="418">
        <v>-17.269647578110416</v>
      </c>
      <c r="E78" s="418">
        <v>-39.955720562689464</v>
      </c>
      <c r="F78" s="418">
        <v>-21.12159923759387</v>
      </c>
      <c r="G78" s="418">
        <v>286.37180870190576</v>
      </c>
      <c r="H78" s="418">
        <v>14.297812936249411</v>
      </c>
      <c r="I78" s="418">
        <v>15.33095030656364</v>
      </c>
      <c r="J78" s="418">
        <v>36.100885757977544</v>
      </c>
      <c r="K78" s="418">
        <v>29.261855259390202</v>
      </c>
      <c r="L78" s="418">
        <v>-1.8977080463976725</v>
      </c>
      <c r="M78" s="418">
        <v>2.2211686356645055</v>
      </c>
      <c r="N78" s="418">
        <v>-9.6088620969148604</v>
      </c>
      <c r="O78" s="418">
        <v>1.8749252904045166</v>
      </c>
      <c r="P78" s="418">
        <v>-2.2133889427810916</v>
      </c>
      <c r="Q78" s="418">
        <v>-4.8846937173812499</v>
      </c>
      <c r="R78" s="418">
        <v>-11.724798504847556</v>
      </c>
      <c r="S78" s="418">
        <v>-13.829705024585703</v>
      </c>
      <c r="T78" s="418">
        <v>75.958695940600407</v>
      </c>
      <c r="U78" s="418">
        <v>-6.2996112125119126</v>
      </c>
      <c r="V78" s="418">
        <v>8.5337837737148092</v>
      </c>
      <c r="W78" s="418">
        <v>-5.6873235905401609</v>
      </c>
    </row>
    <row r="79" spans="1:23" s="161" customFormat="1" ht="9.9499999999999993" customHeight="1">
      <c r="A79" s="420"/>
      <c r="B79" s="417" t="s">
        <v>209</v>
      </c>
      <c r="C79" s="418">
        <v>16.036815848223274</v>
      </c>
      <c r="D79" s="418">
        <v>-60.391982735097848</v>
      </c>
      <c r="E79" s="418">
        <v>47.383570549088816</v>
      </c>
      <c r="F79" s="418">
        <v>-19.478179577614409</v>
      </c>
      <c r="G79" s="418">
        <v>4.3273594663628678E-2</v>
      </c>
      <c r="H79" s="418">
        <v>-16.500152974564042</v>
      </c>
      <c r="I79" s="418">
        <v>27.588537784123201</v>
      </c>
      <c r="J79" s="418">
        <v>-9.7468373232985961</v>
      </c>
      <c r="K79" s="418">
        <v>-8.2756290055178816</v>
      </c>
      <c r="L79" s="418">
        <v>21.029815484912827</v>
      </c>
      <c r="M79" s="418">
        <v>-59.923066203192597</v>
      </c>
      <c r="N79" s="418">
        <v>149.75190510246864</v>
      </c>
      <c r="O79" s="418">
        <v>18.566947001093091</v>
      </c>
      <c r="P79" s="418">
        <v>-34.490110347699343</v>
      </c>
      <c r="Q79" s="418">
        <v>-29.31579817190222</v>
      </c>
      <c r="R79" s="418">
        <v>9.820164781505337</v>
      </c>
      <c r="S79" s="418">
        <v>-12.099376033802267</v>
      </c>
      <c r="T79" s="418">
        <v>-8.2015165912097228</v>
      </c>
      <c r="U79" s="418">
        <v>-32.436930445901233</v>
      </c>
      <c r="V79" s="418">
        <v>62.365946709123079</v>
      </c>
      <c r="W79" s="418">
        <v>-3.9705827937095206</v>
      </c>
    </row>
    <row r="80" spans="1:23" s="161" customFormat="1" ht="9.9499999999999993" customHeight="1">
      <c r="A80" s="420"/>
      <c r="B80" s="417" t="s">
        <v>210</v>
      </c>
      <c r="C80" s="418">
        <v>-2.9107390154853308</v>
      </c>
      <c r="D80" s="418">
        <v>-0.28268367955599505</v>
      </c>
      <c r="E80" s="418">
        <v>2.0806241872561859</v>
      </c>
      <c r="F80" s="418">
        <v>-81.452229299363069</v>
      </c>
      <c r="G80" s="418">
        <v>201.37362637362642</v>
      </c>
      <c r="H80" s="418">
        <v>64.721969006381002</v>
      </c>
      <c r="I80" s="418">
        <v>-32.785002767017147</v>
      </c>
      <c r="J80" s="418">
        <v>6.2511578124035294</v>
      </c>
      <c r="K80" s="418">
        <v>-27.291437427353749</v>
      </c>
      <c r="L80" s="418">
        <v>8.6582280369688291</v>
      </c>
      <c r="M80" s="418">
        <v>3.9331289610213371</v>
      </c>
      <c r="N80" s="418">
        <v>12.002185638674078</v>
      </c>
      <c r="O80" s="418">
        <v>40.769700671960926</v>
      </c>
      <c r="P80" s="418">
        <v>-14.777457218275092</v>
      </c>
      <c r="Q80" s="418">
        <v>-3.4570757431936827</v>
      </c>
      <c r="R80" s="418">
        <v>-11.879788954100601</v>
      </c>
      <c r="S80" s="418">
        <v>-31.211894805929241</v>
      </c>
      <c r="T80" s="418">
        <v>-65.291879695638613</v>
      </c>
      <c r="U80" s="418">
        <v>87.92838742025279</v>
      </c>
      <c r="V80" s="418">
        <v>0.83949808594436792</v>
      </c>
      <c r="W80" s="418">
        <v>3.3273909663857903</v>
      </c>
    </row>
    <row r="81" spans="1:23" s="161" customFormat="1" ht="9.9499999999999993" customHeight="1">
      <c r="A81" s="420"/>
      <c r="B81" s="417" t="s">
        <v>211</v>
      </c>
      <c r="C81" s="418">
        <v>-1.2879525449058016</v>
      </c>
      <c r="D81" s="418">
        <v>13.470027900675641</v>
      </c>
      <c r="E81" s="418">
        <v>-0.54179187419298724</v>
      </c>
      <c r="F81" s="418">
        <v>-0.96043749710701398</v>
      </c>
      <c r="G81" s="418">
        <v>5.1886569368558177</v>
      </c>
      <c r="H81" s="418">
        <v>7.034527123874712</v>
      </c>
      <c r="I81" s="418">
        <v>11.577088065989205</v>
      </c>
      <c r="J81" s="418">
        <v>-0.65953472431246052</v>
      </c>
      <c r="K81" s="418">
        <v>17.084615261647485</v>
      </c>
      <c r="L81" s="418">
        <v>7.8317985959188707</v>
      </c>
      <c r="M81" s="418">
        <v>4.7126308926840332</v>
      </c>
      <c r="N81" s="418">
        <v>0.94523303329920871</v>
      </c>
      <c r="O81" s="418">
        <v>6.6505844139868042</v>
      </c>
      <c r="P81" s="418">
        <v>0.85334119465976244</v>
      </c>
      <c r="Q81" s="418">
        <v>7.0513602708580425</v>
      </c>
      <c r="R81" s="418">
        <v>-0.59498470440680906</v>
      </c>
      <c r="S81" s="418">
        <v>2.5670392022444366</v>
      </c>
      <c r="T81" s="418">
        <v>7.1398899537567839</v>
      </c>
      <c r="U81" s="418">
        <v>7.4661242415915874</v>
      </c>
      <c r="V81" s="418">
        <v>-0.19939100573196367</v>
      </c>
      <c r="W81" s="418">
        <v>3.2938416695495576</v>
      </c>
    </row>
    <row r="82" spans="1:23" s="161" customFormat="1" ht="14.1" customHeight="1">
      <c r="A82" s="294" t="s">
        <v>212</v>
      </c>
      <c r="B82" s="424"/>
      <c r="C82" s="415">
        <v>2.7005507813443685</v>
      </c>
      <c r="D82" s="415">
        <v>4.4612652931118602</v>
      </c>
      <c r="E82" s="415">
        <v>4.3484748736218881</v>
      </c>
      <c r="F82" s="415">
        <v>1.9141659690601109</v>
      </c>
      <c r="G82" s="415">
        <v>5.9252506527936122</v>
      </c>
      <c r="H82" s="415">
        <v>7.3381595642648234</v>
      </c>
      <c r="I82" s="415">
        <v>8.6430723884046934</v>
      </c>
      <c r="J82" s="415">
        <v>5.3495740793805702</v>
      </c>
      <c r="K82" s="415">
        <v>6.3116817225894017</v>
      </c>
      <c r="L82" s="415">
        <v>4.1662081662567019</v>
      </c>
      <c r="M82" s="415">
        <v>9.0132554859869494</v>
      </c>
      <c r="N82" s="415">
        <v>4.7806911145854558</v>
      </c>
      <c r="O82" s="415">
        <v>3.1836046777299121</v>
      </c>
      <c r="P82" s="415">
        <v>3.3845396148441953</v>
      </c>
      <c r="Q82" s="415">
        <v>5.0687260604971529</v>
      </c>
      <c r="R82" s="415">
        <v>3.1170272469162708</v>
      </c>
      <c r="S82" s="415">
        <v>2.4842807356459717</v>
      </c>
      <c r="T82" s="415">
        <v>5.7658671126562755</v>
      </c>
      <c r="U82" s="415">
        <v>4.5857429149040341</v>
      </c>
      <c r="V82" s="415">
        <v>-2.7172827887966822E-2</v>
      </c>
      <c r="W82" s="415">
        <v>0.49456963609757487</v>
      </c>
    </row>
    <row r="83" spans="1:23" s="161" customFormat="1" ht="9.9499999999999993" customHeight="1">
      <c r="A83" s="420"/>
      <c r="B83" s="417" t="s">
        <v>302</v>
      </c>
      <c r="C83" s="418">
        <v>1.3034581058566586</v>
      </c>
      <c r="D83" s="418">
        <v>7.688409317083944</v>
      </c>
      <c r="E83" s="418">
        <v>7.3405432378995217</v>
      </c>
      <c r="F83" s="418">
        <v>-0.88909512913407651</v>
      </c>
      <c r="G83" s="418">
        <v>8.9473301619583889</v>
      </c>
      <c r="H83" s="418">
        <v>6.9420790249447473</v>
      </c>
      <c r="I83" s="418">
        <v>14.226926772468174</v>
      </c>
      <c r="J83" s="418">
        <v>10.022962326323736</v>
      </c>
      <c r="K83" s="418">
        <v>11.332764065921808</v>
      </c>
      <c r="L83" s="418">
        <v>5.0945411576400979</v>
      </c>
      <c r="M83" s="418">
        <v>13.450281964045651</v>
      </c>
      <c r="N83" s="418">
        <v>6.8167469316776641</v>
      </c>
      <c r="O83" s="418">
        <v>3.4436411253489618</v>
      </c>
      <c r="P83" s="418">
        <v>5.4158289209752963</v>
      </c>
      <c r="Q83" s="418">
        <v>7.9942330377458237</v>
      </c>
      <c r="R83" s="418">
        <v>4.48376970379194</v>
      </c>
      <c r="S83" s="418">
        <v>2.716772122199429</v>
      </c>
      <c r="T83" s="418">
        <v>9.0290435951960735</v>
      </c>
      <c r="U83" s="418">
        <v>4.8237604278548396</v>
      </c>
      <c r="V83" s="418">
        <v>0.9722129573276117</v>
      </c>
      <c r="W83" s="418">
        <v>-0.61580159452279126</v>
      </c>
    </row>
    <row r="84" spans="1:23" s="161" customFormat="1" ht="9.9499999999999993" customHeight="1">
      <c r="A84" s="420"/>
      <c r="B84" s="425" t="s">
        <v>304</v>
      </c>
      <c r="C84" s="418">
        <v>0.45405085006222645</v>
      </c>
      <c r="D84" s="418">
        <v>-0.64229813906188093</v>
      </c>
      <c r="E84" s="418">
        <v>0.77620970936940203</v>
      </c>
      <c r="F84" s="418">
        <v>5.2058263462930965</v>
      </c>
      <c r="G84" s="418">
        <v>-0.11790359529584293</v>
      </c>
      <c r="H84" s="418">
        <v>0.74391928320727274</v>
      </c>
      <c r="I84" s="418">
        <v>-0.196486430652143</v>
      </c>
      <c r="J84" s="418">
        <v>-2.3395008880807255</v>
      </c>
      <c r="K84" s="418">
        <v>-0.45127588323335965</v>
      </c>
      <c r="L84" s="418">
        <v>2.4751781815051332</v>
      </c>
      <c r="M84" s="418">
        <v>0.72388338582169975</v>
      </c>
      <c r="N84" s="418">
        <v>3.0467807316419293</v>
      </c>
      <c r="O84" s="418">
        <v>-1.0698523220716516</v>
      </c>
      <c r="P84" s="418">
        <v>-2.7678401286752585</v>
      </c>
      <c r="Q84" s="418">
        <v>-4.3880956574015251</v>
      </c>
      <c r="R84" s="418">
        <v>3.4833074746762671</v>
      </c>
      <c r="S84" s="418">
        <v>-1.6687315114751522</v>
      </c>
      <c r="T84" s="418">
        <v>1.2380685908330191</v>
      </c>
      <c r="U84" s="418">
        <v>0.15873311060932149</v>
      </c>
      <c r="V84" s="418">
        <v>-4.4531486279807186</v>
      </c>
      <c r="W84" s="418">
        <v>1.72004863907953</v>
      </c>
    </row>
    <row r="85" spans="1:23" s="161" customFormat="1" ht="9.9499999999999993" customHeight="1">
      <c r="A85" s="426"/>
      <c r="B85" s="417" t="s">
        <v>294</v>
      </c>
      <c r="C85" s="418">
        <v>1.3154125028538965</v>
      </c>
      <c r="D85" s="418">
        <v>-0.20012376678741894</v>
      </c>
      <c r="E85" s="418">
        <v>1.189930638207426</v>
      </c>
      <c r="F85" s="418">
        <v>4.1446434252138564</v>
      </c>
      <c r="G85" s="418">
        <v>4.1321593672712931</v>
      </c>
      <c r="H85" s="418">
        <v>4.6014339839539398</v>
      </c>
      <c r="I85" s="418">
        <v>4.0686282960420206</v>
      </c>
      <c r="J85" s="418">
        <v>0.25641548989199237</v>
      </c>
      <c r="K85" s="418">
        <v>-0.72751478260209002</v>
      </c>
      <c r="L85" s="418">
        <v>2.4532616348757141</v>
      </c>
      <c r="M85" s="418">
        <v>3.418977788605182</v>
      </c>
      <c r="N85" s="418">
        <v>3.3712538741440978</v>
      </c>
      <c r="O85" s="418">
        <v>4.5882051746343189</v>
      </c>
      <c r="P85" s="418">
        <v>5.4243935905071261</v>
      </c>
      <c r="Q85" s="418">
        <v>6.7763018275435849</v>
      </c>
      <c r="R85" s="418">
        <v>2.6482794602581627</v>
      </c>
      <c r="S85" s="418">
        <v>7.2038213331479861</v>
      </c>
      <c r="T85" s="418">
        <v>3.4783856962616655</v>
      </c>
      <c r="U85" s="418">
        <v>4.6549930819889784</v>
      </c>
      <c r="V85" s="418">
        <v>-1.0602407892797761</v>
      </c>
      <c r="W85" s="418">
        <v>2.5707261595879771</v>
      </c>
    </row>
    <row r="86" spans="1:23" s="161" customFormat="1" ht="9.9499999999999993" customHeight="1">
      <c r="A86" s="420"/>
      <c r="B86" s="417" t="s">
        <v>101</v>
      </c>
      <c r="C86" s="418">
        <v>-0.73781940522047451</v>
      </c>
      <c r="D86" s="418">
        <v>4.5657584392699624</v>
      </c>
      <c r="E86" s="418">
        <v>2.5835082366784778</v>
      </c>
      <c r="F86" s="418">
        <v>1.0932605959836028</v>
      </c>
      <c r="G86" s="418">
        <v>6.6273782162457051</v>
      </c>
      <c r="H86" s="418">
        <v>7.7833667169725063</v>
      </c>
      <c r="I86" s="418">
        <v>0.88096145813325588</v>
      </c>
      <c r="J86" s="418">
        <v>0.69726362378754736</v>
      </c>
      <c r="K86" s="418">
        <v>0.67104144790000042</v>
      </c>
      <c r="L86" s="418">
        <v>4.412046448862017</v>
      </c>
      <c r="M86" s="418">
        <v>3.975502252076879</v>
      </c>
      <c r="N86" s="418">
        <v>5.6412565658050973</v>
      </c>
      <c r="O86" s="418">
        <v>1.8952248293359064</v>
      </c>
      <c r="P86" s="418">
        <v>0.6380330998034367</v>
      </c>
      <c r="Q86" s="418">
        <v>0.16931698727968847</v>
      </c>
      <c r="R86" s="418">
        <v>-1.4324416236114912</v>
      </c>
      <c r="S86" s="418">
        <v>-0.90405939010935743</v>
      </c>
      <c r="T86" s="418">
        <v>-6.5999812713501971E-2</v>
      </c>
      <c r="U86" s="418">
        <v>2.0340692454941189</v>
      </c>
      <c r="V86" s="418">
        <v>-4.6794844530019812</v>
      </c>
      <c r="W86" s="418">
        <v>1.6318070105958871</v>
      </c>
    </row>
    <row r="87" spans="1:23" s="161" customFormat="1" ht="9.9499999999999993" customHeight="1">
      <c r="A87" s="420"/>
      <c r="B87" s="417" t="s">
        <v>103</v>
      </c>
      <c r="C87" s="418">
        <v>-1.3737927435759634</v>
      </c>
      <c r="D87" s="418">
        <v>-5.797850274591676</v>
      </c>
      <c r="E87" s="418">
        <v>8.3577537266906088</v>
      </c>
      <c r="F87" s="418">
        <v>0.83598008572096649</v>
      </c>
      <c r="G87" s="418">
        <v>2.2396411083504431</v>
      </c>
      <c r="H87" s="418">
        <v>-6.6806287024501199E-2</v>
      </c>
      <c r="I87" s="418">
        <v>3.9305219519304657</v>
      </c>
      <c r="J87" s="418">
        <v>-6.6913173793205942</v>
      </c>
      <c r="K87" s="418">
        <v>-3.9195057967160052</v>
      </c>
      <c r="L87" s="418">
        <v>0.25027899232350492</v>
      </c>
      <c r="M87" s="418">
        <v>2.8390042051460007</v>
      </c>
      <c r="N87" s="418">
        <v>2.6436231489062045</v>
      </c>
      <c r="O87" s="418">
        <v>3.3808701275834352</v>
      </c>
      <c r="P87" s="418">
        <v>-4.5547671659474815</v>
      </c>
      <c r="Q87" s="418">
        <v>-5.1797440840345104</v>
      </c>
      <c r="R87" s="418">
        <v>-1.4908052558228579</v>
      </c>
      <c r="S87" s="418">
        <v>-9.4591185101840729</v>
      </c>
      <c r="T87" s="418">
        <v>-9.6176964918031622</v>
      </c>
      <c r="U87" s="418">
        <v>5.6950976202137849</v>
      </c>
      <c r="V87" s="418">
        <v>-2.8916369378141682</v>
      </c>
      <c r="W87" s="418">
        <v>0.29399027422696289</v>
      </c>
    </row>
    <row r="88" spans="1:23" s="161" customFormat="1" ht="9.9499999999999993" customHeight="1">
      <c r="A88" s="420"/>
      <c r="B88" s="417" t="s">
        <v>105</v>
      </c>
      <c r="C88" s="418">
        <v>4.8635019393572732</v>
      </c>
      <c r="D88" s="418">
        <v>2.8911067651129718</v>
      </c>
      <c r="E88" s="418">
        <v>0.16120876656908756</v>
      </c>
      <c r="F88" s="418">
        <v>1.3328995011438138</v>
      </c>
      <c r="G88" s="418">
        <v>6.1200926102593423</v>
      </c>
      <c r="H88" s="418">
        <v>2.7842447656611036</v>
      </c>
      <c r="I88" s="418">
        <v>3.4774840571677901</v>
      </c>
      <c r="J88" s="418">
        <v>-0.54149842062378717</v>
      </c>
      <c r="K88" s="418">
        <v>7.4102845255197058</v>
      </c>
      <c r="L88" s="418">
        <v>4.2008667334438865</v>
      </c>
      <c r="M88" s="418">
        <v>6.5462403462388297</v>
      </c>
      <c r="N88" s="418">
        <v>5.0155395739909014</v>
      </c>
      <c r="O88" s="418">
        <v>2.9226185939928095</v>
      </c>
      <c r="P88" s="418">
        <v>2.8867411149429811</v>
      </c>
      <c r="Q88" s="418">
        <v>-4.8641852087453641</v>
      </c>
      <c r="R88" s="418">
        <v>5.8757078042981359</v>
      </c>
      <c r="S88" s="418">
        <v>2.7878117393556501</v>
      </c>
      <c r="T88" s="418">
        <v>-1.1465253725811198</v>
      </c>
      <c r="U88" s="418">
        <v>-3.4894361386539341E-2</v>
      </c>
      <c r="V88" s="418">
        <v>-1.7024823079772045</v>
      </c>
      <c r="W88" s="418">
        <v>2.843491239641871</v>
      </c>
    </row>
    <row r="89" spans="1:23" s="161" customFormat="1" ht="9.9499999999999993" customHeight="1">
      <c r="A89" s="420"/>
      <c r="B89" s="417" t="s">
        <v>107</v>
      </c>
      <c r="C89" s="418">
        <v>3.6429049228933419</v>
      </c>
      <c r="D89" s="418">
        <v>-4.4312494185505535</v>
      </c>
      <c r="E89" s="418">
        <v>10.800650778788601</v>
      </c>
      <c r="F89" s="418">
        <v>5.5597639025392942</v>
      </c>
      <c r="G89" s="418">
        <v>6.1219476377292414</v>
      </c>
      <c r="H89" s="418">
        <v>-1.025179576760149</v>
      </c>
      <c r="I89" s="418">
        <v>6.536262850037966</v>
      </c>
      <c r="J89" s="418">
        <v>-5.4941338703092697</v>
      </c>
      <c r="K89" s="418">
        <v>5.5680765337590143</v>
      </c>
      <c r="L89" s="418">
        <v>-2.3002220657229233</v>
      </c>
      <c r="M89" s="418">
        <v>1.7417517316145492</v>
      </c>
      <c r="N89" s="418">
        <v>6.6573849293989351</v>
      </c>
      <c r="O89" s="418">
        <v>-3.2648378336325279</v>
      </c>
      <c r="P89" s="418">
        <v>-3.1293222072428684</v>
      </c>
      <c r="Q89" s="418">
        <v>-6.4783157046555129</v>
      </c>
      <c r="R89" s="418">
        <v>5.3403556584894707</v>
      </c>
      <c r="S89" s="418">
        <v>-0.39287015440224726</v>
      </c>
      <c r="T89" s="418">
        <v>1.8368202423180158E-2</v>
      </c>
      <c r="U89" s="418">
        <v>-4.1128317527186269</v>
      </c>
      <c r="V89" s="418">
        <v>-1.9326502498643761</v>
      </c>
      <c r="W89" s="418">
        <v>4.4623773867189076</v>
      </c>
    </row>
    <row r="90" spans="1:23" s="161" customFormat="1" ht="9.9499999999999993" customHeight="1">
      <c r="A90" s="420"/>
      <c r="B90" s="417" t="s">
        <v>129</v>
      </c>
      <c r="C90" s="418">
        <v>2.9548357965265337</v>
      </c>
      <c r="D90" s="418">
        <v>5.6676929930694397</v>
      </c>
      <c r="E90" s="418">
        <v>-2.8234653590187175</v>
      </c>
      <c r="F90" s="418">
        <v>9.03971276031481</v>
      </c>
      <c r="G90" s="418">
        <v>-2.7679231951544092</v>
      </c>
      <c r="H90" s="418">
        <v>16.450697062560991</v>
      </c>
      <c r="I90" s="418">
        <v>12.019956208979043</v>
      </c>
      <c r="J90" s="418">
        <v>0.33171729901737557</v>
      </c>
      <c r="K90" s="418">
        <v>0.70211387845668938</v>
      </c>
      <c r="L90" s="418">
        <v>5.8394861501533279</v>
      </c>
      <c r="M90" s="418">
        <v>11.833252728030107</v>
      </c>
      <c r="N90" s="418">
        <v>-1.2733739496735508</v>
      </c>
      <c r="O90" s="418">
        <v>12.35761925144141</v>
      </c>
      <c r="P90" s="418">
        <v>1.5611469651521936</v>
      </c>
      <c r="Q90" s="418">
        <v>9.0375956940077486</v>
      </c>
      <c r="R90" s="418">
        <v>2.8442673976280863</v>
      </c>
      <c r="S90" s="418">
        <v>4.8039103036116249</v>
      </c>
      <c r="T90" s="418">
        <v>4.4865897737697669</v>
      </c>
      <c r="U90" s="418">
        <v>11.669348862266361</v>
      </c>
      <c r="V90" s="418">
        <v>1.894869001223598</v>
      </c>
      <c r="W90" s="418">
        <v>1.2708456664821455</v>
      </c>
    </row>
    <row r="91" spans="1:23" s="161" customFormat="1" ht="9.9499999999999993" customHeight="1">
      <c r="A91" s="420"/>
      <c r="B91" s="417" t="s">
        <v>130</v>
      </c>
      <c r="C91" s="418">
        <v>12.437380534866115</v>
      </c>
      <c r="D91" s="418">
        <v>3.3937391750824331</v>
      </c>
      <c r="E91" s="418">
        <v>7.4599654638515922</v>
      </c>
      <c r="F91" s="418">
        <v>4.6907959365320551</v>
      </c>
      <c r="G91" s="418">
        <v>7.4501786619540544</v>
      </c>
      <c r="H91" s="418">
        <v>9.2918395500430897</v>
      </c>
      <c r="I91" s="418">
        <v>7.5449195024150484</v>
      </c>
      <c r="J91" s="418">
        <v>7.7299921734408805</v>
      </c>
      <c r="K91" s="418">
        <v>6.3815782527123943</v>
      </c>
      <c r="L91" s="418">
        <v>2.3223085042910707</v>
      </c>
      <c r="M91" s="418">
        <v>4.6402573052635843</v>
      </c>
      <c r="N91" s="418">
        <v>2.2663452486318736</v>
      </c>
      <c r="O91" s="418">
        <v>0.39045259390193543</v>
      </c>
      <c r="P91" s="418">
        <v>2.5084991814726898</v>
      </c>
      <c r="Q91" s="418">
        <v>1.6441989105822064</v>
      </c>
      <c r="R91" s="418">
        <v>2.3573588058359185</v>
      </c>
      <c r="S91" s="418">
        <v>2.9835755012524334</v>
      </c>
      <c r="T91" s="418">
        <v>3.1253128755293291</v>
      </c>
      <c r="U91" s="418">
        <v>2.8484874231402557</v>
      </c>
      <c r="V91" s="418">
        <v>0.38683318214662865</v>
      </c>
      <c r="W91" s="418">
        <v>1.963277273262265</v>
      </c>
    </row>
    <row r="92" spans="1:23" s="161" customFormat="1" ht="9.9499999999999993" customHeight="1">
      <c r="A92" s="420"/>
      <c r="B92" s="417" t="s">
        <v>131</v>
      </c>
      <c r="C92" s="418">
        <v>15.21985494106981</v>
      </c>
      <c r="D92" s="418">
        <v>-10.354312506326357</v>
      </c>
      <c r="E92" s="418">
        <v>7.8859986030632712E-2</v>
      </c>
      <c r="F92" s="418">
        <v>-4.4052212408733249</v>
      </c>
      <c r="G92" s="418">
        <v>0.73933914220429831</v>
      </c>
      <c r="H92" s="418">
        <v>-2.7393258851792779</v>
      </c>
      <c r="I92" s="418">
        <v>13.012778720354445</v>
      </c>
      <c r="J92" s="418">
        <v>11.872532888007292</v>
      </c>
      <c r="K92" s="418">
        <v>12.63932676265358</v>
      </c>
      <c r="L92" s="418">
        <v>-4.3606688689480251</v>
      </c>
      <c r="M92" s="418">
        <v>7.004253324002141</v>
      </c>
      <c r="N92" s="418">
        <v>-1.2489163380347446</v>
      </c>
      <c r="O92" s="418">
        <v>-17.776850674460508</v>
      </c>
      <c r="P92" s="418">
        <v>-3.9503665755275197</v>
      </c>
      <c r="Q92" s="418">
        <v>-2.9655543179020971</v>
      </c>
      <c r="R92" s="418">
        <v>1.5398229650449347</v>
      </c>
      <c r="S92" s="418">
        <v>9.1924295787773502</v>
      </c>
      <c r="T92" s="418">
        <v>3.6673788418887243</v>
      </c>
      <c r="U92" s="418">
        <v>-2.0403733897905174</v>
      </c>
      <c r="V92" s="418">
        <v>-4.3866782986390458</v>
      </c>
      <c r="W92" s="418">
        <v>-0.43789226800596825</v>
      </c>
    </row>
    <row r="93" spans="1:23" s="161" customFormat="1" ht="9.9499999999999993" customHeight="1">
      <c r="A93" s="420"/>
      <c r="B93" s="417" t="s">
        <v>132</v>
      </c>
      <c r="C93" s="418">
        <v>9.9336981383363998</v>
      </c>
      <c r="D93" s="418">
        <v>-11.09639188833288</v>
      </c>
      <c r="E93" s="418">
        <v>-4.2556233281096922</v>
      </c>
      <c r="F93" s="418">
        <v>-7.9086530622297424</v>
      </c>
      <c r="G93" s="418">
        <v>-10.237085276632396</v>
      </c>
      <c r="H93" s="418">
        <v>-6.6739970578748364</v>
      </c>
      <c r="I93" s="418">
        <v>28.269149024696393</v>
      </c>
      <c r="J93" s="418">
        <v>5.6907003373087628</v>
      </c>
      <c r="K93" s="418">
        <v>2.849245685006907</v>
      </c>
      <c r="L93" s="418">
        <v>-8.965052068610035</v>
      </c>
      <c r="M93" s="418">
        <v>1.547070253538263</v>
      </c>
      <c r="N93" s="418">
        <v>3.1132827297224441</v>
      </c>
      <c r="O93" s="418">
        <v>-5.135899406293321</v>
      </c>
      <c r="P93" s="418">
        <v>3.365498094486008</v>
      </c>
      <c r="Q93" s="418">
        <v>-22.26897703329135</v>
      </c>
      <c r="R93" s="418">
        <v>5.1321385110571383</v>
      </c>
      <c r="S93" s="418">
        <v>9.6030805752613126</v>
      </c>
      <c r="T93" s="418">
        <v>-7.4828838475092248</v>
      </c>
      <c r="U93" s="418">
        <v>-2.6696029664735943</v>
      </c>
      <c r="V93" s="418">
        <v>3.1689320365421159</v>
      </c>
      <c r="W93" s="418">
        <v>2.0942523701224625</v>
      </c>
    </row>
    <row r="94" spans="1:23" s="161" customFormat="1" ht="10.5" customHeight="1">
      <c r="A94" s="421"/>
      <c r="B94" s="421" t="s">
        <v>200</v>
      </c>
      <c r="C94" s="423">
        <v>4.3817086487397683</v>
      </c>
      <c r="D94" s="423">
        <v>-7.5615263930380312</v>
      </c>
      <c r="E94" s="423">
        <v>0.14567586258924514</v>
      </c>
      <c r="F94" s="423">
        <v>-1.7571864240763513</v>
      </c>
      <c r="G94" s="423">
        <v>-3.4292372653372927</v>
      </c>
      <c r="H94" s="423">
        <v>-5.4425383221935792</v>
      </c>
      <c r="I94" s="423">
        <v>2.8513044263588805</v>
      </c>
      <c r="J94" s="423">
        <v>-7.1221858598363497</v>
      </c>
      <c r="K94" s="423">
        <v>1.8594707149785394</v>
      </c>
      <c r="L94" s="423">
        <v>-5.1750458750221551E-2</v>
      </c>
      <c r="M94" s="423">
        <v>-0.9212234604754066</v>
      </c>
      <c r="N94" s="423">
        <v>5.9039889923540034</v>
      </c>
      <c r="O94" s="423">
        <v>-6.346272274114007</v>
      </c>
      <c r="P94" s="423">
        <v>-7.0147895553692274</v>
      </c>
      <c r="Q94" s="423">
        <v>-11.458905672420428</v>
      </c>
      <c r="R94" s="423">
        <v>7.0706936981227209</v>
      </c>
      <c r="S94" s="423">
        <v>-11.889504999162693</v>
      </c>
      <c r="T94" s="423">
        <v>0.23583615039062256</v>
      </c>
      <c r="U94" s="423">
        <v>-3.1263332343704153</v>
      </c>
      <c r="V94" s="423">
        <v>-3.8960007640546968</v>
      </c>
      <c r="W94" s="423">
        <v>7.3292731359708707</v>
      </c>
    </row>
    <row r="95" spans="1:23" s="161" customFormat="1" ht="9" customHeight="1">
      <c r="A95" s="113" t="s">
        <v>97</v>
      </c>
      <c r="B95" s="165"/>
      <c r="C95" s="33"/>
      <c r="D95" s="33"/>
      <c r="E95" s="33"/>
      <c r="F95" s="33"/>
      <c r="G95" s="33"/>
      <c r="H95" s="33"/>
      <c r="I95" s="33"/>
    </row>
    <row r="96" spans="1:23" s="161" customFormat="1" ht="9" customHeight="1">
      <c r="A96" s="164" t="s">
        <v>358</v>
      </c>
      <c r="B96" s="165"/>
      <c r="C96" s="33"/>
      <c r="D96" s="33"/>
      <c r="E96" s="33"/>
      <c r="F96" s="33"/>
    </row>
    <row r="97" spans="1:6" s="161" customFormat="1" ht="17.25" customHeight="1">
      <c r="B97" s="9"/>
      <c r="C97" s="33"/>
      <c r="D97" s="33"/>
      <c r="E97" s="33"/>
      <c r="F97" s="33"/>
    </row>
    <row r="98" spans="1:6" s="161" customFormat="1" ht="17.25" customHeight="1">
      <c r="B98" s="9"/>
      <c r="C98" s="33"/>
      <c r="D98" s="33"/>
    </row>
    <row r="99" spans="1:6" s="161" customFormat="1" ht="17.25" customHeight="1">
      <c r="A99" s="35"/>
      <c r="B99" s="35"/>
      <c r="C99" s="36"/>
      <c r="D99" s="36"/>
    </row>
    <row r="100" spans="1:6" s="161" customFormat="1" ht="17.25" customHeight="1">
      <c r="A100" s="9"/>
      <c r="B100" s="163"/>
    </row>
    <row r="101" spans="1:6" s="161" customFormat="1" ht="17.25" customHeight="1">
      <c r="A101" s="31"/>
      <c r="B101" s="163"/>
    </row>
    <row r="102" spans="1:6" s="161" customFormat="1" ht="17.25" customHeight="1"/>
    <row r="103" spans="1:6" s="161" customFormat="1" ht="17.25" customHeight="1">
      <c r="C103" s="105"/>
      <c r="D103" s="105"/>
    </row>
    <row r="104" spans="1:6" s="161" customFormat="1" ht="17.25" customHeight="1">
      <c r="C104" s="105"/>
      <c r="D104" s="105"/>
    </row>
    <row r="105" spans="1:6" s="161" customFormat="1" ht="17.25" customHeight="1">
      <c r="C105" s="105"/>
      <c r="D105" s="105"/>
    </row>
    <row r="106" spans="1:6" s="161" customFormat="1" ht="17.25" customHeight="1">
      <c r="C106" s="105"/>
      <c r="D106" s="105"/>
    </row>
    <row r="107" spans="1:6" s="161" customFormat="1" ht="17.25" customHeight="1">
      <c r="C107" s="105"/>
      <c r="D107" s="105"/>
    </row>
    <row r="108" spans="1:6" s="161" customFormat="1" ht="17.25" customHeight="1">
      <c r="C108" s="105"/>
      <c r="D108" s="105"/>
    </row>
    <row r="109" spans="1:6" s="161" customFormat="1" ht="17.25" customHeight="1">
      <c r="C109" s="105"/>
      <c r="D109" s="105"/>
    </row>
    <row r="110" spans="1:6" s="161" customFormat="1" ht="17.25" customHeight="1"/>
    <row r="111" spans="1:6" s="161" customFormat="1" ht="17.25" customHeight="1"/>
    <row r="112" spans="1:6" s="161" customFormat="1" ht="17.25" customHeight="1"/>
    <row r="113" s="161" customFormat="1" ht="17.25" customHeight="1"/>
    <row r="114" s="161" customFormat="1" ht="17.25" customHeight="1"/>
    <row r="115" s="161" customFormat="1" ht="17.25" customHeight="1"/>
    <row r="116" s="161" customFormat="1" ht="17.25" customHeight="1"/>
    <row r="117" s="161" customFormat="1" ht="17.25" customHeight="1"/>
    <row r="118" s="161" customFormat="1" ht="17.25" customHeight="1"/>
    <row r="119" s="161" customFormat="1" ht="17.25" customHeight="1"/>
    <row r="120" s="161" customFormat="1" ht="17.25" customHeight="1"/>
    <row r="121" s="161" customFormat="1" ht="17.25" customHeight="1"/>
    <row r="122" s="161" customFormat="1" ht="17.25" customHeight="1"/>
    <row r="123" s="161" customFormat="1" ht="17.25" customHeight="1"/>
    <row r="124" s="161" customFormat="1" ht="17.25" customHeight="1"/>
    <row r="125" s="161" customFormat="1" ht="17.25" customHeight="1"/>
    <row r="126" s="161" customFormat="1" ht="17.25" customHeight="1"/>
    <row r="127" s="161" customFormat="1" ht="17.25" customHeight="1"/>
    <row r="128" s="161" customFormat="1" ht="17.25" customHeight="1"/>
    <row r="129" spans="1:1" s="161" customFormat="1" ht="17.25" customHeight="1">
      <c r="A129" s="37"/>
    </row>
    <row r="130" spans="1:1" s="161" customFormat="1" ht="17.25" customHeight="1"/>
    <row r="131" spans="1:1" s="161" customFormat="1" ht="17.25" customHeight="1"/>
    <row r="132" spans="1:1" s="161" customFormat="1" ht="17.25" customHeight="1"/>
    <row r="133" spans="1:1" s="161" customFormat="1" ht="17.25" customHeight="1"/>
    <row r="134" spans="1:1" s="161" customFormat="1" ht="17.25" customHeight="1"/>
    <row r="135" spans="1:1" s="161" customFormat="1" ht="17.25" customHeight="1"/>
    <row r="136" spans="1:1" s="161" customFormat="1" ht="17.25" customHeight="1"/>
    <row r="137" spans="1:1" s="161" customFormat="1" ht="17.25" customHeight="1"/>
    <row r="138" spans="1:1" s="161" customFormat="1" ht="17.25" customHeight="1"/>
    <row r="139" spans="1:1" s="161" customFormat="1" ht="17.25" customHeight="1"/>
    <row r="140" spans="1:1" s="161" customFormat="1" ht="17.25" customHeight="1"/>
    <row r="141" spans="1:1" s="161" customFormat="1" ht="17.25" customHeight="1"/>
    <row r="142" spans="1:1" s="161" customFormat="1" ht="17.25" customHeight="1"/>
    <row r="143" spans="1:1" s="161" customFormat="1" ht="17.25" customHeight="1"/>
    <row r="144" spans="1:1" s="161" customFormat="1" ht="17.25" customHeight="1"/>
    <row r="145" s="161" customFormat="1" ht="17.25" customHeight="1"/>
    <row r="146" s="161" customFormat="1" ht="17.25" customHeight="1"/>
    <row r="147" s="161" customFormat="1" ht="17.25" customHeight="1"/>
    <row r="148" s="161" customFormat="1" ht="17.25" customHeight="1"/>
    <row r="149" s="161" customFormat="1" ht="17.25" customHeight="1"/>
    <row r="150" s="161" customFormat="1" ht="17.25" customHeight="1"/>
    <row r="151" s="161" customFormat="1" ht="17.25" customHeight="1"/>
    <row r="152" s="161" customFormat="1" ht="17.25" customHeight="1"/>
    <row r="153" s="161" customFormat="1" ht="17.25" customHeight="1"/>
    <row r="154" s="161" customFormat="1" ht="17.25" customHeight="1"/>
    <row r="155" s="161" customFormat="1" ht="17.25" customHeight="1"/>
    <row r="156" s="161" customFormat="1" ht="17.25" customHeight="1"/>
    <row r="157" s="161" customFormat="1" ht="17.25" customHeight="1"/>
    <row r="158" s="161" customFormat="1" ht="17.25" customHeight="1"/>
    <row r="159" s="161" customFormat="1" ht="17.25" customHeight="1"/>
    <row r="160" s="161" customFormat="1" ht="17.25" customHeight="1"/>
    <row r="161" s="161" customFormat="1" ht="17.25" customHeight="1"/>
    <row r="162" s="161" customFormat="1" ht="17.25" customHeight="1"/>
    <row r="163" s="161" customFormat="1" ht="17.25" customHeight="1"/>
    <row r="164" s="161" customFormat="1" ht="17.25" customHeight="1"/>
    <row r="165" s="161" customFormat="1" ht="17.25" customHeight="1"/>
    <row r="166" s="161" customFormat="1" ht="17.25" customHeight="1"/>
    <row r="167" s="161" customFormat="1" ht="17.25" customHeight="1"/>
    <row r="168" s="161" customFormat="1" ht="17.25" customHeight="1"/>
    <row r="169" s="161" customFormat="1" ht="17.25" customHeight="1"/>
    <row r="170" s="161" customFormat="1" ht="17.25" customHeight="1"/>
    <row r="171" s="161" customFormat="1" ht="17.25" customHeight="1"/>
    <row r="172" s="161" customFormat="1" ht="17.25" customHeight="1"/>
    <row r="173" s="161" customFormat="1" ht="17.25" customHeight="1"/>
    <row r="174" s="161" customFormat="1" ht="17.25" customHeight="1"/>
    <row r="175" s="161" customFormat="1" ht="17.25" customHeight="1"/>
    <row r="176" s="161" customFormat="1" ht="17.25" customHeight="1"/>
    <row r="177" s="161" customFormat="1" ht="17.25" customHeight="1"/>
    <row r="178" s="161" customFormat="1" ht="17.25" customHeight="1"/>
    <row r="179" s="161" customFormat="1" ht="17.25" customHeight="1"/>
    <row r="180" s="161" customFormat="1" ht="17.25" customHeight="1"/>
    <row r="181" s="161" customFormat="1" ht="17.25" customHeight="1"/>
    <row r="182" s="161" customFormat="1" ht="17.25" customHeight="1"/>
    <row r="183" s="161" customFormat="1" ht="17.25" customHeight="1"/>
    <row r="184" s="161" customFormat="1" ht="17.25" customHeight="1"/>
    <row r="185" s="161" customFormat="1" ht="17.25" customHeight="1"/>
    <row r="186" s="161" customFormat="1" ht="17.25" customHeight="1"/>
    <row r="187" s="161" customFormat="1" ht="17.25" customHeight="1"/>
    <row r="188" s="161" customFormat="1" ht="17.25" customHeight="1"/>
    <row r="189" s="161" customFormat="1" ht="17.25" customHeight="1"/>
    <row r="190" s="161" customFormat="1" ht="17.25" customHeight="1"/>
    <row r="191" s="161" customFormat="1" ht="17.25" customHeight="1"/>
    <row r="192" s="161" customFormat="1" ht="17.25" customHeight="1"/>
    <row r="193" spans="1:23" s="161" customFormat="1" ht="17.25" customHeight="1"/>
    <row r="194" spans="1:23" s="161" customFormat="1" ht="17.25" customHeight="1"/>
    <row r="195" spans="1:23" s="161" customFormat="1" ht="17.25" customHeight="1"/>
    <row r="196" spans="1:23" s="161" customFormat="1" ht="17.25" customHeight="1"/>
    <row r="197" spans="1:23" s="161" customFormat="1" ht="17.25" customHeight="1"/>
    <row r="198" spans="1:23" s="161" customFormat="1" ht="17.25" customHeight="1"/>
    <row r="199" spans="1:23" s="161" customFormat="1" ht="17.25" customHeight="1"/>
    <row r="200" spans="1:23" s="161" customFormat="1" ht="17.25" customHeight="1"/>
    <row r="201" spans="1:23" s="161" customFormat="1" ht="17.25" customHeight="1"/>
    <row r="202" spans="1:23" s="161" customFormat="1" ht="17.25" customHeight="1"/>
    <row r="203" spans="1:23" s="161" customFormat="1" ht="17.25" customHeight="1"/>
    <row r="204" spans="1:23" s="161" customFormat="1" ht="17.25" customHeight="1"/>
    <row r="205" spans="1:23" ht="17.25" customHeight="1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9"/>
  <sheetViews>
    <sheetView showGridLines="0" zoomScaleNormal="100" workbookViewId="0">
      <selection activeCell="J4" sqref="J4"/>
    </sheetView>
  </sheetViews>
  <sheetFormatPr baseColWidth="10" defaultColWidth="10.85546875" defaultRowHeight="17.25" customHeight="1"/>
  <cols>
    <col min="1" max="1" width="18.85546875" style="162" customWidth="1"/>
    <col min="2" max="7" width="7.85546875" style="162" customWidth="1"/>
    <col min="8" max="16384" width="10.85546875" style="162"/>
  </cols>
  <sheetData>
    <row r="1" spans="1:7" ht="18.95" customHeight="1">
      <c r="A1" s="267" t="s">
        <v>473</v>
      </c>
      <c r="B1" s="267"/>
      <c r="C1" s="267"/>
      <c r="D1" s="267"/>
      <c r="E1" s="267"/>
      <c r="F1" s="267"/>
      <c r="G1" s="267"/>
    </row>
    <row r="2" spans="1:7" ht="11.1" customHeight="1">
      <c r="A2" s="507" t="s">
        <v>474</v>
      </c>
      <c r="B2" s="507"/>
      <c r="C2" s="507"/>
      <c r="D2" s="507"/>
      <c r="E2" s="507"/>
      <c r="F2" s="507"/>
      <c r="G2" s="507"/>
    </row>
    <row r="3" spans="1:7" ht="11.1" customHeight="1">
      <c r="A3" s="508" t="s">
        <v>365</v>
      </c>
      <c r="B3" s="508"/>
      <c r="C3" s="508"/>
      <c r="D3" s="508"/>
      <c r="E3" s="508"/>
      <c r="F3" s="508"/>
      <c r="G3" s="508"/>
    </row>
    <row r="4" spans="1:7" ht="3.95" customHeight="1">
      <c r="A4" s="268"/>
      <c r="B4" s="268"/>
      <c r="C4" s="268"/>
      <c r="D4" s="268"/>
      <c r="E4" s="269"/>
      <c r="F4" s="269"/>
      <c r="G4" s="268"/>
    </row>
    <row r="5" spans="1:7" ht="14.1" customHeight="1">
      <c r="A5" s="502" t="s">
        <v>382</v>
      </c>
      <c r="B5" s="504" t="s">
        <v>472</v>
      </c>
      <c r="C5" s="505"/>
      <c r="D5" s="506"/>
      <c r="E5" s="504" t="s">
        <v>478</v>
      </c>
      <c r="F5" s="505"/>
      <c r="G5" s="506"/>
    </row>
    <row r="6" spans="1:7" ht="14.1" customHeight="1">
      <c r="A6" s="503"/>
      <c r="B6" s="295" t="s">
        <v>383</v>
      </c>
      <c r="C6" s="295" t="s">
        <v>384</v>
      </c>
      <c r="D6" s="296" t="s">
        <v>53</v>
      </c>
      <c r="E6" s="295" t="s">
        <v>383</v>
      </c>
      <c r="F6" s="295" t="s">
        <v>384</v>
      </c>
      <c r="G6" s="296" t="s">
        <v>53</v>
      </c>
    </row>
    <row r="7" spans="1:7" ht="17.100000000000001" customHeight="1">
      <c r="A7" s="297" t="s">
        <v>385</v>
      </c>
      <c r="B7" s="349">
        <v>6565</v>
      </c>
      <c r="C7" s="349">
        <v>6931</v>
      </c>
      <c r="D7" s="350">
        <v>5.6</v>
      </c>
      <c r="E7" s="349">
        <v>1182</v>
      </c>
      <c r="F7" s="349">
        <v>1212</v>
      </c>
      <c r="G7" s="350">
        <v>2.5</v>
      </c>
    </row>
    <row r="8" spans="1:7" ht="8.1" customHeight="1">
      <c r="A8" s="270"/>
      <c r="B8" s="351"/>
      <c r="C8" s="351"/>
      <c r="D8" s="352"/>
      <c r="E8" s="351"/>
      <c r="F8" s="351"/>
      <c r="G8" s="352"/>
    </row>
    <row r="9" spans="1:7" ht="11.25" customHeight="1">
      <c r="A9" s="361" t="s">
        <v>369</v>
      </c>
      <c r="B9" s="351">
        <v>1079.4839963209999</v>
      </c>
      <c r="C9" s="351">
        <v>1219.5153350534999</v>
      </c>
      <c r="D9" s="352">
        <v>12.972062504839554</v>
      </c>
      <c r="E9" s="374">
        <v>200.97476061549997</v>
      </c>
      <c r="F9" s="374">
        <v>224.92687251450002</v>
      </c>
      <c r="G9" s="380">
        <v>11.917970110099873</v>
      </c>
    </row>
    <row r="10" spans="1:7" ht="11.25" customHeight="1">
      <c r="A10" s="361" t="s">
        <v>386</v>
      </c>
      <c r="B10" s="372">
        <v>871.4078352434999</v>
      </c>
      <c r="C10" s="351">
        <v>960.41747828349992</v>
      </c>
      <c r="D10" s="352">
        <v>10.214464391994804</v>
      </c>
      <c r="E10" s="375">
        <v>157.18369297249998</v>
      </c>
      <c r="F10" s="375">
        <v>173.29828348250001</v>
      </c>
      <c r="G10" s="379">
        <v>10.252075266369619</v>
      </c>
    </row>
    <row r="11" spans="1:7" ht="11.25" customHeight="1">
      <c r="A11" s="353" t="s">
        <v>387</v>
      </c>
      <c r="B11" s="372">
        <v>871.4078352434999</v>
      </c>
      <c r="C11" s="372">
        <v>960.41747828349992</v>
      </c>
      <c r="D11" s="377">
        <v>10.214464391994804</v>
      </c>
      <c r="E11" s="375">
        <v>157.18369297249998</v>
      </c>
      <c r="F11" s="375">
        <v>173.29828348250001</v>
      </c>
      <c r="G11" s="379">
        <v>10.252075266369619</v>
      </c>
    </row>
    <row r="12" spans="1:7" ht="11.25" customHeight="1">
      <c r="A12" s="361" t="s">
        <v>388</v>
      </c>
      <c r="B12" s="372">
        <v>208.07616107749999</v>
      </c>
      <c r="C12" s="351">
        <v>259.09785677000002</v>
      </c>
      <c r="D12" s="352">
        <v>24.52068292123888</v>
      </c>
      <c r="E12" s="375">
        <v>43.791067643000005</v>
      </c>
      <c r="F12" s="375">
        <v>51.628589032000001</v>
      </c>
      <c r="G12" s="379">
        <v>17.89753438508097</v>
      </c>
    </row>
    <row r="13" spans="1:7" ht="11.25" customHeight="1">
      <c r="A13" s="353" t="s">
        <v>389</v>
      </c>
      <c r="B13" s="372">
        <v>164.8596010775</v>
      </c>
      <c r="C13" s="372">
        <v>216.68610677000001</v>
      </c>
      <c r="D13" s="377">
        <v>31.436753063679035</v>
      </c>
      <c r="E13" s="375">
        <v>32.245807643000006</v>
      </c>
      <c r="F13" s="375">
        <v>41.611889032000001</v>
      </c>
      <c r="G13" s="379">
        <v>29.045888670843102</v>
      </c>
    </row>
    <row r="14" spans="1:7" ht="11.25" customHeight="1">
      <c r="A14" s="353" t="s">
        <v>390</v>
      </c>
      <c r="B14" s="372">
        <v>43.216560000000001</v>
      </c>
      <c r="C14" s="372">
        <v>42.411749999999998</v>
      </c>
      <c r="D14" s="377">
        <v>-1.8622722400857494</v>
      </c>
      <c r="E14" s="375">
        <v>11.545260000000001</v>
      </c>
      <c r="F14" s="375">
        <v>10.0167</v>
      </c>
      <c r="G14" s="379">
        <v>-13.239719157472418</v>
      </c>
    </row>
    <row r="15" spans="1:7" ht="11.25" customHeight="1">
      <c r="A15" s="353"/>
      <c r="B15" s="354"/>
      <c r="C15" s="354"/>
      <c r="D15" s="355"/>
      <c r="E15" s="354"/>
      <c r="F15" s="354"/>
      <c r="G15" s="355"/>
    </row>
    <row r="16" spans="1:7" ht="11.25" customHeight="1">
      <c r="A16" s="361" t="s">
        <v>391</v>
      </c>
      <c r="B16" s="351">
        <v>1867.9602435928002</v>
      </c>
      <c r="C16" s="351">
        <v>1856.2587608972799</v>
      </c>
      <c r="D16" s="352">
        <v>-0.62643103543863488</v>
      </c>
      <c r="E16" s="374">
        <v>287.98273839184003</v>
      </c>
      <c r="F16" s="374">
        <v>320.07219025903998</v>
      </c>
      <c r="G16" s="380">
        <v>11.142838645953091</v>
      </c>
    </row>
    <row r="17" spans="1:7" ht="11.25" customHeight="1">
      <c r="A17" s="353" t="s">
        <v>392</v>
      </c>
      <c r="B17" s="372">
        <v>1092.0621036800001</v>
      </c>
      <c r="C17" s="372">
        <v>1038.6763099200002</v>
      </c>
      <c r="D17" s="377">
        <v>-4.888530934284951</v>
      </c>
      <c r="E17" s="375">
        <v>155.963578528</v>
      </c>
      <c r="F17" s="375">
        <v>177.201554528</v>
      </c>
      <c r="G17" s="379">
        <v>13.617266415945428</v>
      </c>
    </row>
    <row r="18" spans="1:7" ht="11.25" customHeight="1">
      <c r="A18" s="353" t="s">
        <v>393</v>
      </c>
      <c r="B18" s="372">
        <v>405.26596128000006</v>
      </c>
      <c r="C18" s="372">
        <v>407.49455606399999</v>
      </c>
      <c r="D18" s="377">
        <v>0.54990919468318467</v>
      </c>
      <c r="E18" s="375">
        <v>70.041320608000007</v>
      </c>
      <c r="F18" s="375">
        <v>71.089263680000002</v>
      </c>
      <c r="G18" s="379">
        <v>1.4961783457296818</v>
      </c>
    </row>
    <row r="19" spans="1:7" ht="11.25" customHeight="1">
      <c r="A19" s="353" t="s">
        <v>394</v>
      </c>
      <c r="B19" s="372">
        <v>139.24561440000002</v>
      </c>
      <c r="C19" s="372">
        <v>137.90485919999998</v>
      </c>
      <c r="D19" s="377">
        <v>-0.96287068413412058</v>
      </c>
      <c r="E19" s="375">
        <v>26.793983039999997</v>
      </c>
      <c r="F19" s="375">
        <v>25.260731519999997</v>
      </c>
      <c r="G19" s="379">
        <v>-5.7223725106903771</v>
      </c>
    </row>
    <row r="20" spans="1:7" ht="11.25" customHeight="1">
      <c r="A20" s="353" t="s">
        <v>395</v>
      </c>
      <c r="B20" s="372">
        <v>32.67379794</v>
      </c>
      <c r="C20" s="372">
        <v>30.702314359999999</v>
      </c>
      <c r="D20" s="377">
        <v>-6.0338366039365932</v>
      </c>
      <c r="E20" s="375">
        <v>5.4868432199999999</v>
      </c>
      <c r="F20" s="375">
        <v>5.3064312200000003</v>
      </c>
      <c r="G20" s="379">
        <v>-3.2880837444449473</v>
      </c>
    </row>
    <row r="21" spans="1:7" ht="11.25" customHeight="1">
      <c r="A21" s="353" t="s">
        <v>396</v>
      </c>
      <c r="B21" s="372">
        <v>36.838103530880005</v>
      </c>
      <c r="C21" s="372">
        <v>25.798863611839998</v>
      </c>
      <c r="D21" s="377">
        <v>-29.966906167648467</v>
      </c>
      <c r="E21" s="375">
        <v>5.1997197798400006</v>
      </c>
      <c r="F21" s="375">
        <v>4.9658409430399999</v>
      </c>
      <c r="G21" s="379">
        <v>-4.4979123241752355</v>
      </c>
    </row>
    <row r="22" spans="1:7" ht="11.25" customHeight="1">
      <c r="A22" s="353" t="s">
        <v>475</v>
      </c>
      <c r="B22" s="372">
        <v>161.87466276191998</v>
      </c>
      <c r="C22" s="372">
        <v>215.68185774143998</v>
      </c>
      <c r="D22" s="377">
        <v>33.240035260279058</v>
      </c>
      <c r="E22" s="375">
        <v>24.497293216000003</v>
      </c>
      <c r="F22" s="375">
        <v>36.248368368000001</v>
      </c>
      <c r="G22" s="379">
        <v>47.968871696914576</v>
      </c>
    </row>
    <row r="23" spans="1:7" ht="11.25" customHeight="1">
      <c r="A23" s="353"/>
      <c r="B23" s="354"/>
      <c r="C23" s="354"/>
      <c r="D23" s="355"/>
      <c r="E23" s="356"/>
      <c r="F23" s="356"/>
      <c r="G23" s="357"/>
    </row>
    <row r="24" spans="1:7" ht="11.25" customHeight="1">
      <c r="A24" s="361" t="s">
        <v>371</v>
      </c>
      <c r="B24" s="358"/>
      <c r="C24" s="358"/>
      <c r="D24" s="359"/>
      <c r="E24" s="358"/>
      <c r="F24" s="358"/>
      <c r="G24" s="360"/>
    </row>
    <row r="25" spans="1:7" ht="11.25" customHeight="1">
      <c r="A25" s="353" t="s">
        <v>476</v>
      </c>
      <c r="B25" s="351">
        <v>70</v>
      </c>
      <c r="C25" s="351">
        <v>50</v>
      </c>
      <c r="D25" s="352">
        <v>27.8</v>
      </c>
      <c r="E25" s="374">
        <v>13</v>
      </c>
      <c r="F25" s="374">
        <v>7</v>
      </c>
      <c r="G25" s="380">
        <v>-49.052458905057819</v>
      </c>
    </row>
    <row r="26" spans="1:7" ht="11.25" customHeight="1">
      <c r="A26" s="361"/>
      <c r="B26" s="358"/>
      <c r="C26" s="358"/>
      <c r="D26" s="359"/>
      <c r="E26" s="358"/>
      <c r="F26" s="358"/>
      <c r="G26" s="359"/>
    </row>
    <row r="27" spans="1:7" ht="11.25" customHeight="1">
      <c r="A27" s="361" t="s">
        <v>372</v>
      </c>
      <c r="B27" s="358"/>
      <c r="C27" s="358"/>
      <c r="D27" s="359"/>
      <c r="E27" s="358"/>
      <c r="F27" s="358"/>
      <c r="G27" s="359"/>
    </row>
    <row r="28" spans="1:7" ht="11.25" customHeight="1">
      <c r="A28" s="353" t="s">
        <v>397</v>
      </c>
      <c r="B28" s="358">
        <v>657.68752825340016</v>
      </c>
      <c r="C28" s="358">
        <v>599.39884731000006</v>
      </c>
      <c r="D28" s="359">
        <v>-8.8626708641101217</v>
      </c>
      <c r="E28" s="374">
        <v>131.11620755820002</v>
      </c>
      <c r="F28" s="374">
        <v>101.8841621856</v>
      </c>
      <c r="G28" s="380">
        <v>-22.294761202290314</v>
      </c>
    </row>
    <row r="29" spans="1:7" ht="11.25" customHeight="1">
      <c r="A29" s="361"/>
      <c r="B29" s="358"/>
      <c r="C29" s="358"/>
      <c r="D29" s="359"/>
      <c r="E29" s="358"/>
      <c r="F29" s="358"/>
      <c r="G29" s="359"/>
    </row>
    <row r="30" spans="1:7" ht="11.25" customHeight="1">
      <c r="A30" s="361" t="s">
        <v>398</v>
      </c>
      <c r="B30" s="351">
        <v>183.82836296775736</v>
      </c>
      <c r="C30" s="351">
        <v>187.07356270752999</v>
      </c>
      <c r="D30" s="352">
        <v>1.765342239566059</v>
      </c>
      <c r="E30" s="374">
        <v>31.853021734399995</v>
      </c>
      <c r="F30" s="374">
        <v>33.061920809100002</v>
      </c>
      <c r="G30" s="380">
        <v>3.7952414209872165</v>
      </c>
    </row>
    <row r="31" spans="1:7" ht="11.25" customHeight="1">
      <c r="A31" s="353" t="s">
        <v>399</v>
      </c>
      <c r="B31" s="372">
        <v>6.4984539826999992</v>
      </c>
      <c r="C31" s="372">
        <v>7.6137583724999995</v>
      </c>
      <c r="D31" s="377">
        <v>17.162611180584374</v>
      </c>
      <c r="E31" s="375">
        <v>0.9337834224999999</v>
      </c>
      <c r="F31" s="375">
        <v>1.3095851089999999</v>
      </c>
      <c r="G31" s="379">
        <v>40.245058698287181</v>
      </c>
    </row>
    <row r="32" spans="1:7" ht="11.25" customHeight="1">
      <c r="A32" s="353" t="s">
        <v>400</v>
      </c>
      <c r="B32" s="372">
        <v>30.413199686500004</v>
      </c>
      <c r="C32" s="372">
        <v>31.126930045129996</v>
      </c>
      <c r="D32" s="377">
        <v>2.3467782607129228</v>
      </c>
      <c r="E32" s="375">
        <v>5.2446254580000007</v>
      </c>
      <c r="F32" s="375">
        <v>5.9160775666000003</v>
      </c>
      <c r="G32" s="379">
        <v>12.802670352289613</v>
      </c>
    </row>
    <row r="33" spans="1:7" ht="11.25" customHeight="1">
      <c r="A33" s="353" t="s">
        <v>401</v>
      </c>
      <c r="B33" s="372">
        <v>78.025975351999989</v>
      </c>
      <c r="C33" s="372">
        <v>73.795189780000001</v>
      </c>
      <c r="D33" s="377">
        <v>-5.4222783539886183</v>
      </c>
      <c r="E33" s="375">
        <v>13.224846907999998</v>
      </c>
      <c r="F33" s="375">
        <v>13.146980131999999</v>
      </c>
      <c r="G33" s="379">
        <v>-0.58879151147598341</v>
      </c>
    </row>
    <row r="34" spans="1:7" ht="11.25" customHeight="1">
      <c r="A34" s="353" t="s">
        <v>402</v>
      </c>
      <c r="B34" s="372">
        <v>28.659321029080797</v>
      </c>
      <c r="C34" s="372">
        <v>32.593290697800001</v>
      </c>
      <c r="D34" s="377">
        <v>13.726667371942902</v>
      </c>
      <c r="E34" s="375">
        <v>4.8090249270000003</v>
      </c>
      <c r="F34" s="375">
        <v>5.3636193792000002</v>
      </c>
      <c r="G34" s="379">
        <v>11.53236800845554</v>
      </c>
    </row>
    <row r="35" spans="1:7" ht="11.25" customHeight="1">
      <c r="A35" s="353" t="s">
        <v>403</v>
      </c>
      <c r="B35" s="372">
        <v>30.779657248576598</v>
      </c>
      <c r="C35" s="372">
        <v>31.452320828499996</v>
      </c>
      <c r="D35" s="377">
        <v>2.1854160833922442</v>
      </c>
      <c r="E35" s="375">
        <v>5.8062420221000002</v>
      </c>
      <c r="F35" s="375">
        <v>5.5108018927</v>
      </c>
      <c r="G35" s="379">
        <v>-5.088319230846416</v>
      </c>
    </row>
    <row r="36" spans="1:7" ht="11.25" customHeight="1">
      <c r="A36" s="353" t="s">
        <v>404</v>
      </c>
      <c r="B36" s="372">
        <v>6.1840481287000006</v>
      </c>
      <c r="C36" s="372">
        <v>7.049256572800001</v>
      </c>
      <c r="D36" s="377">
        <v>13.990972031485182</v>
      </c>
      <c r="E36" s="375">
        <v>1.1189411025000002</v>
      </c>
      <c r="F36" s="375">
        <v>1.2823042336000001</v>
      </c>
      <c r="G36" s="379">
        <v>14.599797141690928</v>
      </c>
    </row>
    <row r="37" spans="1:7" ht="11.25" customHeight="1">
      <c r="A37" s="353" t="s">
        <v>405</v>
      </c>
      <c r="B37" s="372">
        <v>6.9797112999999994E-2</v>
      </c>
      <c r="C37" s="372">
        <v>8.5253329999999988E-2</v>
      </c>
      <c r="D37" s="377">
        <v>22.144493282981493</v>
      </c>
      <c r="E37" s="375">
        <v>6.4814999999999994E-3</v>
      </c>
      <c r="F37" s="375">
        <v>1.3593865999999998E-2</v>
      </c>
      <c r="G37" s="379">
        <v>109.73333333333332</v>
      </c>
    </row>
    <row r="38" spans="1:7" ht="11.25" customHeight="1">
      <c r="A38" s="353" t="s">
        <v>406</v>
      </c>
      <c r="B38" s="372">
        <v>3.1979104271999996</v>
      </c>
      <c r="C38" s="372">
        <v>3.3575630807999994</v>
      </c>
      <c r="D38" s="377">
        <v>4.9924054233059678</v>
      </c>
      <c r="E38" s="375">
        <v>0.70907639429999991</v>
      </c>
      <c r="F38" s="375">
        <v>0.51895862999999998</v>
      </c>
      <c r="G38" s="379">
        <v>-26.812028411647258</v>
      </c>
    </row>
    <row r="39" spans="1:7" ht="11.25" customHeight="1">
      <c r="A39" s="353"/>
      <c r="B39" s="354"/>
      <c r="C39" s="354"/>
      <c r="D39" s="355"/>
      <c r="E39" s="354"/>
      <c r="F39" s="354"/>
      <c r="G39" s="355"/>
    </row>
    <row r="40" spans="1:7" ht="11.25" customHeight="1">
      <c r="A40" s="361" t="s">
        <v>374</v>
      </c>
      <c r="B40" s="351">
        <v>105.3253</v>
      </c>
      <c r="C40" s="351">
        <v>179.45150469999999</v>
      </c>
      <c r="D40" s="352">
        <v>70.378346608079909</v>
      </c>
      <c r="E40" s="374">
        <v>15.3724644</v>
      </c>
      <c r="F40" s="374">
        <v>37.690188900000003</v>
      </c>
      <c r="G40" s="380">
        <v>145.17987434727772</v>
      </c>
    </row>
    <row r="41" spans="1:7" ht="11.25" customHeight="1">
      <c r="A41" s="353" t="s">
        <v>407</v>
      </c>
      <c r="B41" s="372">
        <v>76.062673000000004</v>
      </c>
      <c r="C41" s="372">
        <v>149.15445169999998</v>
      </c>
      <c r="D41" s="377">
        <v>96.094149491696101</v>
      </c>
      <c r="E41" s="375">
        <v>14.9625334</v>
      </c>
      <c r="F41" s="375">
        <v>35.707028200000003</v>
      </c>
      <c r="G41" s="379">
        <v>138.64293061494521</v>
      </c>
    </row>
    <row r="42" spans="1:7" ht="11.25" customHeight="1">
      <c r="A42" s="353" t="s">
        <v>408</v>
      </c>
      <c r="B42" s="372">
        <v>29.262626999999998</v>
      </c>
      <c r="C42" s="372">
        <v>30.297052999999998</v>
      </c>
      <c r="D42" s="377">
        <v>3.5349731245933658</v>
      </c>
      <c r="E42" s="375">
        <v>0.40993100000000005</v>
      </c>
      <c r="F42" s="375">
        <v>1.9831607</v>
      </c>
      <c r="G42" s="379">
        <v>383.77914819811127</v>
      </c>
    </row>
    <row r="43" spans="1:7" ht="11.25" customHeight="1">
      <c r="A43" s="353"/>
      <c r="B43" s="354"/>
      <c r="C43" s="354"/>
      <c r="D43" s="355"/>
      <c r="E43" s="354"/>
      <c r="F43" s="354"/>
      <c r="G43" s="355"/>
    </row>
    <row r="44" spans="1:7" ht="11.25" customHeight="1">
      <c r="A44" s="361" t="s">
        <v>375</v>
      </c>
      <c r="B44" s="351">
        <v>483.9038748261936</v>
      </c>
      <c r="C44" s="351">
        <v>435.26445785050743</v>
      </c>
      <c r="D44" s="352">
        <v>-10.051462595366957</v>
      </c>
      <c r="E44" s="374">
        <v>95.097434695280043</v>
      </c>
      <c r="F44" s="374">
        <v>76.233020580002005</v>
      </c>
      <c r="G44" s="380">
        <v>-19.836932695109113</v>
      </c>
    </row>
    <row r="45" spans="1:7" ht="11.25" customHeight="1">
      <c r="A45" s="353" t="s">
        <v>409</v>
      </c>
      <c r="B45" s="372">
        <v>38.342661776099995</v>
      </c>
      <c r="C45" s="372">
        <v>27.451425589020001</v>
      </c>
      <c r="D45" s="377">
        <v>-28.405008109971096</v>
      </c>
      <c r="E45" s="375">
        <v>6.5317240255499991</v>
      </c>
      <c r="F45" s="375">
        <v>4.7279106000000004</v>
      </c>
      <c r="G45" s="379">
        <v>-27.616191659262736</v>
      </c>
    </row>
    <row r="46" spans="1:7" ht="11.25" customHeight="1">
      <c r="A46" s="353" t="s">
        <v>410</v>
      </c>
      <c r="B46" s="372">
        <v>445.56121305009361</v>
      </c>
      <c r="C46" s="372">
        <v>407.81303226148742</v>
      </c>
      <c r="D46" s="377">
        <v>-8.4720527018500196</v>
      </c>
      <c r="E46" s="375">
        <v>88.565710669730038</v>
      </c>
      <c r="F46" s="375">
        <v>71.505109980002004</v>
      </c>
      <c r="G46" s="379">
        <v>-19.263212094970516</v>
      </c>
    </row>
    <row r="47" spans="1:7" ht="11.25" customHeight="1">
      <c r="A47" s="353"/>
      <c r="B47" s="354"/>
      <c r="C47" s="354"/>
      <c r="D47" s="355"/>
      <c r="E47" s="356"/>
      <c r="F47" s="356"/>
      <c r="G47" s="357"/>
    </row>
    <row r="48" spans="1:7" ht="11.25" customHeight="1">
      <c r="A48" s="361" t="s">
        <v>411</v>
      </c>
      <c r="B48" s="351">
        <v>1117.9564084946433</v>
      </c>
      <c r="C48" s="351">
        <v>1256.9440243850884</v>
      </c>
      <c r="D48" s="352">
        <v>12.432292961904977</v>
      </c>
      <c r="E48" s="374">
        <v>205.11210058472997</v>
      </c>
      <c r="F48" s="374">
        <v>219.85703593817999</v>
      </c>
      <c r="G48" s="380">
        <v>7.1887203687229562</v>
      </c>
    </row>
    <row r="49" spans="1:7" ht="11.25" customHeight="1">
      <c r="A49" s="353" t="s">
        <v>412</v>
      </c>
      <c r="B49" s="372">
        <v>1084.5392263774095</v>
      </c>
      <c r="C49" s="372">
        <v>1218.6738330248884</v>
      </c>
      <c r="D49" s="377">
        <v>12.36788890481324</v>
      </c>
      <c r="E49" s="375">
        <v>198.76196294294999</v>
      </c>
      <c r="F49" s="375">
        <v>213.46865310779998</v>
      </c>
      <c r="G49" s="379">
        <v>7.3991471743872772</v>
      </c>
    </row>
    <row r="50" spans="1:7" ht="11.25" customHeight="1">
      <c r="A50" s="353" t="s">
        <v>413</v>
      </c>
      <c r="B50" s="372">
        <v>3.0544709364</v>
      </c>
      <c r="C50" s="372">
        <v>3.9924890126400001</v>
      </c>
      <c r="D50" s="377">
        <v>30.709674302730416</v>
      </c>
      <c r="E50" s="375">
        <v>0.75254851919999999</v>
      </c>
      <c r="F50" s="375">
        <v>0.69511823880000001</v>
      </c>
      <c r="G50" s="379">
        <v>-7.6314388952690386</v>
      </c>
    </row>
    <row r="51" spans="1:7" ht="11.25" customHeight="1">
      <c r="A51" s="353" t="s">
        <v>414</v>
      </c>
      <c r="B51" s="372">
        <v>30.362711180833795</v>
      </c>
      <c r="C51" s="372">
        <v>34.277702347560002</v>
      </c>
      <c r="D51" s="377">
        <v>12.894076366927054</v>
      </c>
      <c r="E51" s="375">
        <v>5.5975891225799996</v>
      </c>
      <c r="F51" s="375">
        <v>5.6932645915800002</v>
      </c>
      <c r="G51" s="379">
        <v>1.7092263634366667</v>
      </c>
    </row>
    <row r="52" spans="1:7" ht="11.25" customHeight="1">
      <c r="A52" s="353"/>
      <c r="B52" s="354"/>
      <c r="C52" s="354"/>
      <c r="D52" s="355"/>
      <c r="E52" s="354"/>
      <c r="F52" s="354"/>
      <c r="G52" s="355"/>
    </row>
    <row r="53" spans="1:7" ht="10.5" customHeight="1">
      <c r="A53" s="361" t="s">
        <v>415</v>
      </c>
      <c r="B53" s="351">
        <v>998.65469453632022</v>
      </c>
      <c r="C53" s="351">
        <v>1146.6922074336803</v>
      </c>
      <c r="D53" s="352">
        <v>14.823693685843487</v>
      </c>
      <c r="E53" s="374">
        <v>201.95303350658043</v>
      </c>
      <c r="F53" s="374">
        <v>191.74419812580169</v>
      </c>
      <c r="G53" s="380">
        <v>-5.0550542388590021</v>
      </c>
    </row>
    <row r="54" spans="1:7" ht="8.25" customHeight="1">
      <c r="A54" s="353" t="s">
        <v>416</v>
      </c>
      <c r="B54" s="372">
        <v>824.74990647804429</v>
      </c>
      <c r="C54" s="372">
        <v>984.07150036100427</v>
      </c>
      <c r="D54" s="377">
        <v>19.317564346665538</v>
      </c>
      <c r="E54" s="375">
        <v>170.42805578893442</v>
      </c>
      <c r="F54" s="375">
        <v>164.21449229535568</v>
      </c>
      <c r="G54" s="379">
        <v>-3.6458571711185161</v>
      </c>
    </row>
    <row r="55" spans="1:7" ht="12" customHeight="1">
      <c r="A55" s="382" t="s">
        <v>417</v>
      </c>
      <c r="B55" s="373">
        <v>173.90478805827598</v>
      </c>
      <c r="C55" s="373">
        <v>162.62070707267605</v>
      </c>
      <c r="D55" s="378">
        <v>-6.4886545744896935</v>
      </c>
      <c r="E55" s="376">
        <v>31.524977717646006</v>
      </c>
      <c r="F55" s="376">
        <v>27.529705830446002</v>
      </c>
      <c r="G55" s="381">
        <v>-12.673353564223655</v>
      </c>
    </row>
    <row r="56" spans="1:7" ht="9" customHeight="1">
      <c r="A56" s="347" t="s">
        <v>91</v>
      </c>
      <c r="B56" s="347"/>
      <c r="C56" s="347"/>
      <c r="D56" s="347"/>
      <c r="E56" s="271"/>
      <c r="F56" s="271"/>
      <c r="G56" s="362"/>
    </row>
    <row r="57" spans="1:7" ht="9" customHeight="1">
      <c r="A57" s="363" t="s">
        <v>418</v>
      </c>
      <c r="B57" s="363"/>
      <c r="C57" s="363"/>
      <c r="D57" s="363"/>
      <c r="E57" s="364"/>
      <c r="F57" s="364"/>
      <c r="G57" s="365"/>
    </row>
    <row r="58" spans="1:7" ht="9" customHeight="1">
      <c r="A58" s="501" t="s">
        <v>477</v>
      </c>
      <c r="B58" s="501"/>
      <c r="C58" s="501"/>
      <c r="D58" s="501"/>
      <c r="E58" s="501"/>
      <c r="F58" s="501"/>
      <c r="G58" s="501"/>
    </row>
    <row r="59" spans="1:7" ht="9" customHeight="1"/>
  </sheetData>
  <mergeCells count="6">
    <mergeCell ref="A58:G58"/>
    <mergeCell ref="A5:A6"/>
    <mergeCell ref="B5:D5"/>
    <mergeCell ref="A2:G2"/>
    <mergeCell ref="A3:G3"/>
    <mergeCell ref="E5:G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zoomScaleNormal="100" workbookViewId="0">
      <selection activeCell="L44" sqref="L44:L45"/>
    </sheetView>
  </sheetViews>
  <sheetFormatPr baseColWidth="10" defaultColWidth="11.42578125" defaultRowHeight="17.25" customHeight="1"/>
  <cols>
    <col min="1" max="1" width="6.28515625" style="104" customWidth="1"/>
    <col min="2" max="2" width="64.42578125" style="104" customWidth="1"/>
    <col min="3" max="3" width="6.28515625" style="104" customWidth="1"/>
    <col min="4" max="4" width="2" style="104" customWidth="1"/>
    <col min="5" max="5" width="40.85546875" style="104" customWidth="1"/>
    <col min="6" max="16384" width="11.42578125" style="104"/>
  </cols>
  <sheetData>
    <row r="1" spans="1:5" ht="16.5" customHeight="1">
      <c r="A1" s="214" t="s">
        <v>77</v>
      </c>
      <c r="B1" s="182"/>
      <c r="C1" s="183"/>
      <c r="D1" s="183"/>
      <c r="E1" s="103"/>
    </row>
    <row r="2" spans="1:5" ht="17.25" customHeight="1">
      <c r="A2" s="102"/>
      <c r="B2" s="102"/>
      <c r="C2" s="103"/>
      <c r="D2" s="103"/>
      <c r="E2" s="103"/>
    </row>
    <row r="3" spans="1:5" ht="17.25" customHeight="1">
      <c r="A3" s="70"/>
      <c r="B3" s="70"/>
      <c r="C3" s="71"/>
      <c r="D3" s="103"/>
      <c r="E3" s="103"/>
    </row>
    <row r="4" spans="1:5" ht="17.25" customHeight="1">
      <c r="A4" s="103"/>
      <c r="B4" s="103"/>
      <c r="C4" s="103"/>
      <c r="D4" s="103"/>
      <c r="E4" s="103"/>
    </row>
    <row r="5" spans="1:5" ht="17.25" customHeight="1">
      <c r="A5" s="103"/>
      <c r="B5" s="103"/>
      <c r="C5" s="103"/>
      <c r="D5" s="103"/>
      <c r="E5" s="103"/>
    </row>
    <row r="6" spans="1:5" ht="17.25" customHeight="1">
      <c r="A6" s="28" t="s">
        <v>235</v>
      </c>
      <c r="B6" s="213" t="s">
        <v>236</v>
      </c>
      <c r="C6" s="212"/>
      <c r="D6" s="103"/>
      <c r="E6" s="103"/>
    </row>
    <row r="7" spans="1:5" ht="17.25" customHeight="1">
      <c r="A7" s="72"/>
      <c r="B7" s="211"/>
      <c r="C7" s="211"/>
      <c r="D7" s="103"/>
      <c r="E7" s="103"/>
    </row>
    <row r="8" spans="1:5" ht="20.25" customHeight="1">
      <c r="A8" s="73" t="s">
        <v>237</v>
      </c>
      <c r="B8" s="29" t="s">
        <v>460</v>
      </c>
      <c r="C8" s="74"/>
      <c r="D8" s="103"/>
      <c r="E8" s="103"/>
    </row>
    <row r="9" spans="1:5" ht="22.5" customHeight="1">
      <c r="A9" s="73" t="s">
        <v>275</v>
      </c>
      <c r="B9" s="29" t="s">
        <v>461</v>
      </c>
      <c r="C9" s="74"/>
      <c r="D9" s="103"/>
      <c r="E9" s="103"/>
    </row>
    <row r="10" spans="1:5" ht="22.5" customHeight="1">
      <c r="A10" s="73" t="s">
        <v>276</v>
      </c>
      <c r="B10" s="30" t="s">
        <v>479</v>
      </c>
      <c r="C10" s="74"/>
      <c r="D10" s="103"/>
      <c r="E10" s="103"/>
    </row>
    <row r="11" spans="1:5" ht="28.5" customHeight="1">
      <c r="A11" s="73" t="s">
        <v>99</v>
      </c>
      <c r="B11" s="29" t="s">
        <v>462</v>
      </c>
      <c r="C11" s="74"/>
      <c r="D11" s="103"/>
      <c r="E11" s="103"/>
    </row>
    <row r="12" spans="1:5" ht="19.5" customHeight="1">
      <c r="A12" s="73" t="s">
        <v>39</v>
      </c>
      <c r="B12" s="29" t="s">
        <v>356</v>
      </c>
      <c r="C12" s="74"/>
      <c r="D12" s="103"/>
      <c r="E12" s="103"/>
    </row>
    <row r="13" spans="1:5" ht="27.75" customHeight="1">
      <c r="A13" s="73" t="s">
        <v>40</v>
      </c>
      <c r="B13" s="29" t="s">
        <v>357</v>
      </c>
      <c r="C13" s="74"/>
      <c r="D13" s="103"/>
      <c r="E13" s="103"/>
    </row>
    <row r="14" spans="1:5" ht="17.25" customHeight="1">
      <c r="A14" s="73" t="s">
        <v>122</v>
      </c>
      <c r="B14" s="29" t="s">
        <v>463</v>
      </c>
      <c r="C14" s="74"/>
      <c r="D14" s="103"/>
      <c r="E14" s="103"/>
    </row>
    <row r="15" spans="1:5" ht="17.25" customHeight="1">
      <c r="A15" s="73" t="s">
        <v>123</v>
      </c>
      <c r="B15" s="29" t="s">
        <v>464</v>
      </c>
      <c r="C15" s="74"/>
      <c r="D15" s="103"/>
      <c r="E15" s="103"/>
    </row>
    <row r="16" spans="1:5" ht="17.25" customHeight="1">
      <c r="A16" s="73" t="s">
        <v>124</v>
      </c>
      <c r="B16" s="29" t="s">
        <v>465</v>
      </c>
      <c r="C16" s="74"/>
      <c r="D16" s="103"/>
      <c r="E16" s="103"/>
    </row>
    <row r="17" spans="1:5" ht="17.25" customHeight="1">
      <c r="A17" s="73" t="s">
        <v>125</v>
      </c>
      <c r="B17" s="29" t="s">
        <v>466</v>
      </c>
      <c r="C17" s="74"/>
      <c r="D17" s="103"/>
      <c r="E17" s="103"/>
    </row>
    <row r="18" spans="1:5" ht="17.25" customHeight="1">
      <c r="A18" s="73" t="s">
        <v>41</v>
      </c>
      <c r="B18" s="220" t="s">
        <v>467</v>
      </c>
      <c r="C18" s="74"/>
      <c r="D18" s="103"/>
      <c r="E18" s="103"/>
    </row>
    <row r="19" spans="1:5" ht="17.25" customHeight="1">
      <c r="A19" s="103"/>
      <c r="B19" s="27"/>
      <c r="C19" s="103"/>
      <c r="D19" s="103"/>
      <c r="E19" s="103"/>
    </row>
    <row r="20" spans="1:5" ht="17.25" customHeight="1">
      <c r="A20" s="103"/>
      <c r="B20" s="230"/>
      <c r="C20" s="103"/>
      <c r="D20" s="103"/>
      <c r="E20" s="103"/>
    </row>
    <row r="21" spans="1:5" ht="17.25" customHeight="1">
      <c r="A21" s="103"/>
      <c r="B21" s="103"/>
      <c r="C21" s="103"/>
      <c r="D21" s="103"/>
      <c r="E21" s="103"/>
    </row>
    <row r="22" spans="1:5" ht="17.25" customHeight="1">
      <c r="A22" s="103"/>
      <c r="B22" s="103"/>
      <c r="C22" s="103"/>
      <c r="D22" s="103"/>
      <c r="E22" s="103"/>
    </row>
    <row r="23" spans="1:5" ht="17.25" customHeight="1">
      <c r="A23" s="103"/>
      <c r="B23" s="103"/>
      <c r="C23" s="103"/>
      <c r="D23" s="103"/>
      <c r="E23" s="103"/>
    </row>
    <row r="24" spans="1:5" ht="17.25" customHeight="1">
      <c r="A24" s="103"/>
      <c r="B24" s="103"/>
      <c r="C24" s="103"/>
      <c r="D24" s="103"/>
      <c r="E24" s="103"/>
    </row>
    <row r="25" spans="1:5" ht="17.25" customHeight="1">
      <c r="A25" s="103"/>
      <c r="B25" s="103"/>
      <c r="C25" s="103"/>
      <c r="D25" s="103"/>
      <c r="E25" s="103"/>
    </row>
    <row r="26" spans="1:5" ht="17.25" customHeight="1">
      <c r="A26" s="103"/>
      <c r="B26" s="103"/>
      <c r="C26" s="103"/>
      <c r="D26" s="103"/>
      <c r="E26" s="103"/>
    </row>
    <row r="27" spans="1:5" ht="17.25" customHeight="1">
      <c r="A27" s="103"/>
      <c r="B27" s="103"/>
      <c r="C27" s="103"/>
      <c r="D27" s="103"/>
      <c r="E27" s="103"/>
    </row>
    <row r="28" spans="1:5" ht="17.25" customHeight="1">
      <c r="A28" s="103"/>
      <c r="B28" s="103"/>
      <c r="C28" s="103"/>
      <c r="D28" s="103"/>
      <c r="E28" s="103"/>
    </row>
    <row r="29" spans="1:5" ht="17.25" customHeight="1">
      <c r="A29" s="103"/>
      <c r="B29" s="103"/>
      <c r="C29" s="103"/>
      <c r="D29" s="103"/>
      <c r="E29" s="103"/>
    </row>
    <row r="30" spans="1:5" ht="17.25" customHeight="1">
      <c r="A30" s="103"/>
      <c r="B30" s="103"/>
      <c r="C30" s="103"/>
      <c r="D30" s="103"/>
      <c r="E30" s="103"/>
    </row>
    <row r="31" spans="1:5" ht="17.25" customHeight="1">
      <c r="A31" s="103"/>
      <c r="B31" s="103"/>
      <c r="C31" s="103"/>
      <c r="D31" s="103"/>
      <c r="E31" s="103"/>
    </row>
    <row r="32" spans="1:5" ht="17.25" customHeight="1">
      <c r="A32" s="103"/>
      <c r="B32" s="103"/>
      <c r="C32" s="103"/>
      <c r="D32" s="103"/>
      <c r="E32" s="103"/>
    </row>
    <row r="33" spans="1:5" ht="17.25" customHeight="1">
      <c r="A33" s="103"/>
      <c r="B33" s="103"/>
      <c r="C33" s="103"/>
      <c r="D33" s="103"/>
      <c r="E33" s="103"/>
    </row>
    <row r="34" spans="1:5" ht="17.25" customHeight="1">
      <c r="A34" s="103"/>
      <c r="B34" s="103"/>
      <c r="C34" s="103"/>
      <c r="D34" s="103"/>
      <c r="E34" s="103"/>
    </row>
    <row r="35" spans="1:5" ht="17.25" customHeight="1">
      <c r="A35" s="103"/>
      <c r="B35" s="103"/>
      <c r="C35" s="103"/>
      <c r="D35" s="103"/>
      <c r="E35" s="103"/>
    </row>
    <row r="36" spans="1:5" ht="17.25" customHeight="1">
      <c r="A36" s="103"/>
      <c r="B36" s="103"/>
      <c r="C36" s="103"/>
      <c r="D36" s="103"/>
      <c r="E36" s="103"/>
    </row>
    <row r="37" spans="1:5" ht="17.25" customHeight="1">
      <c r="A37" s="103"/>
      <c r="B37" s="103"/>
      <c r="C37" s="103"/>
      <c r="D37" s="103"/>
      <c r="E37" s="103"/>
    </row>
    <row r="38" spans="1:5" ht="17.25" customHeight="1">
      <c r="A38" s="103"/>
      <c r="B38" s="103"/>
      <c r="C38" s="103"/>
      <c r="D38" s="103"/>
      <c r="E38" s="103"/>
    </row>
    <row r="39" spans="1:5" ht="17.25" customHeight="1">
      <c r="A39" s="103"/>
      <c r="B39" s="103"/>
      <c r="C39" s="103"/>
      <c r="D39" s="103"/>
      <c r="E39" s="103"/>
    </row>
    <row r="40" spans="1:5" ht="17.25" customHeight="1">
      <c r="A40" s="103"/>
      <c r="B40" s="103"/>
      <c r="C40" s="103"/>
      <c r="D40" s="103"/>
      <c r="E40" s="103"/>
    </row>
    <row r="41" spans="1:5" ht="17.25" customHeight="1">
      <c r="A41" s="103"/>
      <c r="B41" s="103"/>
      <c r="C41" s="103"/>
      <c r="D41" s="103"/>
      <c r="E41" s="103"/>
    </row>
    <row r="42" spans="1:5" ht="17.25" customHeight="1">
      <c r="A42" s="103"/>
      <c r="B42" s="103"/>
      <c r="C42" s="103"/>
      <c r="D42" s="103"/>
      <c r="E42" s="103"/>
    </row>
    <row r="43" spans="1:5" ht="17.25" customHeight="1">
      <c r="A43" s="103"/>
      <c r="B43" s="103"/>
      <c r="C43" s="103"/>
      <c r="D43" s="103"/>
      <c r="E43" s="103"/>
    </row>
    <row r="44" spans="1:5" ht="17.25" customHeight="1">
      <c r="A44" s="103"/>
      <c r="B44" s="103"/>
      <c r="C44" s="103"/>
      <c r="D44" s="103"/>
      <c r="E44" s="103"/>
    </row>
    <row r="45" spans="1:5" ht="17.25" customHeight="1">
      <c r="A45" s="103"/>
      <c r="B45" s="103"/>
      <c r="C45" s="103"/>
      <c r="D45" s="103"/>
      <c r="E45" s="103"/>
    </row>
    <row r="46" spans="1:5" ht="17.25" customHeight="1">
      <c r="A46" s="103"/>
      <c r="B46" s="103"/>
      <c r="C46" s="103"/>
      <c r="D46" s="103"/>
      <c r="E46" s="103"/>
    </row>
    <row r="47" spans="1:5" ht="17.25" customHeight="1">
      <c r="A47" s="103"/>
      <c r="B47" s="103"/>
      <c r="C47" s="103"/>
      <c r="D47" s="103"/>
      <c r="E47" s="103"/>
    </row>
    <row r="48" spans="1:5" ht="17.25" customHeight="1">
      <c r="A48" s="103"/>
      <c r="B48" s="103"/>
      <c r="C48" s="103"/>
      <c r="D48" s="103"/>
      <c r="E48" s="103"/>
    </row>
    <row r="49" spans="1:5" ht="17.25" customHeight="1">
      <c r="A49" s="103"/>
      <c r="B49" s="103"/>
      <c r="C49" s="103"/>
      <c r="D49" s="103"/>
      <c r="E49" s="103"/>
    </row>
    <row r="50" spans="1:5" ht="17.25" customHeight="1">
      <c r="A50" s="103"/>
      <c r="B50" s="103"/>
      <c r="C50" s="103"/>
      <c r="D50" s="103"/>
      <c r="E50" s="103"/>
    </row>
    <row r="51" spans="1:5" ht="17.25" customHeight="1">
      <c r="A51" s="103"/>
      <c r="B51" s="103"/>
      <c r="C51" s="103"/>
      <c r="D51" s="103"/>
      <c r="E51" s="103"/>
    </row>
    <row r="52" spans="1:5" ht="17.25" customHeight="1">
      <c r="A52" s="103"/>
      <c r="B52" s="103"/>
      <c r="C52" s="103"/>
      <c r="D52" s="103"/>
      <c r="E52" s="103"/>
    </row>
    <row r="53" spans="1:5" ht="17.25" customHeight="1">
      <c r="A53" s="103"/>
      <c r="B53" s="103"/>
      <c r="C53" s="103"/>
      <c r="D53" s="103"/>
      <c r="E53" s="103"/>
    </row>
    <row r="54" spans="1:5" ht="17.25" customHeight="1">
      <c r="A54" s="103"/>
      <c r="B54" s="103"/>
      <c r="C54" s="103"/>
      <c r="D54" s="103"/>
      <c r="E54" s="103"/>
    </row>
    <row r="55" spans="1:5" ht="17.25" customHeight="1">
      <c r="A55" s="103"/>
      <c r="B55" s="103"/>
      <c r="C55" s="103"/>
      <c r="D55" s="103"/>
      <c r="E55" s="103"/>
    </row>
    <row r="56" spans="1:5" ht="17.25" customHeight="1">
      <c r="A56" s="103"/>
      <c r="B56" s="103"/>
      <c r="C56" s="103"/>
      <c r="D56" s="103"/>
      <c r="E56" s="103"/>
    </row>
    <row r="57" spans="1:5" ht="17.25" customHeight="1">
      <c r="A57" s="103"/>
      <c r="B57" s="103"/>
      <c r="C57" s="103"/>
      <c r="D57" s="103"/>
      <c r="E57" s="103"/>
    </row>
    <row r="58" spans="1:5" ht="17.25" customHeight="1">
      <c r="A58" s="103"/>
      <c r="B58" s="103"/>
      <c r="C58" s="103"/>
      <c r="D58" s="103"/>
      <c r="E58" s="103"/>
    </row>
    <row r="59" spans="1:5" ht="17.25" customHeight="1">
      <c r="A59" s="103"/>
      <c r="B59" s="103"/>
      <c r="C59" s="103"/>
      <c r="D59" s="103"/>
      <c r="E59" s="103"/>
    </row>
    <row r="60" spans="1:5" ht="17.25" customHeight="1">
      <c r="A60" s="103"/>
      <c r="B60" s="103"/>
      <c r="C60" s="103"/>
      <c r="D60" s="103"/>
      <c r="E60" s="103"/>
    </row>
    <row r="61" spans="1:5" ht="17.25" customHeight="1">
      <c r="A61" s="103"/>
      <c r="B61" s="103"/>
      <c r="C61" s="103"/>
      <c r="D61" s="103"/>
      <c r="E61" s="103"/>
    </row>
    <row r="62" spans="1:5" ht="17.25" customHeight="1">
      <c r="A62" s="103"/>
      <c r="B62" s="103"/>
      <c r="C62" s="103"/>
      <c r="D62" s="103"/>
      <c r="E62" s="103"/>
    </row>
    <row r="63" spans="1:5" ht="17.25" customHeight="1">
      <c r="A63" s="103"/>
      <c r="B63" s="103"/>
      <c r="C63" s="103"/>
      <c r="D63" s="103"/>
      <c r="E63" s="103"/>
    </row>
    <row r="64" spans="1:5" ht="17.25" customHeight="1">
      <c r="A64" s="103"/>
      <c r="B64" s="103"/>
      <c r="C64" s="103"/>
      <c r="D64" s="103"/>
      <c r="E64" s="103"/>
    </row>
    <row r="65" spans="1:5" ht="17.25" customHeight="1">
      <c r="A65" s="103"/>
      <c r="B65" s="103"/>
      <c r="C65" s="103"/>
      <c r="D65" s="103"/>
      <c r="E65" s="103"/>
    </row>
    <row r="66" spans="1:5" ht="17.25" customHeight="1">
      <c r="A66" s="103"/>
      <c r="B66" s="103"/>
      <c r="C66" s="103"/>
      <c r="D66" s="103"/>
      <c r="E66" s="103"/>
    </row>
    <row r="67" spans="1:5" ht="17.25" customHeight="1">
      <c r="A67" s="103"/>
      <c r="B67" s="103"/>
      <c r="C67" s="103"/>
      <c r="D67" s="103"/>
      <c r="E67" s="103"/>
    </row>
    <row r="68" spans="1:5" ht="17.25" customHeight="1">
      <c r="A68" s="103"/>
      <c r="B68" s="103"/>
      <c r="C68" s="103"/>
      <c r="D68" s="103"/>
      <c r="E68" s="103"/>
    </row>
    <row r="69" spans="1:5" ht="17.25" customHeight="1">
      <c r="A69" s="103"/>
      <c r="B69" s="103"/>
      <c r="C69" s="103"/>
      <c r="D69" s="103"/>
      <c r="E69" s="103"/>
    </row>
    <row r="70" spans="1:5" ht="17.25" customHeight="1">
      <c r="A70" s="103"/>
      <c r="B70" s="103"/>
      <c r="C70" s="103"/>
      <c r="D70" s="103"/>
      <c r="E70" s="103"/>
    </row>
    <row r="71" spans="1:5" ht="17.25" customHeight="1">
      <c r="A71" s="103"/>
      <c r="B71" s="103"/>
      <c r="C71" s="103"/>
      <c r="D71" s="103"/>
      <c r="E71" s="103"/>
    </row>
    <row r="72" spans="1:5" ht="17.25" customHeight="1">
      <c r="A72" s="103"/>
      <c r="B72" s="103"/>
      <c r="C72" s="103"/>
      <c r="D72" s="103"/>
      <c r="E72" s="103"/>
    </row>
    <row r="73" spans="1:5" ht="17.25" customHeight="1">
      <c r="A73" s="103"/>
      <c r="B73" s="103"/>
      <c r="C73" s="103"/>
      <c r="D73" s="103"/>
      <c r="E73" s="103"/>
    </row>
    <row r="74" spans="1:5" ht="17.25" customHeight="1">
      <c r="A74" s="103"/>
      <c r="B74" s="103"/>
      <c r="C74" s="103"/>
      <c r="D74" s="103"/>
      <c r="E74" s="103"/>
    </row>
    <row r="75" spans="1:5" ht="17.25" customHeight="1">
      <c r="A75" s="103"/>
      <c r="B75" s="103"/>
      <c r="C75" s="103"/>
      <c r="D75" s="103"/>
      <c r="E75" s="103"/>
    </row>
    <row r="76" spans="1:5" ht="17.25" customHeight="1">
      <c r="A76" s="103"/>
      <c r="B76" s="103"/>
      <c r="C76" s="103"/>
      <c r="D76" s="103"/>
      <c r="E76" s="103"/>
    </row>
    <row r="77" spans="1:5" ht="17.25" customHeight="1">
      <c r="A77" s="103"/>
      <c r="B77" s="103"/>
      <c r="C77" s="103"/>
      <c r="D77" s="103"/>
      <c r="E77" s="103"/>
    </row>
    <row r="78" spans="1:5" ht="17.25" customHeight="1">
      <c r="A78" s="103"/>
      <c r="B78" s="103"/>
      <c r="C78" s="103"/>
      <c r="D78" s="103"/>
      <c r="E78" s="103"/>
    </row>
    <row r="79" spans="1:5" ht="17.25" customHeight="1">
      <c r="A79" s="103"/>
      <c r="B79" s="103"/>
      <c r="C79" s="103"/>
      <c r="D79" s="103"/>
      <c r="E79" s="103"/>
    </row>
    <row r="80" spans="1:5" ht="17.25" customHeight="1">
      <c r="A80" s="103"/>
      <c r="B80" s="103"/>
      <c r="C80" s="103"/>
      <c r="D80" s="103"/>
      <c r="E80" s="103"/>
    </row>
    <row r="81" spans="1:5" ht="17.25" customHeight="1">
      <c r="A81" s="103"/>
      <c r="B81" s="103"/>
      <c r="C81" s="103"/>
      <c r="D81" s="103"/>
      <c r="E81" s="103"/>
    </row>
    <row r="82" spans="1:5" ht="17.25" customHeight="1">
      <c r="A82" s="103"/>
      <c r="B82" s="103"/>
      <c r="C82" s="103"/>
      <c r="D82" s="103"/>
      <c r="E82" s="103"/>
    </row>
    <row r="83" spans="1:5" ht="17.25" customHeight="1">
      <c r="A83" s="103"/>
      <c r="B83" s="103"/>
      <c r="C83" s="103"/>
      <c r="D83" s="103"/>
      <c r="E83" s="103"/>
    </row>
    <row r="84" spans="1:5" ht="17.25" customHeight="1">
      <c r="A84" s="103"/>
      <c r="B84" s="103"/>
      <c r="C84" s="103"/>
      <c r="D84" s="103"/>
      <c r="E84" s="103"/>
    </row>
    <row r="85" spans="1:5" ht="17.25" customHeight="1">
      <c r="A85" s="103"/>
      <c r="B85" s="103"/>
      <c r="C85" s="103"/>
      <c r="D85" s="103"/>
      <c r="E85" s="103"/>
    </row>
    <row r="86" spans="1:5" ht="17.25" customHeight="1">
      <c r="A86" s="103"/>
      <c r="B86" s="103"/>
      <c r="C86" s="103"/>
      <c r="D86" s="103"/>
      <c r="E86" s="103"/>
    </row>
    <row r="87" spans="1:5" ht="17.25" customHeight="1">
      <c r="A87" s="103"/>
      <c r="B87" s="103"/>
      <c r="C87" s="103"/>
      <c r="D87" s="103"/>
      <c r="E87" s="103"/>
    </row>
    <row r="88" spans="1:5" ht="17.25" customHeight="1">
      <c r="A88" s="103"/>
      <c r="B88" s="103"/>
      <c r="C88" s="103"/>
      <c r="D88" s="103"/>
      <c r="E88" s="103"/>
    </row>
    <row r="89" spans="1:5" ht="17.25" customHeight="1">
      <c r="A89" s="103"/>
      <c r="B89" s="103"/>
      <c r="C89" s="103"/>
      <c r="D89" s="103"/>
      <c r="E89" s="103"/>
    </row>
    <row r="90" spans="1:5" ht="17.25" customHeight="1">
      <c r="A90" s="103"/>
      <c r="B90" s="103"/>
      <c r="C90" s="103"/>
      <c r="D90" s="103"/>
      <c r="E90" s="103"/>
    </row>
    <row r="91" spans="1:5" ht="17.25" customHeight="1">
      <c r="A91" s="103"/>
      <c r="B91" s="103"/>
      <c r="C91" s="103"/>
      <c r="D91" s="103"/>
      <c r="E91" s="103"/>
    </row>
    <row r="92" spans="1:5" ht="17.25" customHeight="1">
      <c r="A92" s="103"/>
      <c r="B92" s="103"/>
      <c r="C92" s="103"/>
      <c r="D92" s="103"/>
      <c r="E92" s="103"/>
    </row>
    <row r="93" spans="1:5" ht="17.25" customHeight="1">
      <c r="A93" s="103"/>
      <c r="B93" s="103"/>
      <c r="C93" s="103"/>
      <c r="D93" s="103"/>
      <c r="E93" s="103"/>
    </row>
    <row r="94" spans="1:5" ht="17.25" customHeight="1">
      <c r="A94" s="103"/>
      <c r="B94" s="103"/>
      <c r="C94" s="103"/>
      <c r="D94" s="103"/>
      <c r="E94" s="103"/>
    </row>
    <row r="95" spans="1:5" ht="17.25" customHeight="1">
      <c r="A95" s="103"/>
      <c r="B95" s="103"/>
      <c r="C95" s="103"/>
      <c r="D95" s="103"/>
      <c r="E95" s="103"/>
    </row>
    <row r="96" spans="1:5" ht="17.25" customHeight="1">
      <c r="A96" s="103"/>
      <c r="B96" s="103"/>
      <c r="C96" s="103"/>
      <c r="D96" s="103"/>
      <c r="E96" s="103"/>
    </row>
    <row r="97" spans="1:5" ht="17.25" customHeight="1">
      <c r="A97" s="103"/>
      <c r="B97" s="103"/>
      <c r="C97" s="103"/>
      <c r="D97" s="103"/>
      <c r="E97" s="103"/>
    </row>
    <row r="98" spans="1:5" ht="17.25" customHeight="1">
      <c r="A98" s="103"/>
      <c r="B98" s="103"/>
      <c r="C98" s="103"/>
      <c r="D98" s="103"/>
      <c r="E98" s="103"/>
    </row>
    <row r="99" spans="1:5" ht="17.25" customHeight="1">
      <c r="A99" s="103"/>
      <c r="B99" s="103"/>
      <c r="C99" s="103"/>
      <c r="D99" s="103"/>
      <c r="E99" s="103"/>
    </row>
    <row r="100" spans="1:5" ht="17.25" customHeight="1">
      <c r="A100" s="103"/>
      <c r="B100" s="103"/>
      <c r="C100" s="103"/>
      <c r="D100" s="103"/>
      <c r="E100" s="103"/>
    </row>
    <row r="101" spans="1:5" ht="17.25" customHeight="1">
      <c r="A101" s="103"/>
      <c r="B101" s="103"/>
      <c r="C101" s="103"/>
      <c r="D101" s="103"/>
      <c r="E101" s="103"/>
    </row>
    <row r="102" spans="1:5" ht="17.25" customHeight="1">
      <c r="A102" s="103"/>
      <c r="B102" s="103"/>
      <c r="C102" s="103"/>
      <c r="D102" s="103"/>
      <c r="E102" s="103"/>
    </row>
    <row r="103" spans="1:5" ht="17.25" customHeight="1">
      <c r="A103" s="103"/>
      <c r="B103" s="103"/>
      <c r="C103" s="103"/>
      <c r="D103" s="103"/>
      <c r="E103" s="103"/>
    </row>
    <row r="104" spans="1:5" ht="17.25" customHeight="1">
      <c r="A104" s="103"/>
      <c r="B104" s="103"/>
      <c r="C104" s="103"/>
      <c r="D104" s="103"/>
      <c r="E104" s="103"/>
    </row>
    <row r="105" spans="1:5" ht="17.25" customHeight="1">
      <c r="A105" s="103"/>
      <c r="B105" s="103"/>
      <c r="C105" s="103"/>
      <c r="D105" s="103"/>
      <c r="E105" s="103"/>
    </row>
    <row r="106" spans="1:5" ht="17.25" customHeight="1">
      <c r="A106" s="103"/>
      <c r="B106" s="103"/>
      <c r="C106" s="103"/>
      <c r="D106" s="103"/>
      <c r="E106" s="103"/>
    </row>
    <row r="107" spans="1:5" ht="17.25" customHeight="1">
      <c r="A107" s="103"/>
      <c r="B107" s="103"/>
      <c r="C107" s="103"/>
      <c r="D107" s="103"/>
      <c r="E107" s="103"/>
    </row>
    <row r="108" spans="1:5" ht="17.25" customHeight="1">
      <c r="A108" s="103"/>
      <c r="B108" s="103"/>
      <c r="C108" s="103"/>
      <c r="D108" s="103"/>
      <c r="E108" s="103"/>
    </row>
    <row r="109" spans="1:5" ht="17.25" customHeight="1">
      <c r="A109" s="103"/>
      <c r="B109" s="103"/>
      <c r="C109" s="103"/>
      <c r="D109" s="103"/>
      <c r="E109" s="103"/>
    </row>
    <row r="110" spans="1:5" ht="17.25" customHeight="1">
      <c r="A110" s="103"/>
      <c r="B110" s="103"/>
      <c r="C110" s="103"/>
      <c r="D110" s="103"/>
      <c r="E110" s="103"/>
    </row>
    <row r="111" spans="1:5" ht="17.25" customHeight="1">
      <c r="A111" s="103"/>
      <c r="B111" s="103"/>
      <c r="C111" s="103"/>
      <c r="D111" s="103"/>
      <c r="E111" s="103"/>
    </row>
    <row r="112" spans="1:5" ht="17.25" customHeight="1">
      <c r="A112" s="103"/>
      <c r="B112" s="103"/>
      <c r="C112" s="103"/>
      <c r="D112" s="103"/>
      <c r="E112" s="103"/>
    </row>
    <row r="113" spans="1:5" ht="17.25" customHeight="1">
      <c r="A113" s="103"/>
      <c r="B113" s="103"/>
      <c r="C113" s="103"/>
      <c r="D113" s="103"/>
      <c r="E113" s="103"/>
    </row>
    <row r="114" spans="1:5" ht="17.25" customHeight="1">
      <c r="A114" s="103"/>
      <c r="B114" s="103"/>
      <c r="C114" s="103"/>
      <c r="D114" s="103"/>
      <c r="E114" s="103"/>
    </row>
    <row r="115" spans="1:5" ht="17.25" customHeight="1">
      <c r="A115" s="103"/>
      <c r="B115" s="103"/>
      <c r="C115" s="103"/>
      <c r="D115" s="103"/>
      <c r="E115" s="103"/>
    </row>
    <row r="116" spans="1:5" ht="17.25" customHeight="1">
      <c r="A116" s="103"/>
      <c r="B116" s="103"/>
      <c r="C116" s="103"/>
      <c r="D116" s="103"/>
      <c r="E116" s="103"/>
    </row>
    <row r="117" spans="1:5" ht="17.25" customHeight="1">
      <c r="A117" s="103"/>
      <c r="B117" s="103"/>
      <c r="C117" s="103"/>
      <c r="D117" s="103"/>
      <c r="E117" s="103"/>
    </row>
    <row r="118" spans="1:5" ht="17.25" customHeight="1">
      <c r="A118" s="103"/>
      <c r="B118" s="103"/>
      <c r="C118" s="103"/>
      <c r="D118" s="103"/>
      <c r="E118" s="103"/>
    </row>
    <row r="119" spans="1:5" ht="17.25" customHeight="1">
      <c r="A119" s="103"/>
      <c r="B119" s="103"/>
      <c r="C119" s="103"/>
      <c r="D119" s="103"/>
      <c r="E119" s="103"/>
    </row>
    <row r="120" spans="1:5" ht="17.25" customHeight="1">
      <c r="A120" s="103"/>
      <c r="B120" s="103"/>
      <c r="C120" s="103"/>
      <c r="D120" s="103"/>
      <c r="E120" s="103"/>
    </row>
    <row r="121" spans="1:5" ht="17.25" customHeight="1">
      <c r="A121" s="103"/>
      <c r="B121" s="103"/>
      <c r="C121" s="103"/>
      <c r="D121" s="103"/>
      <c r="E121" s="103"/>
    </row>
    <row r="122" spans="1:5" ht="17.25" customHeight="1">
      <c r="A122" s="103"/>
      <c r="B122" s="103"/>
      <c r="C122" s="103"/>
      <c r="D122" s="103"/>
      <c r="E122" s="103"/>
    </row>
    <row r="123" spans="1:5" ht="17.25" customHeight="1">
      <c r="A123" s="103"/>
      <c r="B123" s="103"/>
      <c r="C123" s="103"/>
      <c r="D123" s="103"/>
      <c r="E123" s="103"/>
    </row>
    <row r="124" spans="1:5" ht="17.25" customHeight="1">
      <c r="A124" s="103"/>
      <c r="B124" s="103"/>
      <c r="C124" s="103"/>
      <c r="D124" s="103"/>
      <c r="E124" s="103"/>
    </row>
    <row r="125" spans="1:5" ht="17.25" customHeight="1">
      <c r="A125" s="103"/>
      <c r="B125" s="103"/>
      <c r="C125" s="103"/>
      <c r="D125" s="103"/>
      <c r="E125" s="103"/>
    </row>
    <row r="126" spans="1:5" ht="17.25" customHeight="1">
      <c r="A126" s="103"/>
      <c r="B126" s="103"/>
      <c r="C126" s="103"/>
      <c r="D126" s="103"/>
      <c r="E126" s="103"/>
    </row>
    <row r="127" spans="1:5" ht="17.25" customHeight="1">
      <c r="A127" s="103"/>
      <c r="B127" s="103"/>
      <c r="C127" s="103"/>
      <c r="D127" s="103"/>
      <c r="E127" s="103"/>
    </row>
    <row r="128" spans="1:5" ht="17.25" customHeight="1">
      <c r="A128" s="103"/>
      <c r="B128" s="103"/>
      <c r="C128" s="103"/>
      <c r="D128" s="103"/>
      <c r="E128" s="103"/>
    </row>
    <row r="129" spans="1:5" ht="17.25" customHeight="1">
      <c r="A129" s="103"/>
      <c r="B129" s="103"/>
      <c r="C129" s="103"/>
      <c r="D129" s="103"/>
      <c r="E129" s="103"/>
    </row>
    <row r="130" spans="1:5" ht="17.25" customHeight="1">
      <c r="A130" s="103"/>
      <c r="B130" s="103"/>
      <c r="C130" s="103"/>
      <c r="D130" s="103"/>
      <c r="E130" s="103"/>
    </row>
    <row r="131" spans="1:5" ht="17.25" customHeight="1">
      <c r="A131" s="103"/>
      <c r="B131" s="103"/>
      <c r="C131" s="103"/>
      <c r="D131" s="103"/>
      <c r="E131" s="103"/>
    </row>
    <row r="132" spans="1:5" ht="17.25" customHeight="1">
      <c r="A132" s="103"/>
      <c r="B132" s="103"/>
      <c r="C132" s="103"/>
      <c r="D132" s="103"/>
      <c r="E132" s="103"/>
    </row>
    <row r="133" spans="1:5" ht="17.25" customHeight="1">
      <c r="A133" s="103"/>
      <c r="B133" s="103"/>
      <c r="C133" s="103"/>
      <c r="D133" s="103"/>
      <c r="E133" s="103"/>
    </row>
    <row r="134" spans="1:5" ht="17.25" customHeight="1">
      <c r="A134" s="103"/>
      <c r="B134" s="103"/>
      <c r="C134" s="103"/>
      <c r="D134" s="103"/>
      <c r="E134" s="103"/>
    </row>
    <row r="135" spans="1:5" ht="17.25" customHeight="1">
      <c r="A135" s="103"/>
      <c r="B135" s="103"/>
      <c r="C135" s="103"/>
      <c r="D135" s="103"/>
      <c r="E135" s="103"/>
    </row>
    <row r="136" spans="1:5" ht="17.25" customHeight="1">
      <c r="A136" s="103"/>
      <c r="B136" s="103"/>
      <c r="C136" s="103"/>
      <c r="D136" s="103"/>
      <c r="E136" s="103"/>
    </row>
    <row r="137" spans="1:5" ht="17.25" customHeight="1">
      <c r="A137" s="103"/>
      <c r="B137" s="103"/>
      <c r="C137" s="103"/>
      <c r="D137" s="103"/>
      <c r="E137" s="103"/>
    </row>
    <row r="138" spans="1:5" ht="17.25" customHeight="1">
      <c r="A138" s="103"/>
      <c r="B138" s="103"/>
      <c r="C138" s="103"/>
      <c r="D138" s="103"/>
      <c r="E138" s="103"/>
    </row>
    <row r="139" spans="1:5" ht="17.25" customHeight="1">
      <c r="A139" s="103"/>
      <c r="B139" s="103"/>
      <c r="C139" s="103"/>
      <c r="D139" s="103"/>
      <c r="E139" s="103"/>
    </row>
    <row r="140" spans="1:5" ht="17.25" customHeight="1">
      <c r="A140" s="103"/>
      <c r="B140" s="103"/>
      <c r="C140" s="103"/>
      <c r="D140" s="103"/>
      <c r="E140" s="103"/>
    </row>
    <row r="141" spans="1:5" ht="17.25" customHeight="1">
      <c r="A141" s="103"/>
      <c r="B141" s="103"/>
      <c r="C141" s="103"/>
      <c r="D141" s="103"/>
      <c r="E141" s="103"/>
    </row>
    <row r="142" spans="1:5" ht="17.25" customHeight="1">
      <c r="A142" s="103"/>
      <c r="B142" s="103"/>
      <c r="C142" s="103"/>
      <c r="D142" s="103"/>
      <c r="E142" s="103"/>
    </row>
    <row r="143" spans="1:5" ht="17.25" customHeight="1">
      <c r="A143" s="103"/>
      <c r="B143" s="103"/>
      <c r="C143" s="103"/>
      <c r="D143" s="103"/>
      <c r="E143" s="103"/>
    </row>
    <row r="144" spans="1:5" ht="17.25" customHeight="1">
      <c r="A144" s="103"/>
      <c r="B144" s="103"/>
      <c r="C144" s="103"/>
      <c r="D144" s="103"/>
      <c r="E144" s="103"/>
    </row>
    <row r="145" spans="1:5" ht="17.25" customHeight="1">
      <c r="A145" s="103"/>
      <c r="B145" s="103"/>
      <c r="C145" s="103"/>
      <c r="D145" s="103"/>
      <c r="E145" s="103"/>
    </row>
    <row r="146" spans="1:5" ht="17.25" customHeight="1">
      <c r="A146" s="103"/>
      <c r="B146" s="103"/>
      <c r="C146" s="103"/>
      <c r="D146" s="103"/>
      <c r="E146" s="103"/>
    </row>
    <row r="147" spans="1:5" ht="17.25" customHeight="1">
      <c r="A147" s="103"/>
      <c r="B147" s="103"/>
      <c r="C147" s="103"/>
      <c r="D147" s="103"/>
      <c r="E147" s="103"/>
    </row>
    <row r="148" spans="1:5" ht="17.25" customHeight="1">
      <c r="A148" s="103"/>
      <c r="B148" s="103"/>
      <c r="C148" s="103"/>
      <c r="D148" s="103"/>
      <c r="E148" s="103"/>
    </row>
    <row r="149" spans="1:5" ht="17.25" customHeight="1">
      <c r="A149" s="103"/>
      <c r="B149" s="103"/>
      <c r="C149" s="103"/>
      <c r="D149" s="103"/>
      <c r="E149" s="103"/>
    </row>
    <row r="150" spans="1:5" ht="17.25" customHeight="1">
      <c r="A150" s="103"/>
      <c r="B150" s="103"/>
      <c r="C150" s="103"/>
      <c r="D150" s="103"/>
      <c r="E150" s="103"/>
    </row>
    <row r="151" spans="1:5" ht="17.25" customHeight="1">
      <c r="A151" s="103"/>
      <c r="B151" s="103"/>
      <c r="C151" s="103"/>
      <c r="D151" s="103"/>
      <c r="E151" s="103"/>
    </row>
    <row r="152" spans="1:5" ht="17.25" customHeight="1">
      <c r="A152" s="103"/>
      <c r="B152" s="103"/>
      <c r="C152" s="103"/>
      <c r="D152" s="103"/>
      <c r="E152" s="103"/>
    </row>
    <row r="153" spans="1:5" ht="17.25" customHeight="1">
      <c r="A153" s="103"/>
      <c r="B153" s="103"/>
      <c r="C153" s="103"/>
      <c r="D153" s="103"/>
      <c r="E153" s="103"/>
    </row>
    <row r="154" spans="1:5" ht="17.25" customHeight="1">
      <c r="A154" s="103"/>
      <c r="B154" s="103"/>
      <c r="C154" s="103"/>
      <c r="D154" s="103"/>
      <c r="E154" s="103"/>
    </row>
    <row r="155" spans="1:5" ht="17.25" customHeight="1">
      <c r="A155" s="103"/>
      <c r="B155" s="103"/>
      <c r="C155" s="103"/>
      <c r="D155" s="103"/>
      <c r="E155" s="103"/>
    </row>
    <row r="156" spans="1:5" ht="17.25" customHeight="1">
      <c r="A156" s="103"/>
      <c r="B156" s="103"/>
      <c r="C156" s="103"/>
      <c r="D156" s="103"/>
      <c r="E156" s="103"/>
    </row>
    <row r="157" spans="1:5" ht="17.25" customHeight="1">
      <c r="A157" s="103"/>
      <c r="B157" s="103"/>
      <c r="C157" s="103"/>
      <c r="D157" s="103"/>
      <c r="E157" s="103"/>
    </row>
    <row r="158" spans="1:5" ht="17.25" customHeight="1">
      <c r="A158" s="103"/>
      <c r="B158" s="103"/>
      <c r="C158" s="103"/>
      <c r="D158" s="103"/>
      <c r="E158" s="103"/>
    </row>
    <row r="159" spans="1:5" ht="17.25" customHeight="1">
      <c r="A159" s="103"/>
      <c r="B159" s="103"/>
      <c r="C159" s="103"/>
      <c r="D159" s="103"/>
      <c r="E159" s="103"/>
    </row>
    <row r="160" spans="1:5" ht="17.25" customHeight="1">
      <c r="A160" s="103"/>
      <c r="B160" s="103"/>
      <c r="C160" s="103"/>
      <c r="D160" s="103"/>
      <c r="E160" s="103"/>
    </row>
    <row r="161" spans="1:5" ht="17.25" customHeight="1">
      <c r="A161" s="103"/>
      <c r="B161" s="103"/>
      <c r="C161" s="103"/>
      <c r="D161" s="103"/>
      <c r="E161" s="103"/>
    </row>
    <row r="162" spans="1:5" ht="17.25" customHeight="1">
      <c r="A162" s="103"/>
      <c r="B162" s="103"/>
      <c r="C162" s="103"/>
      <c r="D162" s="103"/>
      <c r="E162" s="103"/>
    </row>
    <row r="163" spans="1:5" ht="17.25" customHeight="1">
      <c r="A163" s="103"/>
      <c r="B163" s="103"/>
      <c r="C163" s="103"/>
      <c r="D163" s="103"/>
      <c r="E163" s="103"/>
    </row>
    <row r="164" spans="1:5" ht="17.25" customHeight="1">
      <c r="A164" s="103"/>
      <c r="B164" s="103"/>
      <c r="C164" s="103"/>
      <c r="D164" s="103"/>
      <c r="E164" s="103"/>
    </row>
    <row r="165" spans="1:5" ht="17.25" customHeight="1">
      <c r="A165" s="103"/>
      <c r="B165" s="103"/>
      <c r="C165" s="103"/>
      <c r="D165" s="103"/>
      <c r="E165" s="103"/>
    </row>
    <row r="166" spans="1:5" ht="17.25" customHeight="1">
      <c r="A166" s="103"/>
      <c r="B166" s="103"/>
      <c r="C166" s="103"/>
      <c r="D166" s="103"/>
      <c r="E166" s="103"/>
    </row>
    <row r="167" spans="1:5" ht="17.25" customHeight="1">
      <c r="A167" s="103"/>
      <c r="B167" s="103"/>
      <c r="C167" s="103"/>
      <c r="D167" s="103"/>
      <c r="E167" s="103"/>
    </row>
    <row r="168" spans="1:5" ht="17.25" customHeight="1">
      <c r="A168" s="103"/>
      <c r="B168" s="103"/>
      <c r="C168" s="103"/>
      <c r="D168" s="103"/>
      <c r="E168" s="103"/>
    </row>
    <row r="169" spans="1:5" ht="17.25" customHeight="1">
      <c r="A169" s="103"/>
      <c r="B169" s="103"/>
      <c r="C169" s="103"/>
      <c r="D169" s="103"/>
      <c r="E169" s="103"/>
    </row>
    <row r="170" spans="1:5" ht="17.25" customHeight="1">
      <c r="A170" s="103"/>
      <c r="B170" s="103"/>
      <c r="C170" s="103"/>
      <c r="D170" s="103"/>
      <c r="E170" s="103"/>
    </row>
    <row r="171" spans="1:5" ht="17.25" customHeight="1">
      <c r="A171" s="103"/>
      <c r="B171" s="103"/>
      <c r="C171" s="103"/>
      <c r="D171" s="103"/>
      <c r="E171" s="103"/>
    </row>
    <row r="172" spans="1:5" ht="17.25" customHeight="1">
      <c r="A172" s="103"/>
      <c r="B172" s="103"/>
      <c r="C172" s="103"/>
      <c r="D172" s="103"/>
      <c r="E172" s="103"/>
    </row>
    <row r="173" spans="1:5" ht="17.25" customHeight="1">
      <c r="A173" s="103"/>
      <c r="B173" s="103"/>
      <c r="C173" s="103"/>
      <c r="D173" s="103"/>
      <c r="E173" s="103"/>
    </row>
    <row r="174" spans="1:5" ht="17.25" customHeight="1">
      <c r="A174" s="103"/>
      <c r="B174" s="103"/>
      <c r="C174" s="103"/>
      <c r="D174" s="103"/>
      <c r="E174" s="103"/>
    </row>
    <row r="175" spans="1:5" ht="17.25" customHeight="1">
      <c r="A175" s="103"/>
      <c r="B175" s="103"/>
      <c r="C175" s="103"/>
      <c r="D175" s="103"/>
      <c r="E175" s="103"/>
    </row>
    <row r="176" spans="1:5" ht="17.25" customHeight="1">
      <c r="A176" s="103"/>
      <c r="B176" s="103"/>
      <c r="C176" s="103"/>
      <c r="D176" s="103"/>
      <c r="E176" s="103"/>
    </row>
    <row r="177" spans="1:5" ht="17.25" customHeight="1">
      <c r="A177" s="103"/>
      <c r="B177" s="103"/>
      <c r="C177" s="103"/>
      <c r="D177" s="103"/>
      <c r="E177" s="103"/>
    </row>
    <row r="178" spans="1:5" ht="17.25" customHeight="1">
      <c r="A178" s="103"/>
      <c r="B178" s="103"/>
      <c r="C178" s="103"/>
      <c r="D178" s="103"/>
      <c r="E178" s="103"/>
    </row>
    <row r="179" spans="1:5" ht="17.25" customHeight="1">
      <c r="A179" s="103"/>
      <c r="B179" s="103"/>
      <c r="C179" s="103"/>
      <c r="D179" s="103"/>
      <c r="E179" s="103"/>
    </row>
    <row r="180" spans="1:5" ht="17.25" customHeight="1">
      <c r="A180" s="103"/>
      <c r="B180" s="103"/>
      <c r="C180" s="103"/>
      <c r="D180" s="103"/>
      <c r="E180" s="103"/>
    </row>
    <row r="181" spans="1:5" ht="17.25" customHeight="1">
      <c r="A181" s="103"/>
      <c r="B181" s="103"/>
      <c r="C181" s="103"/>
      <c r="D181" s="103"/>
      <c r="E181" s="103"/>
    </row>
    <row r="182" spans="1:5" ht="17.25" customHeight="1">
      <c r="A182" s="103"/>
      <c r="B182" s="103"/>
      <c r="C182" s="103"/>
      <c r="D182" s="103"/>
      <c r="E182" s="103"/>
    </row>
    <row r="183" spans="1:5" ht="17.25" customHeight="1">
      <c r="A183" s="103"/>
      <c r="B183" s="103"/>
      <c r="C183" s="103"/>
      <c r="D183" s="103"/>
      <c r="E183" s="103"/>
    </row>
    <row r="184" spans="1:5" ht="17.25" customHeight="1">
      <c r="A184" s="103"/>
      <c r="B184" s="103"/>
      <c r="C184" s="103"/>
      <c r="D184" s="103"/>
      <c r="E184" s="103"/>
    </row>
    <row r="185" spans="1:5" ht="17.25" customHeight="1">
      <c r="A185" s="103"/>
      <c r="B185" s="103"/>
      <c r="C185" s="103"/>
      <c r="D185" s="103"/>
      <c r="E185" s="103"/>
    </row>
    <row r="186" spans="1:5" ht="17.25" customHeight="1">
      <c r="A186" s="103"/>
      <c r="B186" s="103"/>
      <c r="C186" s="103"/>
      <c r="D186" s="103"/>
      <c r="E186" s="103"/>
    </row>
    <row r="187" spans="1:5" ht="17.25" customHeight="1">
      <c r="A187" s="103"/>
      <c r="B187" s="103"/>
      <c r="C187" s="103"/>
      <c r="D187" s="103"/>
      <c r="E187" s="103"/>
    </row>
    <row r="188" spans="1:5" ht="17.25" customHeight="1">
      <c r="A188" s="103"/>
      <c r="B188" s="103"/>
      <c r="C188" s="103"/>
      <c r="D188" s="103"/>
      <c r="E188" s="103"/>
    </row>
    <row r="189" spans="1:5" ht="17.25" customHeight="1">
      <c r="A189" s="103"/>
      <c r="B189" s="103"/>
      <c r="C189" s="103"/>
      <c r="D189" s="103"/>
      <c r="E189" s="103"/>
    </row>
    <row r="190" spans="1:5" ht="17.25" customHeight="1">
      <c r="A190" s="103"/>
      <c r="B190" s="103"/>
      <c r="C190" s="103"/>
      <c r="D190" s="103"/>
      <c r="E190" s="103"/>
    </row>
    <row r="191" spans="1:5" ht="17.25" customHeight="1">
      <c r="A191" s="103"/>
      <c r="B191" s="103"/>
      <c r="C191" s="103"/>
      <c r="D191" s="103"/>
      <c r="E191" s="103"/>
    </row>
    <row r="192" spans="1:5" ht="17.25" customHeight="1">
      <c r="A192" s="103"/>
      <c r="B192" s="103"/>
      <c r="C192" s="103"/>
      <c r="D192" s="103"/>
      <c r="E192" s="103"/>
    </row>
    <row r="193" spans="1:5" ht="17.25" customHeight="1">
      <c r="A193" s="103"/>
      <c r="B193" s="103"/>
      <c r="C193" s="103"/>
      <c r="D193" s="103"/>
      <c r="E193" s="103"/>
    </row>
    <row r="194" spans="1:5" ht="17.25" customHeight="1">
      <c r="A194" s="103"/>
      <c r="B194" s="103"/>
      <c r="C194" s="103"/>
      <c r="D194" s="103"/>
      <c r="E194" s="103"/>
    </row>
    <row r="195" spans="1:5" ht="17.25" customHeight="1">
      <c r="A195" s="103"/>
      <c r="B195" s="103"/>
      <c r="C195" s="103"/>
      <c r="D195" s="103"/>
      <c r="E195" s="103"/>
    </row>
    <row r="196" spans="1:5" ht="17.25" customHeight="1">
      <c r="A196" s="103"/>
      <c r="B196" s="103"/>
      <c r="C196" s="103"/>
      <c r="D196" s="103"/>
      <c r="E196" s="103"/>
    </row>
    <row r="197" spans="1:5" ht="17.25" customHeight="1">
      <c r="A197" s="103"/>
      <c r="B197" s="103"/>
      <c r="C197" s="103"/>
      <c r="D197" s="103"/>
      <c r="E197" s="103"/>
    </row>
    <row r="198" spans="1:5" ht="17.25" customHeight="1">
      <c r="A198" s="103"/>
      <c r="B198" s="103"/>
      <c r="C198" s="103"/>
      <c r="D198" s="103"/>
      <c r="E198" s="103"/>
    </row>
    <row r="199" spans="1:5" ht="17.25" customHeight="1">
      <c r="A199" s="103"/>
      <c r="B199" s="103"/>
      <c r="C199" s="103"/>
      <c r="D199" s="103"/>
      <c r="E199" s="103"/>
    </row>
    <row r="200" spans="1:5" ht="17.25" customHeight="1">
      <c r="A200" s="103"/>
      <c r="B200" s="103"/>
      <c r="C200" s="103"/>
      <c r="D200" s="103"/>
      <c r="E200" s="103"/>
    </row>
    <row r="201" spans="1:5" ht="17.25" customHeight="1">
      <c r="A201" s="103"/>
      <c r="B201" s="103"/>
      <c r="C201" s="103"/>
      <c r="D201" s="103"/>
      <c r="E201" s="103"/>
    </row>
    <row r="202" spans="1:5" ht="17.25" customHeight="1">
      <c r="A202" s="103"/>
      <c r="B202" s="103"/>
      <c r="C202" s="103"/>
      <c r="D202" s="103"/>
      <c r="E202" s="103"/>
    </row>
    <row r="203" spans="1:5" ht="17.25" customHeight="1">
      <c r="A203" s="103"/>
      <c r="B203" s="103"/>
      <c r="C203" s="103"/>
      <c r="D203" s="103"/>
      <c r="E203" s="103"/>
    </row>
    <row r="204" spans="1:5" ht="17.25" customHeight="1">
      <c r="A204" s="103"/>
      <c r="B204" s="103"/>
      <c r="C204" s="103"/>
      <c r="D204" s="103"/>
      <c r="E204" s="103"/>
    </row>
    <row r="205" spans="1:5" ht="17.25" customHeight="1">
      <c r="A205" s="103"/>
      <c r="B205" s="103"/>
      <c r="C205" s="103"/>
      <c r="D205" s="103"/>
      <c r="E205" s="103"/>
    </row>
    <row r="206" spans="1:5" ht="17.25" customHeight="1">
      <c r="A206" s="103"/>
      <c r="B206" s="103"/>
      <c r="C206" s="103"/>
      <c r="D206" s="103"/>
      <c r="E206" s="103"/>
    </row>
    <row r="207" spans="1:5" ht="17.25" customHeight="1">
      <c r="A207" s="103"/>
      <c r="B207" s="103"/>
      <c r="C207" s="103"/>
      <c r="D207" s="103"/>
      <c r="E207" s="103"/>
    </row>
    <row r="208" spans="1:5" ht="17.25" customHeight="1">
      <c r="A208" s="103"/>
      <c r="B208" s="103"/>
      <c r="C208" s="103"/>
      <c r="D208" s="103"/>
      <c r="E208" s="103"/>
    </row>
    <row r="209" spans="1:5" ht="17.25" customHeight="1">
      <c r="A209" s="103"/>
      <c r="B209" s="103"/>
      <c r="C209" s="103"/>
      <c r="D209" s="103"/>
      <c r="E209" s="103"/>
    </row>
    <row r="210" spans="1:5" ht="17.25" customHeight="1">
      <c r="A210" s="103"/>
      <c r="B210" s="103"/>
      <c r="C210" s="103"/>
      <c r="D210" s="103"/>
      <c r="E210" s="103"/>
    </row>
    <row r="211" spans="1:5" ht="17.25" customHeight="1">
      <c r="A211" s="103"/>
      <c r="B211" s="103"/>
      <c r="C211" s="103"/>
      <c r="D211" s="103"/>
      <c r="E211" s="103"/>
    </row>
    <row r="212" spans="1:5" ht="17.25" customHeight="1">
      <c r="A212" s="103"/>
      <c r="B212" s="103"/>
      <c r="C212" s="103"/>
      <c r="D212" s="103"/>
      <c r="E212" s="103"/>
    </row>
    <row r="213" spans="1:5" ht="17.25" customHeight="1">
      <c r="A213" s="103"/>
      <c r="B213" s="103"/>
      <c r="C213" s="103"/>
      <c r="D213" s="103"/>
      <c r="E213" s="103"/>
    </row>
    <row r="214" spans="1:5" ht="17.25" customHeight="1">
      <c r="A214" s="103"/>
      <c r="B214" s="103"/>
      <c r="C214" s="103"/>
      <c r="D214" s="103"/>
      <c r="E214" s="103"/>
    </row>
    <row r="215" spans="1:5" ht="17.25" customHeight="1">
      <c r="A215" s="103"/>
      <c r="B215" s="103"/>
      <c r="C215" s="103"/>
      <c r="D215" s="103"/>
      <c r="E215" s="103"/>
    </row>
    <row r="216" spans="1:5" ht="17.25" customHeight="1">
      <c r="A216" s="103"/>
      <c r="B216" s="103"/>
      <c r="C216" s="103"/>
      <c r="D216" s="103"/>
      <c r="E216" s="103"/>
    </row>
    <row r="217" spans="1:5" ht="17.25" customHeight="1">
      <c r="A217" s="103"/>
      <c r="B217" s="103"/>
      <c r="C217" s="103"/>
      <c r="D217" s="103"/>
      <c r="E217" s="103"/>
    </row>
    <row r="218" spans="1:5" ht="17.25" customHeight="1">
      <c r="A218" s="103"/>
      <c r="B218" s="103"/>
      <c r="C218" s="103"/>
      <c r="D218" s="103"/>
      <c r="E218" s="103"/>
    </row>
    <row r="219" spans="1:5" ht="17.25" customHeight="1">
      <c r="A219" s="103"/>
      <c r="B219" s="103"/>
      <c r="C219" s="103"/>
      <c r="D219" s="103"/>
      <c r="E219" s="103"/>
    </row>
    <row r="220" spans="1:5" ht="17.25" customHeight="1">
      <c r="A220" s="103"/>
      <c r="B220" s="103"/>
      <c r="C220" s="103"/>
      <c r="D220" s="103"/>
      <c r="E220" s="103"/>
    </row>
    <row r="221" spans="1:5" ht="17.25" customHeight="1">
      <c r="A221" s="103"/>
      <c r="B221" s="103"/>
      <c r="C221" s="103"/>
      <c r="D221" s="103"/>
      <c r="E221" s="103"/>
    </row>
    <row r="222" spans="1:5" ht="17.25" customHeight="1">
      <c r="A222" s="103"/>
      <c r="B222" s="103"/>
      <c r="C222" s="103"/>
      <c r="D222" s="103"/>
      <c r="E222" s="103"/>
    </row>
    <row r="223" spans="1:5" ht="17.25" customHeight="1">
      <c r="A223" s="103"/>
      <c r="B223" s="103"/>
      <c r="C223" s="103"/>
      <c r="D223" s="103"/>
      <c r="E223" s="103"/>
    </row>
    <row r="224" spans="1:5" ht="17.25" customHeight="1">
      <c r="A224" s="103"/>
      <c r="B224" s="103"/>
      <c r="C224" s="103"/>
      <c r="D224" s="103"/>
      <c r="E224" s="103"/>
    </row>
    <row r="225" spans="1:5" ht="17.25" customHeight="1">
      <c r="A225" s="103"/>
      <c r="B225" s="103"/>
      <c r="C225" s="103"/>
      <c r="D225" s="103"/>
      <c r="E225" s="103"/>
    </row>
    <row r="226" spans="1:5" ht="17.25" customHeight="1">
      <c r="A226" s="103"/>
      <c r="B226" s="103"/>
      <c r="C226" s="103"/>
      <c r="D226" s="103"/>
      <c r="E226" s="103"/>
    </row>
    <row r="227" spans="1:5" ht="17.25" customHeight="1">
      <c r="A227" s="103"/>
      <c r="B227" s="103"/>
      <c r="C227" s="103"/>
      <c r="D227" s="103"/>
      <c r="E227" s="103"/>
    </row>
    <row r="228" spans="1:5" ht="17.25" customHeight="1">
      <c r="A228" s="103"/>
      <c r="B228" s="103"/>
      <c r="C228" s="103"/>
      <c r="D228" s="103"/>
      <c r="E228" s="103"/>
    </row>
    <row r="229" spans="1:5" ht="17.25" customHeight="1">
      <c r="A229" s="103"/>
      <c r="B229" s="103"/>
      <c r="C229" s="103"/>
      <c r="D229" s="103"/>
      <c r="E229" s="103"/>
    </row>
    <row r="230" spans="1:5" ht="17.25" customHeight="1">
      <c r="A230" s="103"/>
      <c r="B230" s="103"/>
      <c r="C230" s="103"/>
      <c r="D230" s="103"/>
      <c r="E230" s="103"/>
    </row>
    <row r="231" spans="1:5" ht="17.25" customHeight="1">
      <c r="A231" s="103"/>
      <c r="B231" s="103"/>
      <c r="C231" s="103"/>
      <c r="D231" s="103"/>
      <c r="E231" s="103"/>
    </row>
    <row r="232" spans="1:5" ht="17.25" customHeight="1">
      <c r="A232" s="103"/>
      <c r="B232" s="103"/>
      <c r="C232" s="103"/>
      <c r="D232" s="103"/>
      <c r="E232" s="103"/>
    </row>
    <row r="233" spans="1:5" ht="17.25" customHeight="1">
      <c r="A233" s="103"/>
      <c r="B233" s="103"/>
      <c r="C233" s="103"/>
      <c r="D233" s="103"/>
      <c r="E233" s="103"/>
    </row>
    <row r="234" spans="1:5" ht="17.25" customHeight="1">
      <c r="A234" s="103"/>
      <c r="B234" s="103"/>
      <c r="C234" s="103"/>
      <c r="D234" s="103"/>
      <c r="E234" s="103"/>
    </row>
    <row r="235" spans="1:5" ht="17.25" customHeight="1">
      <c r="A235" s="103"/>
      <c r="B235" s="103"/>
      <c r="C235" s="103"/>
      <c r="D235" s="103"/>
      <c r="E235" s="103"/>
    </row>
    <row r="236" spans="1:5" ht="17.25" customHeight="1">
      <c r="A236" s="103"/>
      <c r="B236" s="103"/>
      <c r="C236" s="103"/>
      <c r="D236" s="103"/>
      <c r="E236" s="103"/>
    </row>
    <row r="237" spans="1:5" ht="17.25" customHeight="1">
      <c r="A237" s="103"/>
      <c r="B237" s="103"/>
      <c r="C237" s="103"/>
      <c r="D237" s="103"/>
      <c r="E237" s="103"/>
    </row>
    <row r="238" spans="1:5" ht="17.25" customHeight="1">
      <c r="A238" s="103"/>
      <c r="B238" s="103"/>
      <c r="C238" s="103"/>
      <c r="D238" s="103"/>
      <c r="E238" s="103"/>
    </row>
    <row r="239" spans="1:5" ht="17.25" customHeight="1">
      <c r="A239" s="103"/>
      <c r="B239" s="103"/>
      <c r="C239" s="103"/>
      <c r="D239" s="103"/>
      <c r="E239" s="103"/>
    </row>
    <row r="240" spans="1:5" ht="17.25" customHeight="1">
      <c r="A240" s="103"/>
      <c r="B240" s="103"/>
      <c r="C240" s="103"/>
      <c r="D240" s="103"/>
      <c r="E240" s="103"/>
    </row>
    <row r="241" spans="1:5" ht="17.25" customHeight="1">
      <c r="A241" s="103"/>
      <c r="B241" s="103"/>
      <c r="C241" s="103"/>
      <c r="D241" s="103"/>
      <c r="E241" s="103"/>
    </row>
    <row r="242" spans="1:5" ht="17.25" customHeight="1">
      <c r="A242" s="103"/>
      <c r="B242" s="103"/>
      <c r="C242" s="103"/>
      <c r="D242" s="103"/>
      <c r="E242" s="103"/>
    </row>
    <row r="243" spans="1:5" ht="17.25" customHeight="1">
      <c r="A243" s="103"/>
      <c r="B243" s="103"/>
      <c r="C243" s="103"/>
      <c r="D243" s="103"/>
      <c r="E243" s="103"/>
    </row>
    <row r="244" spans="1:5" ht="17.25" customHeight="1">
      <c r="A244" s="103"/>
      <c r="B244" s="103"/>
      <c r="C244" s="103"/>
      <c r="D244" s="103"/>
      <c r="E244" s="103"/>
    </row>
    <row r="245" spans="1:5" ht="17.25" customHeight="1">
      <c r="A245" s="103"/>
      <c r="B245" s="103"/>
      <c r="C245" s="103"/>
      <c r="D245" s="103"/>
      <c r="E245" s="103"/>
    </row>
    <row r="246" spans="1:5" ht="17.25" customHeight="1">
      <c r="A246" s="103"/>
      <c r="B246" s="103"/>
      <c r="C246" s="103"/>
      <c r="D246" s="103"/>
      <c r="E246" s="103"/>
    </row>
    <row r="247" spans="1:5" ht="17.25" customHeight="1">
      <c r="A247" s="103"/>
      <c r="B247" s="103"/>
      <c r="C247" s="103"/>
      <c r="D247" s="103"/>
      <c r="E247" s="103"/>
    </row>
    <row r="248" spans="1:5" ht="17.25" customHeight="1">
      <c r="A248" s="103"/>
      <c r="B248" s="103"/>
      <c r="C248" s="103"/>
      <c r="D248" s="103"/>
      <c r="E248" s="103"/>
    </row>
    <row r="249" spans="1:5" ht="17.25" customHeight="1">
      <c r="A249" s="103"/>
      <c r="B249" s="103"/>
      <c r="C249" s="103"/>
      <c r="D249" s="103"/>
      <c r="E249" s="103"/>
    </row>
    <row r="250" spans="1:5" ht="17.25" customHeight="1">
      <c r="A250" s="103"/>
      <c r="B250" s="103"/>
      <c r="C250" s="103"/>
      <c r="D250" s="103"/>
      <c r="E250" s="103"/>
    </row>
    <row r="251" spans="1:5" ht="17.25" customHeight="1">
      <c r="A251" s="103"/>
      <c r="B251" s="103"/>
      <c r="C251" s="103"/>
      <c r="D251" s="103"/>
      <c r="E251" s="103"/>
    </row>
    <row r="252" spans="1:5" ht="17.25" customHeight="1">
      <c r="A252" s="103"/>
      <c r="B252" s="103"/>
      <c r="C252" s="103"/>
      <c r="D252" s="103"/>
      <c r="E252" s="103"/>
    </row>
    <row r="253" spans="1:5" ht="17.25" customHeight="1">
      <c r="A253" s="103"/>
      <c r="B253" s="103"/>
      <c r="C253" s="103"/>
      <c r="D253" s="103"/>
      <c r="E253" s="103"/>
    </row>
    <row r="254" spans="1:5" ht="17.25" customHeight="1">
      <c r="A254" s="103"/>
      <c r="B254" s="103"/>
      <c r="C254" s="103"/>
      <c r="D254" s="103"/>
      <c r="E254" s="103"/>
    </row>
    <row r="255" spans="1:5" ht="17.25" customHeight="1">
      <c r="A255" s="103"/>
      <c r="B255" s="103"/>
      <c r="C255" s="103"/>
      <c r="D255" s="103"/>
      <c r="E255" s="103"/>
    </row>
    <row r="256" spans="1:5" ht="17.25" customHeight="1">
      <c r="A256" s="103"/>
      <c r="B256" s="103"/>
      <c r="C256" s="103"/>
      <c r="D256" s="103"/>
      <c r="E256" s="103"/>
    </row>
    <row r="257" spans="1:5" ht="17.25" customHeight="1">
      <c r="A257" s="103"/>
      <c r="B257" s="103"/>
      <c r="C257" s="103"/>
      <c r="D257" s="103"/>
      <c r="E257" s="103"/>
    </row>
    <row r="258" spans="1:5" ht="17.25" customHeight="1">
      <c r="A258" s="103"/>
      <c r="B258" s="103"/>
      <c r="C258" s="103"/>
      <c r="D258" s="103"/>
      <c r="E258" s="103"/>
    </row>
    <row r="259" spans="1:5" ht="17.25" customHeight="1">
      <c r="A259" s="103"/>
      <c r="B259" s="103"/>
      <c r="C259" s="103"/>
      <c r="D259" s="103"/>
      <c r="E259" s="103"/>
    </row>
    <row r="260" spans="1:5" ht="17.25" customHeight="1">
      <c r="A260" s="103"/>
      <c r="B260" s="103"/>
      <c r="C260" s="103"/>
      <c r="D260" s="103"/>
      <c r="E260" s="103"/>
    </row>
    <row r="261" spans="1:5" ht="17.25" customHeight="1">
      <c r="A261" s="103"/>
      <c r="B261" s="103"/>
      <c r="C261" s="103"/>
      <c r="D261" s="103"/>
      <c r="E261" s="103"/>
    </row>
    <row r="262" spans="1:5" ht="17.25" customHeight="1">
      <c r="A262" s="103"/>
      <c r="B262" s="103"/>
      <c r="C262" s="103"/>
      <c r="D262" s="103"/>
      <c r="E262" s="103"/>
    </row>
    <row r="263" spans="1:5" ht="17.25" customHeight="1">
      <c r="A263" s="103"/>
      <c r="B263" s="103"/>
      <c r="C263" s="103"/>
      <c r="D263" s="103"/>
      <c r="E263" s="103"/>
    </row>
    <row r="264" spans="1:5" ht="17.25" customHeight="1">
      <c r="A264" s="103"/>
      <c r="B264" s="103"/>
      <c r="C264" s="103"/>
      <c r="D264" s="103"/>
      <c r="E264" s="103"/>
    </row>
    <row r="265" spans="1:5" ht="17.25" customHeight="1">
      <c r="A265" s="103"/>
      <c r="B265" s="103"/>
      <c r="C265" s="103"/>
      <c r="D265" s="103"/>
      <c r="E265" s="103"/>
    </row>
    <row r="266" spans="1:5" ht="17.25" customHeight="1">
      <c r="A266" s="103"/>
      <c r="B266" s="103"/>
      <c r="C266" s="103"/>
      <c r="D266" s="103"/>
      <c r="E266" s="103"/>
    </row>
    <row r="267" spans="1:5" ht="17.25" customHeight="1">
      <c r="A267" s="103"/>
      <c r="B267" s="103"/>
      <c r="C267" s="103"/>
      <c r="D267" s="103"/>
      <c r="E267" s="103"/>
    </row>
    <row r="268" spans="1:5" ht="17.25" customHeight="1">
      <c r="A268" s="103"/>
      <c r="B268" s="103"/>
      <c r="C268" s="103"/>
      <c r="D268" s="103"/>
      <c r="E268" s="103"/>
    </row>
    <row r="269" spans="1:5" ht="17.25" customHeight="1">
      <c r="A269" s="103"/>
      <c r="B269" s="103"/>
      <c r="C269" s="103"/>
      <c r="D269" s="103"/>
      <c r="E269" s="103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K259"/>
  <sheetViews>
    <sheetView showGridLines="0" zoomScaleNormal="100" workbookViewId="0">
      <selection activeCell="O29" sqref="O29"/>
    </sheetView>
  </sheetViews>
  <sheetFormatPr baseColWidth="10" defaultColWidth="10.85546875" defaultRowHeight="17.25" customHeight="1"/>
  <cols>
    <col min="1" max="1" width="12.140625" style="162" customWidth="1"/>
    <col min="2" max="9" width="8.28515625" style="162" customWidth="1"/>
    <col min="10" max="11" width="10.85546875" style="162" customWidth="1"/>
    <col min="12" max="16384" width="10.85546875" style="162"/>
  </cols>
  <sheetData>
    <row r="1" spans="1:9" ht="16.5" customHeight="1">
      <c r="A1" s="510" t="s">
        <v>419</v>
      </c>
      <c r="B1" s="510"/>
      <c r="C1" s="510"/>
      <c r="D1" s="510"/>
      <c r="E1" s="510"/>
      <c r="F1" s="510"/>
      <c r="G1" s="510"/>
      <c r="H1" s="510"/>
      <c r="I1" s="510"/>
    </row>
    <row r="2" spans="1:9" s="22" customFormat="1" ht="11.25" customHeight="1">
      <c r="A2" s="23" t="s">
        <v>489</v>
      </c>
      <c r="B2" s="230"/>
      <c r="C2" s="230"/>
      <c r="D2" s="230"/>
      <c r="E2" s="230"/>
      <c r="F2" s="230"/>
      <c r="G2" s="230"/>
      <c r="H2" s="230"/>
    </row>
    <row r="3" spans="1:9" ht="11.25" customHeight="1">
      <c r="A3" s="17" t="s">
        <v>55</v>
      </c>
      <c r="B3" s="19"/>
      <c r="C3" s="19"/>
      <c r="D3" s="19"/>
      <c r="E3" s="19"/>
      <c r="F3" s="19"/>
      <c r="G3" s="19"/>
      <c r="H3" s="19"/>
    </row>
    <row r="4" spans="1:9" ht="5.25" customHeight="1">
      <c r="A4" s="22"/>
      <c r="B4" s="22"/>
      <c r="C4" s="22"/>
      <c r="D4" s="22"/>
      <c r="E4" s="22"/>
      <c r="F4" s="22"/>
      <c r="G4" s="22"/>
      <c r="H4" s="22"/>
    </row>
    <row r="5" spans="1:9" ht="16.5" customHeight="1">
      <c r="A5" s="298" t="s">
        <v>260</v>
      </c>
      <c r="B5" s="298" t="s">
        <v>295</v>
      </c>
      <c r="C5" s="298" t="s">
        <v>227</v>
      </c>
      <c r="D5" s="298" t="s">
        <v>228</v>
      </c>
      <c r="E5" s="298" t="s">
        <v>195</v>
      </c>
      <c r="F5" s="298" t="s">
        <v>196</v>
      </c>
      <c r="G5" s="298" t="s">
        <v>143</v>
      </c>
      <c r="H5" s="298" t="s">
        <v>337</v>
      </c>
      <c r="I5" s="298" t="s">
        <v>349</v>
      </c>
    </row>
    <row r="6" spans="1:9" ht="16.5" customHeight="1">
      <c r="A6" s="289" t="s">
        <v>153</v>
      </c>
      <c r="B6" s="299">
        <v>2170072.4620000003</v>
      </c>
      <c r="C6" s="299">
        <v>2204121.7319999998</v>
      </c>
      <c r="D6" s="299">
        <v>2118634.1679999996</v>
      </c>
      <c r="E6" s="299">
        <v>2121155.67</v>
      </c>
      <c r="F6" s="299">
        <v>2182505.8190000001</v>
      </c>
      <c r="G6" s="299">
        <v>2129342.1010000003</v>
      </c>
      <c r="H6" s="299">
        <v>2080195.55</v>
      </c>
      <c r="I6" s="299">
        <v>2091901.2120000003</v>
      </c>
    </row>
    <row r="7" spans="1:9" ht="16.5" customHeight="1">
      <c r="A7" s="290" t="s">
        <v>158</v>
      </c>
      <c r="B7" s="300">
        <v>713248.35400000005</v>
      </c>
      <c r="C7" s="300">
        <v>755538.86199999996</v>
      </c>
      <c r="D7" s="300">
        <v>708518.5</v>
      </c>
      <c r="E7" s="300">
        <v>686189.36800000002</v>
      </c>
      <c r="F7" s="300">
        <v>709787.85900000005</v>
      </c>
      <c r="G7" s="300">
        <v>690996.83100000001</v>
      </c>
      <c r="H7" s="300">
        <v>662180.1</v>
      </c>
      <c r="I7" s="300">
        <v>668708.402</v>
      </c>
    </row>
    <row r="8" spans="1:9" ht="13.5" customHeight="1">
      <c r="A8" s="27" t="s">
        <v>154</v>
      </c>
      <c r="B8" s="192">
        <v>89851.150000000023</v>
      </c>
      <c r="C8" s="192">
        <v>95114.161999999997</v>
      </c>
      <c r="D8" s="192">
        <v>82849.949999999983</v>
      </c>
      <c r="E8" s="192">
        <v>84821.900000000009</v>
      </c>
      <c r="F8" s="192">
        <v>94054.1</v>
      </c>
      <c r="G8" s="192">
        <v>94172.403999999995</v>
      </c>
      <c r="H8" s="192">
        <v>90007.7</v>
      </c>
      <c r="I8" s="192">
        <v>83960.902000000002</v>
      </c>
    </row>
    <row r="9" spans="1:9" ht="13.5" customHeight="1">
      <c r="A9" s="27" t="s">
        <v>7</v>
      </c>
      <c r="B9" s="192">
        <v>242153.5</v>
      </c>
      <c r="C9" s="192">
        <v>233535.4</v>
      </c>
      <c r="D9" s="192">
        <v>224528.5</v>
      </c>
      <c r="E9" s="192">
        <v>210534.13999999998</v>
      </c>
      <c r="F9" s="192">
        <v>215843.3</v>
      </c>
      <c r="G9" s="192">
        <v>216257.15</v>
      </c>
      <c r="H9" s="192">
        <v>202773.05000000002</v>
      </c>
      <c r="I9" s="192">
        <v>213982.90000000002</v>
      </c>
    </row>
    <row r="10" spans="1:9" ht="13.5" customHeight="1">
      <c r="A10" s="27" t="s">
        <v>8</v>
      </c>
      <c r="B10" s="192">
        <v>185557.45</v>
      </c>
      <c r="C10" s="192">
        <v>188427.8</v>
      </c>
      <c r="D10" s="192">
        <v>175151.5</v>
      </c>
      <c r="E10" s="192">
        <v>168529.7</v>
      </c>
      <c r="F10" s="192">
        <v>172168.5</v>
      </c>
      <c r="G10" s="192">
        <v>176097.80000000002</v>
      </c>
      <c r="H10" s="192">
        <v>169721.2</v>
      </c>
      <c r="I10" s="192">
        <v>167518.6</v>
      </c>
    </row>
    <row r="11" spans="1:9" ht="13.5" customHeight="1">
      <c r="A11" s="27" t="s">
        <v>9</v>
      </c>
      <c r="B11" s="192">
        <v>75326.004000000001</v>
      </c>
      <c r="C11" s="192">
        <v>95969</v>
      </c>
      <c r="D11" s="192">
        <v>89493</v>
      </c>
      <c r="E11" s="192">
        <v>83417</v>
      </c>
      <c r="F11" s="192">
        <v>89626</v>
      </c>
      <c r="G11" s="192">
        <v>83272</v>
      </c>
      <c r="H11" s="192">
        <v>80101</v>
      </c>
      <c r="I11" s="192">
        <v>74540</v>
      </c>
    </row>
    <row r="12" spans="1:9" ht="13.5" customHeight="1">
      <c r="A12" s="27" t="s">
        <v>10</v>
      </c>
      <c r="B12" s="192">
        <v>103366</v>
      </c>
      <c r="C12" s="192">
        <v>125413</v>
      </c>
      <c r="D12" s="192">
        <v>121125</v>
      </c>
      <c r="E12" s="192">
        <v>121958</v>
      </c>
      <c r="F12" s="192">
        <v>121514</v>
      </c>
      <c r="G12" s="192">
        <v>105808.007</v>
      </c>
      <c r="H12" s="192">
        <v>107208</v>
      </c>
      <c r="I12" s="192">
        <v>112833</v>
      </c>
    </row>
    <row r="13" spans="1:9" ht="13.5" customHeight="1">
      <c r="A13" s="27" t="s">
        <v>11</v>
      </c>
      <c r="B13" s="192">
        <v>16994.249999999996</v>
      </c>
      <c r="C13" s="192">
        <v>17079.500000000004</v>
      </c>
      <c r="D13" s="192">
        <v>15370.55</v>
      </c>
      <c r="E13" s="192">
        <v>16928.628000000001</v>
      </c>
      <c r="F13" s="192">
        <v>16581.959000000003</v>
      </c>
      <c r="G13" s="192">
        <v>15389.470000000001</v>
      </c>
      <c r="H13" s="192">
        <v>12369.150000000001</v>
      </c>
      <c r="I13" s="192">
        <v>15872.999999999998</v>
      </c>
    </row>
    <row r="14" spans="1:9" ht="16.5" customHeight="1">
      <c r="A14" s="290" t="s">
        <v>159</v>
      </c>
      <c r="B14" s="300">
        <v>538502.63</v>
      </c>
      <c r="C14" s="300">
        <v>529428.52</v>
      </c>
      <c r="D14" s="300">
        <v>491930.61</v>
      </c>
      <c r="E14" s="300">
        <v>496199.52100000001</v>
      </c>
      <c r="F14" s="300">
        <v>516347.39</v>
      </c>
      <c r="G14" s="300">
        <v>481135.92</v>
      </c>
      <c r="H14" s="300">
        <v>459966.94</v>
      </c>
      <c r="I14" s="300">
        <v>470690.15</v>
      </c>
    </row>
    <row r="15" spans="1:9" ht="13.5" customHeight="1">
      <c r="A15" s="27" t="s">
        <v>12</v>
      </c>
      <c r="B15" s="192">
        <v>87048</v>
      </c>
      <c r="C15" s="192">
        <v>84254.5</v>
      </c>
      <c r="D15" s="192">
        <v>75281</v>
      </c>
      <c r="E15" s="192">
        <v>66693</v>
      </c>
      <c r="F15" s="192">
        <v>71677</v>
      </c>
      <c r="G15" s="192">
        <v>66812</v>
      </c>
      <c r="H15" s="192">
        <v>57823</v>
      </c>
      <c r="I15" s="192">
        <v>64089</v>
      </c>
    </row>
    <row r="16" spans="1:9" ht="13.5" hidden="1" customHeight="1">
      <c r="A16" s="27" t="s">
        <v>13</v>
      </c>
      <c r="B16" s="192">
        <v>0</v>
      </c>
      <c r="C16" s="192">
        <v>0</v>
      </c>
      <c r="D16" s="192">
        <v>0</v>
      </c>
      <c r="E16" s="192">
        <v>0</v>
      </c>
      <c r="F16" s="192">
        <v>0</v>
      </c>
      <c r="G16" s="192">
        <v>0</v>
      </c>
      <c r="H16" s="192">
        <v>0</v>
      </c>
      <c r="I16" s="192">
        <v>0</v>
      </c>
    </row>
    <row r="17" spans="1:9" ht="13.5" customHeight="1">
      <c r="A17" s="27" t="s">
        <v>14</v>
      </c>
      <c r="B17" s="192">
        <v>93239.45</v>
      </c>
      <c r="C17" s="192">
        <v>91083.5</v>
      </c>
      <c r="D17" s="192">
        <v>91162.700000000012</v>
      </c>
      <c r="E17" s="192">
        <v>93793.25</v>
      </c>
      <c r="F17" s="192">
        <v>120724.25</v>
      </c>
      <c r="G17" s="192">
        <v>100288.1</v>
      </c>
      <c r="H17" s="192">
        <v>99036</v>
      </c>
      <c r="I17" s="192">
        <v>96543</v>
      </c>
    </row>
    <row r="18" spans="1:9" ht="13.5" customHeight="1">
      <c r="A18" s="27" t="s">
        <v>15</v>
      </c>
      <c r="B18" s="192">
        <v>114502</v>
      </c>
      <c r="C18" s="192">
        <v>114156.25</v>
      </c>
      <c r="D18" s="192">
        <v>101319.75</v>
      </c>
      <c r="E18" s="192">
        <v>109459.25</v>
      </c>
      <c r="F18" s="192">
        <v>106478.25</v>
      </c>
      <c r="G18" s="192">
        <v>105568.5</v>
      </c>
      <c r="H18" s="192">
        <v>109101.5</v>
      </c>
      <c r="I18" s="192">
        <v>106961.25</v>
      </c>
    </row>
    <row r="19" spans="1:9" ht="13.5" customHeight="1">
      <c r="A19" s="27" t="s">
        <v>16</v>
      </c>
      <c r="B19" s="192">
        <v>50043.68</v>
      </c>
      <c r="C19" s="192">
        <v>52548.77</v>
      </c>
      <c r="D19" s="192">
        <v>41609.659999999996</v>
      </c>
      <c r="E19" s="192">
        <v>45366.25</v>
      </c>
      <c r="F19" s="192">
        <v>44115.289999999994</v>
      </c>
      <c r="G19" s="192">
        <v>42633.8</v>
      </c>
      <c r="H19" s="192">
        <v>30971.25</v>
      </c>
      <c r="I19" s="192">
        <v>36682.5</v>
      </c>
    </row>
    <row r="20" spans="1:9" ht="13.5" customHeight="1">
      <c r="A20" s="27" t="s">
        <v>321</v>
      </c>
      <c r="B20" s="192">
        <v>95646</v>
      </c>
      <c r="C20" s="192">
        <v>94334</v>
      </c>
      <c r="D20" s="192">
        <v>91014</v>
      </c>
      <c r="E20" s="192">
        <v>95183.77</v>
      </c>
      <c r="F20" s="192">
        <v>96270.1</v>
      </c>
      <c r="G20" s="192">
        <v>92655</v>
      </c>
      <c r="H20" s="192">
        <v>93032</v>
      </c>
      <c r="I20" s="192">
        <v>90236</v>
      </c>
    </row>
    <row r="21" spans="1:9" ht="13.5" customHeight="1">
      <c r="A21" s="27" t="s">
        <v>17</v>
      </c>
      <c r="B21" s="192">
        <v>67067</v>
      </c>
      <c r="C21" s="192">
        <v>62177</v>
      </c>
      <c r="D21" s="192">
        <v>62422</v>
      </c>
      <c r="E21" s="192">
        <v>53761</v>
      </c>
      <c r="F21" s="192">
        <v>48071</v>
      </c>
      <c r="G21" s="192">
        <v>44944.02</v>
      </c>
      <c r="H21" s="192">
        <v>44547.1</v>
      </c>
      <c r="I21" s="192">
        <v>48022.899999999994</v>
      </c>
    </row>
    <row r="22" spans="1:9" ht="13.5" customHeight="1">
      <c r="A22" s="27" t="s">
        <v>18</v>
      </c>
      <c r="B22" s="192">
        <v>3709</v>
      </c>
      <c r="C22" s="192">
        <v>3357</v>
      </c>
      <c r="D22" s="192">
        <v>2971</v>
      </c>
      <c r="E22" s="192">
        <v>2489</v>
      </c>
      <c r="F22" s="192">
        <v>2669</v>
      </c>
      <c r="G22" s="192">
        <v>2656</v>
      </c>
      <c r="H22" s="192">
        <v>2027</v>
      </c>
      <c r="I22" s="192">
        <v>2071</v>
      </c>
    </row>
    <row r="23" spans="1:9" ht="13.5" customHeight="1">
      <c r="A23" s="27" t="s">
        <v>19</v>
      </c>
      <c r="B23" s="192">
        <v>27247.5</v>
      </c>
      <c r="C23" s="192">
        <v>27517.5</v>
      </c>
      <c r="D23" s="192">
        <v>26150.5</v>
      </c>
      <c r="E23" s="192">
        <v>29454.001</v>
      </c>
      <c r="F23" s="192">
        <v>26342.5</v>
      </c>
      <c r="G23" s="192">
        <v>25578.5</v>
      </c>
      <c r="H23" s="192">
        <v>23429.09</v>
      </c>
      <c r="I23" s="192">
        <v>26084.5</v>
      </c>
    </row>
    <row r="24" spans="1:9" ht="16.5" customHeight="1">
      <c r="A24" s="290" t="s">
        <v>160</v>
      </c>
      <c r="B24" s="300">
        <v>629093.59899999993</v>
      </c>
      <c r="C24" s="300">
        <v>633371.60000000009</v>
      </c>
      <c r="D24" s="300">
        <v>627695.88</v>
      </c>
      <c r="E24" s="300">
        <v>631857.36100000003</v>
      </c>
      <c r="F24" s="300">
        <v>653957.4</v>
      </c>
      <c r="G24" s="300">
        <v>663723.9</v>
      </c>
      <c r="H24" s="300">
        <v>653346.76</v>
      </c>
      <c r="I24" s="300">
        <v>653114.06000000006</v>
      </c>
    </row>
    <row r="25" spans="1:9" ht="13.5" customHeight="1">
      <c r="A25" s="27" t="s">
        <v>20</v>
      </c>
      <c r="B25" s="192">
        <v>80348.599000000002</v>
      </c>
      <c r="C25" s="192">
        <v>80007.10000000002</v>
      </c>
      <c r="D25" s="192">
        <v>84269.88</v>
      </c>
      <c r="E25" s="192">
        <v>80580.860000000015</v>
      </c>
      <c r="F25" s="192">
        <v>86610.7</v>
      </c>
      <c r="G25" s="192">
        <v>91331.1</v>
      </c>
      <c r="H25" s="192">
        <v>86920.75</v>
      </c>
      <c r="I25" s="192">
        <v>88453.05</v>
      </c>
    </row>
    <row r="26" spans="1:9" ht="13.5" customHeight="1">
      <c r="A26" s="27" t="s">
        <v>21</v>
      </c>
      <c r="B26" s="192">
        <v>74975</v>
      </c>
      <c r="C26" s="192">
        <v>75155</v>
      </c>
      <c r="D26" s="192">
        <v>72997</v>
      </c>
      <c r="E26" s="192">
        <v>74292</v>
      </c>
      <c r="F26" s="192">
        <v>73620</v>
      </c>
      <c r="G26" s="192">
        <v>75952</v>
      </c>
      <c r="H26" s="192">
        <v>77952</v>
      </c>
      <c r="I26" s="192">
        <v>73916</v>
      </c>
    </row>
    <row r="27" spans="1:9" ht="13.5" customHeight="1">
      <c r="A27" s="27" t="s">
        <v>22</v>
      </c>
      <c r="B27" s="192">
        <v>108071</v>
      </c>
      <c r="C27" s="192">
        <v>110377</v>
      </c>
      <c r="D27" s="192">
        <v>104526</v>
      </c>
      <c r="E27" s="192">
        <v>109678</v>
      </c>
      <c r="F27" s="192">
        <v>112319</v>
      </c>
      <c r="G27" s="192">
        <v>118001</v>
      </c>
      <c r="H27" s="192">
        <v>112292</v>
      </c>
      <c r="I27" s="192">
        <v>113361</v>
      </c>
    </row>
    <row r="28" spans="1:9" ht="13.5" customHeight="1">
      <c r="A28" s="27" t="s">
        <v>133</v>
      </c>
      <c r="B28" s="192">
        <v>133903</v>
      </c>
      <c r="C28" s="192">
        <v>130213.50000000001</v>
      </c>
      <c r="D28" s="192">
        <v>121867</v>
      </c>
      <c r="E28" s="192">
        <v>123711.501</v>
      </c>
      <c r="F28" s="192">
        <v>131708.70000000001</v>
      </c>
      <c r="G28" s="192">
        <v>128640.80000000002</v>
      </c>
      <c r="H28" s="192">
        <v>123881.01</v>
      </c>
      <c r="I28" s="192">
        <v>126260.01000000001</v>
      </c>
    </row>
    <row r="29" spans="1:9" ht="13.5" customHeight="1">
      <c r="A29" s="27" t="s">
        <v>111</v>
      </c>
      <c r="B29" s="192">
        <v>1976</v>
      </c>
      <c r="C29" s="192">
        <v>2153</v>
      </c>
      <c r="D29" s="192">
        <v>2089</v>
      </c>
      <c r="E29" s="192">
        <v>2242</v>
      </c>
      <c r="F29" s="192">
        <v>2160</v>
      </c>
      <c r="G29" s="192">
        <v>2060</v>
      </c>
      <c r="H29" s="192">
        <v>1910</v>
      </c>
      <c r="I29" s="192">
        <v>2278</v>
      </c>
    </row>
    <row r="30" spans="1:9" ht="13.5" customHeight="1">
      <c r="A30" s="27" t="s">
        <v>112</v>
      </c>
      <c r="B30" s="192">
        <v>223428</v>
      </c>
      <c r="C30" s="192">
        <v>230084</v>
      </c>
      <c r="D30" s="192">
        <v>235852</v>
      </c>
      <c r="E30" s="192">
        <v>234864</v>
      </c>
      <c r="F30" s="192">
        <v>241222</v>
      </c>
      <c r="G30" s="192">
        <v>241380</v>
      </c>
      <c r="H30" s="192">
        <v>244278</v>
      </c>
      <c r="I30" s="192">
        <v>242509</v>
      </c>
    </row>
    <row r="31" spans="1:9" ht="13.5" customHeight="1">
      <c r="A31" s="27" t="s">
        <v>113</v>
      </c>
      <c r="B31" s="192">
        <v>6392</v>
      </c>
      <c r="C31" s="192">
        <v>5382</v>
      </c>
      <c r="D31" s="192">
        <v>6095</v>
      </c>
      <c r="E31" s="192">
        <v>6489</v>
      </c>
      <c r="F31" s="192">
        <v>6317</v>
      </c>
      <c r="G31" s="192">
        <v>6359</v>
      </c>
      <c r="H31" s="192">
        <v>6113</v>
      </c>
      <c r="I31" s="192">
        <v>6337</v>
      </c>
    </row>
    <row r="32" spans="1:9" ht="16.5" customHeight="1">
      <c r="A32" s="290" t="s">
        <v>161</v>
      </c>
      <c r="B32" s="300">
        <v>289227.87900000002</v>
      </c>
      <c r="C32" s="300">
        <v>285782.75</v>
      </c>
      <c r="D32" s="300">
        <v>290489.17800000001</v>
      </c>
      <c r="E32" s="300">
        <v>306909.42</v>
      </c>
      <c r="F32" s="300">
        <v>302413.17</v>
      </c>
      <c r="G32" s="300">
        <v>293485.45</v>
      </c>
      <c r="H32" s="300">
        <v>304701.75</v>
      </c>
      <c r="I32" s="300">
        <v>299388.59999999998</v>
      </c>
    </row>
    <row r="33" spans="1:9" ht="13.5" customHeight="1">
      <c r="A33" s="27" t="s">
        <v>191</v>
      </c>
      <c r="B33" s="192">
        <v>98533</v>
      </c>
      <c r="C33" s="192">
        <v>102142.5</v>
      </c>
      <c r="D33" s="192">
        <v>103620</v>
      </c>
      <c r="E33" s="192">
        <v>104944</v>
      </c>
      <c r="F33" s="192">
        <v>112113</v>
      </c>
      <c r="G33" s="192">
        <v>106217</v>
      </c>
      <c r="H33" s="192">
        <v>107685</v>
      </c>
      <c r="I33" s="192">
        <v>109751</v>
      </c>
    </row>
    <row r="34" spans="1:9" ht="13.5" customHeight="1">
      <c r="A34" s="25" t="s">
        <v>192</v>
      </c>
      <c r="B34" s="192">
        <v>9534.75</v>
      </c>
      <c r="C34" s="192">
        <v>9033.75</v>
      </c>
      <c r="D34" s="192">
        <v>7780.5</v>
      </c>
      <c r="E34" s="192">
        <v>10007.5</v>
      </c>
      <c r="F34" s="192">
        <v>9800</v>
      </c>
      <c r="G34" s="192">
        <v>9849.75</v>
      </c>
      <c r="H34" s="192">
        <v>10084.5</v>
      </c>
      <c r="I34" s="192">
        <v>11806.5</v>
      </c>
    </row>
    <row r="35" spans="1:9" ht="13.5" customHeight="1">
      <c r="A35" s="27" t="s">
        <v>259</v>
      </c>
      <c r="B35" s="192">
        <v>147600.19899999999</v>
      </c>
      <c r="C35" s="192">
        <v>143539.5</v>
      </c>
      <c r="D35" s="192">
        <v>149166</v>
      </c>
      <c r="E35" s="192">
        <v>153986</v>
      </c>
      <c r="F35" s="192">
        <v>149257.5</v>
      </c>
      <c r="G35" s="192">
        <v>144495.5</v>
      </c>
      <c r="H35" s="192">
        <v>154976</v>
      </c>
      <c r="I35" s="192">
        <v>151148.1</v>
      </c>
    </row>
    <row r="36" spans="1:9" ht="13.5" customHeight="1">
      <c r="A36" s="26" t="s">
        <v>193</v>
      </c>
      <c r="B36" s="194">
        <v>33559.93</v>
      </c>
      <c r="C36" s="194">
        <v>31067</v>
      </c>
      <c r="D36" s="194">
        <v>29922.678</v>
      </c>
      <c r="E36" s="194">
        <v>37971.919999999998</v>
      </c>
      <c r="F36" s="194">
        <v>31242.670000000002</v>
      </c>
      <c r="G36" s="194">
        <v>32923.199999999997</v>
      </c>
      <c r="H36" s="194">
        <v>31956.25</v>
      </c>
      <c r="I36" s="194">
        <v>26683</v>
      </c>
    </row>
    <row r="37" spans="1:9" ht="9" customHeight="1">
      <c r="A37" s="165" t="s">
        <v>91</v>
      </c>
      <c r="B37" s="123"/>
      <c r="C37" s="123"/>
      <c r="D37" s="123"/>
      <c r="E37" s="123"/>
      <c r="F37" s="123"/>
      <c r="G37" s="123"/>
      <c r="H37" s="123"/>
      <c r="I37" s="123"/>
    </row>
    <row r="38" spans="1:9" ht="9" customHeight="1">
      <c r="A38" s="165" t="s">
        <v>98</v>
      </c>
      <c r="B38" s="121"/>
      <c r="C38" s="121"/>
      <c r="D38" s="121"/>
      <c r="E38" s="121"/>
    </row>
    <row r="39" spans="1:9" ht="9" customHeight="1">
      <c r="A39" s="509" t="s">
        <v>360</v>
      </c>
      <c r="B39" s="509"/>
      <c r="C39" s="509"/>
      <c r="D39" s="509"/>
      <c r="E39" s="509"/>
      <c r="F39" s="509"/>
      <c r="G39" s="244"/>
      <c r="H39" s="229"/>
    </row>
    <row r="46" spans="1:9" ht="17.25" customHeight="1">
      <c r="B46" s="275"/>
    </row>
    <row r="61" spans="2:8" ht="17.25" customHeight="1">
      <c r="B61" s="122">
        <v>0</v>
      </c>
      <c r="C61" s="122">
        <v>0</v>
      </c>
      <c r="D61" s="122">
        <v>0</v>
      </c>
      <c r="E61" s="122">
        <v>0</v>
      </c>
      <c r="F61" s="122">
        <v>0</v>
      </c>
      <c r="G61" s="122"/>
      <c r="H61" s="122"/>
    </row>
    <row r="241" spans="2:11" ht="17.25" customHeight="1">
      <c r="B241" s="122"/>
      <c r="C241" s="122"/>
      <c r="D241" s="122"/>
      <c r="E241" s="122"/>
      <c r="F241" s="122"/>
      <c r="G241" s="122"/>
      <c r="H241" s="122"/>
    </row>
    <row r="242" spans="2:11" ht="17.25" customHeight="1">
      <c r="B242" s="122">
        <v>1427211.2829999998</v>
      </c>
      <c r="C242" s="122">
        <v>1423961.2319999998</v>
      </c>
      <c r="D242" s="122">
        <v>1399053.7</v>
      </c>
      <c r="E242" s="122">
        <v>1291808.392</v>
      </c>
      <c r="F242" s="122">
        <v>1409935.32</v>
      </c>
      <c r="G242" s="122"/>
      <c r="H242" s="122"/>
      <c r="K242" s="162">
        <v>94780.55</v>
      </c>
    </row>
    <row r="250" spans="2:11" ht="17.25" customHeight="1">
      <c r="B250" s="122"/>
      <c r="C250" s="122"/>
      <c r="D250" s="122"/>
      <c r="E250" s="122"/>
      <c r="F250" s="122"/>
      <c r="G250" s="122"/>
      <c r="H250" s="122"/>
    </row>
    <row r="259" spans="2:8" ht="17.25" customHeight="1">
      <c r="B259" s="122"/>
      <c r="C259" s="122"/>
      <c r="D259" s="122"/>
      <c r="E259" s="122"/>
      <c r="F259" s="122"/>
      <c r="G259" s="122"/>
      <c r="H259" s="122"/>
    </row>
  </sheetData>
  <mergeCells count="2">
    <mergeCell ref="A39:F39"/>
    <mergeCell ref="A1:I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X40"/>
  <sheetViews>
    <sheetView showGridLines="0" zoomScaleNormal="100" workbookViewId="0">
      <selection activeCell="O17" sqref="O17"/>
    </sheetView>
  </sheetViews>
  <sheetFormatPr baseColWidth="10" defaultColWidth="10.7109375" defaultRowHeight="17.25" customHeight="1"/>
  <cols>
    <col min="1" max="1" width="12.140625" style="162" customWidth="1"/>
    <col min="2" max="9" width="8.28515625" style="162" customWidth="1"/>
    <col min="10" max="16384" width="10.7109375" style="162"/>
  </cols>
  <sheetData>
    <row r="1" spans="1:50" ht="16.5" customHeight="1">
      <c r="A1" s="181" t="s">
        <v>305</v>
      </c>
      <c r="B1" s="176"/>
      <c r="C1" s="176"/>
      <c r="D1" s="176"/>
      <c r="E1" s="24"/>
      <c r="F1" s="24"/>
      <c r="G1" s="24"/>
      <c r="H1" s="24"/>
      <c r="I1" s="24"/>
    </row>
    <row r="2" spans="1:50" ht="13.5">
      <c r="A2" s="181" t="s">
        <v>443</v>
      </c>
      <c r="B2" s="24"/>
      <c r="C2" s="24"/>
      <c r="D2" s="24"/>
      <c r="E2" s="24"/>
      <c r="F2" s="24"/>
      <c r="G2" s="24"/>
      <c r="H2" s="24"/>
      <c r="I2" s="24"/>
    </row>
    <row r="3" spans="1:50" ht="13.5">
      <c r="A3" s="305" t="s">
        <v>134</v>
      </c>
    </row>
    <row r="4" spans="1:50" ht="3.95" customHeight="1">
      <c r="A4" s="69"/>
    </row>
    <row r="5" spans="1:50" ht="15.95" customHeight="1">
      <c r="A5" s="298" t="s">
        <v>57</v>
      </c>
      <c r="B5" s="298" t="s">
        <v>295</v>
      </c>
      <c r="C5" s="298" t="s">
        <v>227</v>
      </c>
      <c r="D5" s="298" t="s">
        <v>228</v>
      </c>
      <c r="E5" s="298" t="s">
        <v>195</v>
      </c>
      <c r="F5" s="298" t="s">
        <v>196</v>
      </c>
      <c r="G5" s="298" t="s">
        <v>143</v>
      </c>
      <c r="H5" s="298" t="s">
        <v>337</v>
      </c>
      <c r="I5" s="298" t="s">
        <v>349</v>
      </c>
    </row>
    <row r="6" spans="1:50" ht="15.95" customHeight="1">
      <c r="A6" s="301" t="s">
        <v>182</v>
      </c>
      <c r="B6" s="302">
        <v>2170072.4620000003</v>
      </c>
      <c r="C6" s="302">
        <v>2204121.7319999998</v>
      </c>
      <c r="D6" s="302">
        <v>2118634.1679999996</v>
      </c>
      <c r="E6" s="302">
        <v>2121155.67</v>
      </c>
      <c r="F6" s="302">
        <v>2182505.8190000001</v>
      </c>
      <c r="G6" s="302">
        <v>2129342.1010000003</v>
      </c>
      <c r="H6" s="302">
        <v>2080195.5500000005</v>
      </c>
      <c r="I6" s="302">
        <v>2091901.2119999998</v>
      </c>
      <c r="Q6" s="219"/>
      <c r="R6" s="219"/>
      <c r="AC6" s="219"/>
      <c r="AD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</row>
    <row r="7" spans="1:50" ht="13.5" customHeight="1">
      <c r="A7" s="25" t="s">
        <v>256</v>
      </c>
      <c r="B7" s="303">
        <v>141089</v>
      </c>
      <c r="C7" s="303">
        <v>137939.5</v>
      </c>
      <c r="D7" s="303">
        <v>127175.75</v>
      </c>
      <c r="E7" s="303">
        <v>129605.5</v>
      </c>
      <c r="F7" s="303">
        <v>127226.25</v>
      </c>
      <c r="G7" s="303">
        <v>122481.3</v>
      </c>
      <c r="H7" s="303">
        <v>113284.8</v>
      </c>
      <c r="I7" s="303">
        <v>117315.01</v>
      </c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9"/>
    </row>
    <row r="8" spans="1:50" ht="13.5" customHeight="1">
      <c r="A8" s="25" t="s">
        <v>229</v>
      </c>
      <c r="B8" s="303">
        <v>269164.15000000002</v>
      </c>
      <c r="C8" s="303">
        <v>279857.13</v>
      </c>
      <c r="D8" s="303">
        <v>260108.63999999998</v>
      </c>
      <c r="E8" s="303">
        <v>259209.96000000002</v>
      </c>
      <c r="F8" s="303">
        <v>247984.65</v>
      </c>
      <c r="G8" s="303">
        <v>240532.90700000001</v>
      </c>
      <c r="H8" s="303">
        <v>226814.75</v>
      </c>
      <c r="I8" s="303">
        <v>239229.85</v>
      </c>
      <c r="K8" s="219"/>
      <c r="L8" s="219"/>
      <c r="M8" s="219"/>
    </row>
    <row r="9" spans="1:50" ht="13.5" customHeight="1">
      <c r="A9" s="25" t="s">
        <v>197</v>
      </c>
      <c r="B9" s="303">
        <v>254970.18900000001</v>
      </c>
      <c r="C9" s="303">
        <v>258937.28999999998</v>
      </c>
      <c r="D9" s="303">
        <v>245086.04999999996</v>
      </c>
      <c r="E9" s="303">
        <v>231567.7</v>
      </c>
      <c r="F9" s="303">
        <v>245606.7</v>
      </c>
      <c r="G9" s="303">
        <v>247624</v>
      </c>
      <c r="H9" s="303">
        <v>241471.12999999998</v>
      </c>
      <c r="I9" s="303">
        <v>236153.50200000001</v>
      </c>
      <c r="K9" s="219"/>
      <c r="L9" s="219"/>
      <c r="M9" s="222"/>
    </row>
    <row r="10" spans="1:50" ht="13.5" customHeight="1">
      <c r="A10" s="25" t="s">
        <v>280</v>
      </c>
      <c r="B10" s="303">
        <v>361126.20900000003</v>
      </c>
      <c r="C10" s="303">
        <v>384173.00199999998</v>
      </c>
      <c r="D10" s="303">
        <v>392162.25</v>
      </c>
      <c r="E10" s="303">
        <v>411140.27799999999</v>
      </c>
      <c r="F10" s="303">
        <v>411248.359</v>
      </c>
      <c r="G10" s="303">
        <v>386549.57999999996</v>
      </c>
      <c r="H10" s="303">
        <v>394446.9</v>
      </c>
      <c r="I10" s="303">
        <v>387502.89999999997</v>
      </c>
      <c r="K10" s="219"/>
      <c r="L10" s="219"/>
      <c r="M10" s="222"/>
    </row>
    <row r="11" spans="1:50" ht="13.5" customHeight="1">
      <c r="A11" s="25" t="s">
        <v>147</v>
      </c>
      <c r="B11" s="303">
        <v>152440.75</v>
      </c>
      <c r="C11" s="303">
        <v>146451.25</v>
      </c>
      <c r="D11" s="303">
        <v>137466.25</v>
      </c>
      <c r="E11" s="303">
        <v>134455</v>
      </c>
      <c r="F11" s="303">
        <v>137241.5</v>
      </c>
      <c r="G11" s="303">
        <v>132945.25</v>
      </c>
      <c r="H11" s="303">
        <v>125697.5</v>
      </c>
      <c r="I11" s="303">
        <v>127278.75</v>
      </c>
      <c r="K11" s="219"/>
      <c r="L11" s="219"/>
      <c r="M11" s="222"/>
    </row>
    <row r="12" spans="1:50" ht="13.5" customHeight="1">
      <c r="A12" s="25" t="s">
        <v>62</v>
      </c>
      <c r="B12" s="303">
        <v>67043.549999999988</v>
      </c>
      <c r="C12" s="303">
        <v>71772.649999999994</v>
      </c>
      <c r="D12" s="303">
        <v>66283.75</v>
      </c>
      <c r="E12" s="303">
        <v>63059.24</v>
      </c>
      <c r="F12" s="303">
        <v>65372.25</v>
      </c>
      <c r="G12" s="303">
        <v>68116.5</v>
      </c>
      <c r="H12" s="303">
        <v>67465.100000000006</v>
      </c>
      <c r="I12" s="303">
        <v>71316</v>
      </c>
      <c r="K12" s="219"/>
      <c r="L12" s="219"/>
      <c r="M12" s="222"/>
    </row>
    <row r="13" spans="1:50" ht="13.5" customHeight="1">
      <c r="A13" s="25" t="s">
        <v>215</v>
      </c>
      <c r="B13" s="303">
        <v>4110.3</v>
      </c>
      <c r="C13" s="303">
        <v>3526.2</v>
      </c>
      <c r="D13" s="303">
        <v>3859.75</v>
      </c>
      <c r="E13" s="303">
        <v>4057.2000000000003</v>
      </c>
      <c r="F13" s="303">
        <v>4611.05</v>
      </c>
      <c r="G13" s="303">
        <v>4040.24</v>
      </c>
      <c r="H13" s="303">
        <v>3769.05</v>
      </c>
      <c r="I13" s="303">
        <v>4124.1499999999996</v>
      </c>
      <c r="K13" s="219"/>
      <c r="L13" s="219"/>
      <c r="M13" s="222"/>
    </row>
    <row r="14" spans="1:50" ht="13.5" customHeight="1">
      <c r="A14" s="25" t="s">
        <v>268</v>
      </c>
      <c r="B14" s="303">
        <v>750.00400000000002</v>
      </c>
      <c r="C14" s="303">
        <v>741</v>
      </c>
      <c r="D14" s="303">
        <v>825</v>
      </c>
      <c r="E14" s="303">
        <v>989</v>
      </c>
      <c r="F14" s="303">
        <v>1167</v>
      </c>
      <c r="G14" s="303">
        <v>952</v>
      </c>
      <c r="H14" s="303">
        <v>496</v>
      </c>
      <c r="I14" s="303">
        <v>893</v>
      </c>
      <c r="K14" s="219"/>
      <c r="L14" s="219"/>
      <c r="M14" s="222"/>
    </row>
    <row r="15" spans="1:50" ht="13.5" customHeight="1">
      <c r="A15" s="25" t="s">
        <v>216</v>
      </c>
      <c r="B15" s="303">
        <v>1298.8499999999999</v>
      </c>
      <c r="C15" s="303">
        <v>1891.7000000000003</v>
      </c>
      <c r="D15" s="303">
        <v>1604.25</v>
      </c>
      <c r="E15" s="303">
        <v>1542</v>
      </c>
      <c r="F15" s="303">
        <v>1777</v>
      </c>
      <c r="G15" s="303">
        <v>1257.6499999999999</v>
      </c>
      <c r="H15" s="303">
        <v>1421.2</v>
      </c>
      <c r="I15" s="303">
        <v>837.8</v>
      </c>
      <c r="K15" s="219"/>
      <c r="L15" s="219"/>
      <c r="M15" s="222"/>
    </row>
    <row r="16" spans="1:50" ht="13.5" customHeight="1">
      <c r="A16" s="25" t="s">
        <v>145</v>
      </c>
      <c r="B16" s="303">
        <v>5372.5500000000011</v>
      </c>
      <c r="C16" s="303">
        <v>5289.91</v>
      </c>
      <c r="D16" s="303">
        <v>5517.5</v>
      </c>
      <c r="E16" s="303">
        <v>5237.1999999999989</v>
      </c>
      <c r="F16" s="303">
        <v>4925.45</v>
      </c>
      <c r="G16" s="303">
        <v>4146.2000000000007</v>
      </c>
      <c r="H16" s="303">
        <v>4340.3500000000004</v>
      </c>
      <c r="I16" s="303">
        <v>4830.05</v>
      </c>
      <c r="K16" s="219"/>
      <c r="L16" s="219"/>
      <c r="M16" s="222"/>
    </row>
    <row r="17" spans="1:13" ht="13.5" customHeight="1">
      <c r="A17" s="25" t="s">
        <v>266</v>
      </c>
      <c r="B17" s="303">
        <v>7451.5</v>
      </c>
      <c r="C17" s="303">
        <v>8245.35</v>
      </c>
      <c r="D17" s="303">
        <v>7255.2999999999993</v>
      </c>
      <c r="E17" s="303">
        <v>6453.25</v>
      </c>
      <c r="F17" s="303">
        <v>7256.65</v>
      </c>
      <c r="G17" s="303">
        <v>7240.7000000000007</v>
      </c>
      <c r="H17" s="303">
        <v>6390.1</v>
      </c>
      <c r="I17" s="303">
        <v>7090.05</v>
      </c>
      <c r="K17" s="219"/>
      <c r="L17" s="219"/>
      <c r="M17" s="222"/>
    </row>
    <row r="18" spans="1:13" ht="13.5" customHeight="1">
      <c r="A18" s="25" t="s">
        <v>265</v>
      </c>
      <c r="B18" s="303">
        <v>6997.5</v>
      </c>
      <c r="C18" s="303">
        <v>6864.7000000000007</v>
      </c>
      <c r="D18" s="303">
        <v>7276.4000000000005</v>
      </c>
      <c r="E18" s="303">
        <v>7229.4500000000007</v>
      </c>
      <c r="F18" s="303">
        <v>6700.3499999999995</v>
      </c>
      <c r="G18" s="303">
        <v>7101.65</v>
      </c>
      <c r="H18" s="303">
        <v>6972.85</v>
      </c>
      <c r="I18" s="303">
        <v>7670.45</v>
      </c>
      <c r="K18" s="219"/>
      <c r="L18" s="219"/>
      <c r="M18" s="222"/>
    </row>
    <row r="19" spans="1:13" ht="13.5" customHeight="1">
      <c r="A19" s="25" t="s">
        <v>262</v>
      </c>
      <c r="B19" s="303">
        <v>6933.95</v>
      </c>
      <c r="C19" s="303">
        <v>7060.75</v>
      </c>
      <c r="D19" s="303">
        <v>7211.25</v>
      </c>
      <c r="E19" s="303">
        <v>7798</v>
      </c>
      <c r="F19" s="303">
        <v>8696</v>
      </c>
      <c r="G19" s="303">
        <v>7484.72</v>
      </c>
      <c r="H19" s="303">
        <v>6907.8</v>
      </c>
      <c r="I19" s="303">
        <v>8074.2</v>
      </c>
      <c r="K19" s="219"/>
      <c r="L19" s="219"/>
      <c r="M19" s="222"/>
    </row>
    <row r="20" spans="1:13" ht="13.5" customHeight="1">
      <c r="A20" s="25" t="s">
        <v>288</v>
      </c>
      <c r="B20" s="303">
        <v>16458.919999999998</v>
      </c>
      <c r="C20" s="303">
        <v>17084.739999999998</v>
      </c>
      <c r="D20" s="303">
        <v>17388.599999999999</v>
      </c>
      <c r="E20" s="303">
        <v>16718.95</v>
      </c>
      <c r="F20" s="303">
        <v>15221.7</v>
      </c>
      <c r="G20" s="303">
        <v>14141.8</v>
      </c>
      <c r="H20" s="303">
        <v>13994.750000000002</v>
      </c>
      <c r="I20" s="303">
        <v>14162</v>
      </c>
      <c r="K20" s="219"/>
      <c r="L20" s="219"/>
      <c r="M20" s="222"/>
    </row>
    <row r="21" spans="1:13" ht="13.5" customHeight="1">
      <c r="A21" s="25" t="s">
        <v>281</v>
      </c>
      <c r="B21" s="303">
        <v>305204.69</v>
      </c>
      <c r="C21" s="303">
        <v>304785.90000000002</v>
      </c>
      <c r="D21" s="303">
        <v>303012.14999999997</v>
      </c>
      <c r="E21" s="303">
        <v>303274.55</v>
      </c>
      <c r="F21" s="303">
        <v>318669.59999999998</v>
      </c>
      <c r="G21" s="303">
        <v>325554.05</v>
      </c>
      <c r="H21" s="303">
        <v>323776.90999999997</v>
      </c>
      <c r="I21" s="303">
        <v>325508</v>
      </c>
      <c r="K21" s="219"/>
      <c r="L21" s="219"/>
      <c r="M21" s="222"/>
    </row>
    <row r="22" spans="1:13" ht="13.5" customHeight="1">
      <c r="A22" s="25" t="s">
        <v>287</v>
      </c>
      <c r="B22" s="303">
        <v>95142.69</v>
      </c>
      <c r="C22" s="303">
        <v>97449.599999999991</v>
      </c>
      <c r="D22" s="303">
        <v>94485.2</v>
      </c>
      <c r="E22" s="303">
        <v>96999.900999999998</v>
      </c>
      <c r="F22" s="303">
        <v>101049.05000000002</v>
      </c>
      <c r="G22" s="303">
        <v>100805.25</v>
      </c>
      <c r="H22" s="303">
        <v>101744.7</v>
      </c>
      <c r="I22" s="303">
        <v>99290.849999999991</v>
      </c>
      <c r="K22" s="219"/>
      <c r="L22" s="219"/>
      <c r="M22" s="222"/>
    </row>
    <row r="23" spans="1:13" ht="13.5" customHeight="1">
      <c r="A23" s="25" t="s">
        <v>206</v>
      </c>
      <c r="B23" s="303">
        <v>14995.6</v>
      </c>
      <c r="C23" s="303">
        <v>14073.95</v>
      </c>
      <c r="D23" s="303">
        <v>14508.45</v>
      </c>
      <c r="E23" s="303">
        <v>12794.9</v>
      </c>
      <c r="F23" s="303">
        <v>14837.4</v>
      </c>
      <c r="G23" s="303">
        <v>14318.849999999999</v>
      </c>
      <c r="H23" s="303">
        <v>13252.05</v>
      </c>
      <c r="I23" s="303">
        <v>10662.7</v>
      </c>
      <c r="K23" s="219"/>
      <c r="L23" s="219"/>
      <c r="M23" s="222"/>
    </row>
    <row r="24" spans="1:13" ht="13.5" customHeight="1">
      <c r="A24" s="25" t="s">
        <v>267</v>
      </c>
      <c r="B24" s="303">
        <v>13913.25</v>
      </c>
      <c r="C24" s="303">
        <v>14283.3</v>
      </c>
      <c r="D24" s="303">
        <v>13799.75</v>
      </c>
      <c r="E24" s="303">
        <v>14587.751</v>
      </c>
      <c r="F24" s="303">
        <v>15191</v>
      </c>
      <c r="G24" s="303">
        <v>14054.35</v>
      </c>
      <c r="H24" s="303">
        <v>13726</v>
      </c>
      <c r="I24" s="303">
        <v>13142.75</v>
      </c>
      <c r="K24" s="219"/>
      <c r="L24" s="219"/>
      <c r="M24" s="222"/>
    </row>
    <row r="25" spans="1:13" ht="13.5" customHeight="1">
      <c r="A25" s="25" t="s">
        <v>300</v>
      </c>
      <c r="B25" s="303">
        <v>28398.25</v>
      </c>
      <c r="C25" s="303">
        <v>27680.55</v>
      </c>
      <c r="D25" s="303">
        <v>26895.93</v>
      </c>
      <c r="E25" s="303">
        <v>26339.75</v>
      </c>
      <c r="F25" s="303">
        <v>29013.5</v>
      </c>
      <c r="G25" s="303">
        <v>25497.35</v>
      </c>
      <c r="H25" s="303">
        <v>25246.550000000003</v>
      </c>
      <c r="I25" s="303">
        <v>25311.95</v>
      </c>
      <c r="K25" s="219"/>
      <c r="L25" s="219"/>
      <c r="M25" s="222"/>
    </row>
    <row r="26" spans="1:13" ht="13.5" customHeight="1">
      <c r="A26" s="25" t="s">
        <v>45</v>
      </c>
      <c r="B26" s="303">
        <v>4566.5</v>
      </c>
      <c r="C26" s="303">
        <v>5622.8</v>
      </c>
      <c r="D26" s="303">
        <v>5084.3</v>
      </c>
      <c r="E26" s="303">
        <v>3943.5</v>
      </c>
      <c r="F26" s="303">
        <v>3949</v>
      </c>
      <c r="G26" s="303">
        <v>3425</v>
      </c>
      <c r="H26" s="303">
        <v>4728</v>
      </c>
      <c r="I26" s="303">
        <v>4677.5</v>
      </c>
      <c r="K26" s="219"/>
      <c r="L26" s="219"/>
      <c r="M26" s="222"/>
    </row>
    <row r="27" spans="1:13" ht="13.5" customHeight="1">
      <c r="A27" s="25" t="s">
        <v>253</v>
      </c>
      <c r="B27" s="303">
        <v>80318.75</v>
      </c>
      <c r="C27" s="303">
        <v>80972.549999999988</v>
      </c>
      <c r="D27" s="303">
        <v>73381.5</v>
      </c>
      <c r="E27" s="303">
        <v>70658.399999999994</v>
      </c>
      <c r="F27" s="303">
        <v>76124.350000000006</v>
      </c>
      <c r="G27" s="303">
        <v>72915.804000000004</v>
      </c>
      <c r="H27" s="303">
        <v>71082.5</v>
      </c>
      <c r="I27" s="303">
        <v>71313.5</v>
      </c>
      <c r="K27" s="219"/>
      <c r="L27" s="219"/>
      <c r="M27" s="222"/>
    </row>
    <row r="28" spans="1:13" ht="13.5" customHeight="1">
      <c r="A28" s="25" t="s">
        <v>117</v>
      </c>
      <c r="B28" s="303">
        <v>6956.5</v>
      </c>
      <c r="C28" s="303">
        <v>7603.09</v>
      </c>
      <c r="D28" s="303">
        <v>6038.95</v>
      </c>
      <c r="E28" s="303">
        <v>6633.0999999999995</v>
      </c>
      <c r="F28" s="303">
        <v>5477.5</v>
      </c>
      <c r="G28" s="303">
        <v>4526.55</v>
      </c>
      <c r="H28" s="303">
        <v>5930.5</v>
      </c>
      <c r="I28" s="303">
        <v>3462.5</v>
      </c>
      <c r="K28" s="219"/>
      <c r="L28" s="219"/>
      <c r="M28" s="222"/>
    </row>
    <row r="29" spans="1:13" ht="13.5" customHeight="1">
      <c r="A29" s="25" t="s">
        <v>263</v>
      </c>
      <c r="B29" s="303">
        <v>73529.8</v>
      </c>
      <c r="C29" s="303">
        <v>73712.5</v>
      </c>
      <c r="D29" s="303">
        <v>68836.5</v>
      </c>
      <c r="E29" s="303">
        <v>67497.45</v>
      </c>
      <c r="F29" s="303">
        <v>72389.25</v>
      </c>
      <c r="G29" s="303">
        <v>70435.75</v>
      </c>
      <c r="H29" s="303">
        <v>67769.350000000006</v>
      </c>
      <c r="I29" s="303">
        <v>69053.05</v>
      </c>
      <c r="K29" s="219"/>
      <c r="L29" s="219"/>
      <c r="M29" s="222"/>
    </row>
    <row r="30" spans="1:13" ht="13.5" customHeight="1">
      <c r="A30" s="25" t="s">
        <v>264</v>
      </c>
      <c r="B30" s="303">
        <v>84067.199999999997</v>
      </c>
      <c r="C30" s="303">
        <v>84692.75</v>
      </c>
      <c r="D30" s="303">
        <v>80646.7</v>
      </c>
      <c r="E30" s="303">
        <v>81636.27</v>
      </c>
      <c r="F30" s="303">
        <v>83760</v>
      </c>
      <c r="G30" s="303">
        <v>76965.2</v>
      </c>
      <c r="H30" s="303">
        <v>76160.45</v>
      </c>
      <c r="I30" s="303">
        <v>75617.2</v>
      </c>
      <c r="K30" s="219"/>
      <c r="L30" s="219"/>
      <c r="M30" s="222"/>
    </row>
    <row r="31" spans="1:13" ht="13.5" customHeight="1">
      <c r="A31" s="25" t="s">
        <v>46</v>
      </c>
      <c r="B31" s="303">
        <v>33406.800000000003</v>
      </c>
      <c r="C31" s="303">
        <v>31698</v>
      </c>
      <c r="D31" s="303">
        <v>32680.5</v>
      </c>
      <c r="E31" s="303">
        <v>34159.75</v>
      </c>
      <c r="F31" s="303">
        <v>33671.5</v>
      </c>
      <c r="G31" s="303">
        <v>33006.5</v>
      </c>
      <c r="H31" s="303">
        <v>33037</v>
      </c>
      <c r="I31" s="303">
        <v>34472.5</v>
      </c>
      <c r="K31" s="219"/>
      <c r="L31" s="219"/>
      <c r="M31" s="222"/>
    </row>
    <row r="32" spans="1:13" ht="13.5" customHeight="1">
      <c r="A32" s="25" t="s">
        <v>47</v>
      </c>
      <c r="B32" s="303">
        <v>22046.760000000002</v>
      </c>
      <c r="C32" s="303">
        <v>22069.82</v>
      </c>
      <c r="D32" s="303">
        <v>21403.75</v>
      </c>
      <c r="E32" s="303">
        <v>22055</v>
      </c>
      <c r="F32" s="303">
        <v>20759</v>
      </c>
      <c r="G32" s="303">
        <v>19027</v>
      </c>
      <c r="H32" s="303">
        <v>19131.5</v>
      </c>
      <c r="I32" s="303">
        <v>18702.5</v>
      </c>
      <c r="K32" s="219"/>
      <c r="L32" s="219"/>
      <c r="M32" s="222"/>
    </row>
    <row r="33" spans="1:13" ht="13.5" customHeight="1">
      <c r="A33" s="25" t="s">
        <v>48</v>
      </c>
      <c r="B33" s="303">
        <v>82715.88</v>
      </c>
      <c r="C33" s="303">
        <v>83916.18</v>
      </c>
      <c r="D33" s="303">
        <v>82260.800000000003</v>
      </c>
      <c r="E33" s="303">
        <v>92792.7</v>
      </c>
      <c r="F33" s="303">
        <v>108357.40000000001</v>
      </c>
      <c r="G33" s="303">
        <v>106550.25</v>
      </c>
      <c r="H33" s="303">
        <v>105907.51</v>
      </c>
      <c r="I33" s="303">
        <v>109529.5</v>
      </c>
      <c r="K33" s="219"/>
      <c r="L33" s="219"/>
      <c r="M33" s="219"/>
    </row>
    <row r="34" spans="1:13" ht="13.5" customHeight="1">
      <c r="A34" s="26" t="s">
        <v>285</v>
      </c>
      <c r="B34" s="304">
        <v>29602.37</v>
      </c>
      <c r="C34" s="304">
        <v>25725.57</v>
      </c>
      <c r="D34" s="304">
        <v>16378.948</v>
      </c>
      <c r="E34" s="304">
        <v>8719.92</v>
      </c>
      <c r="F34" s="304">
        <v>14222.36</v>
      </c>
      <c r="G34" s="304">
        <v>17645.7</v>
      </c>
      <c r="H34" s="304">
        <v>5230.25</v>
      </c>
      <c r="I34" s="304">
        <v>4679</v>
      </c>
      <c r="K34" s="219"/>
      <c r="L34" s="219"/>
      <c r="M34" s="219"/>
    </row>
    <row r="35" spans="1:13" ht="9" customHeight="1">
      <c r="A35" s="165" t="s">
        <v>91</v>
      </c>
      <c r="B35" s="187"/>
      <c r="C35" s="121"/>
      <c r="D35" s="121"/>
      <c r="E35" s="121"/>
      <c r="F35" s="121"/>
      <c r="G35" s="121"/>
      <c r="H35" s="121"/>
      <c r="I35" s="121"/>
      <c r="K35" s="219"/>
    </row>
    <row r="36" spans="1:13" ht="9" customHeight="1">
      <c r="A36" s="165" t="s">
        <v>98</v>
      </c>
      <c r="B36" s="121"/>
      <c r="C36" s="121"/>
      <c r="D36" s="121"/>
      <c r="E36" s="121"/>
      <c r="F36" s="121"/>
      <c r="G36" s="121"/>
      <c r="H36" s="121"/>
      <c r="I36" s="121"/>
      <c r="K36" s="219"/>
    </row>
    <row r="37" spans="1:13" ht="9" customHeight="1">
      <c r="A37" s="509" t="s">
        <v>360</v>
      </c>
      <c r="B37" s="509"/>
      <c r="C37" s="509"/>
      <c r="D37" s="509"/>
      <c r="E37" s="509"/>
      <c r="F37" s="509"/>
      <c r="G37" s="509"/>
      <c r="H37" s="509"/>
      <c r="I37" s="509"/>
      <c r="K37" s="219"/>
    </row>
    <row r="38" spans="1:13" ht="17.25" customHeight="1">
      <c r="K38" s="219"/>
    </row>
    <row r="39" spans="1:13" ht="17.25" customHeight="1">
      <c r="K39" s="219"/>
      <c r="L39" s="219"/>
      <c r="M39" s="219"/>
    </row>
    <row r="40" spans="1:13" ht="17.25" customHeight="1">
      <c r="K40" s="219"/>
      <c r="L40" s="219"/>
      <c r="M40" s="219"/>
    </row>
  </sheetData>
  <mergeCells count="1">
    <mergeCell ref="A37:I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sqref="A1:H36"/>
    </sheetView>
  </sheetViews>
  <sheetFormatPr baseColWidth="10" defaultColWidth="10.7109375" defaultRowHeight="17.25" customHeight="1"/>
  <cols>
    <col min="1" max="1" width="11.42578125" style="162" customWidth="1"/>
    <col min="2" max="8" width="9.85546875" style="162" customWidth="1"/>
    <col min="9" max="16384" width="10.7109375" style="162"/>
  </cols>
  <sheetData>
    <row r="1" spans="1:9" ht="21.95" customHeight="1">
      <c r="A1" s="181" t="s">
        <v>320</v>
      </c>
      <c r="B1" s="176"/>
      <c r="C1" s="44"/>
      <c r="D1" s="44"/>
    </row>
    <row r="2" spans="1:9" ht="13.5">
      <c r="A2" s="23" t="s">
        <v>456</v>
      </c>
      <c r="B2" s="24"/>
    </row>
    <row r="3" spans="1:9" ht="3.95" customHeight="1">
      <c r="A3" s="69"/>
    </row>
    <row r="4" spans="1:9" ht="15.95" customHeight="1">
      <c r="A4" s="298" t="s">
        <v>57</v>
      </c>
      <c r="B4" s="306" t="s">
        <v>194</v>
      </c>
      <c r="C4" s="306" t="s">
        <v>114</v>
      </c>
      <c r="D4" s="306" t="s">
        <v>422</v>
      </c>
      <c r="E4" s="306" t="s">
        <v>423</v>
      </c>
      <c r="F4" s="306" t="s">
        <v>424</v>
      </c>
      <c r="G4" s="306" t="s">
        <v>425</v>
      </c>
      <c r="H4" s="306" t="s">
        <v>426</v>
      </c>
    </row>
    <row r="5" spans="1:9" ht="15.95" customHeight="1">
      <c r="A5" s="124" t="s">
        <v>182</v>
      </c>
      <c r="B5" s="125">
        <v>2.0881066502770107</v>
      </c>
      <c r="C5" s="125">
        <v>-4.1982714354679596</v>
      </c>
      <c r="D5" s="125">
        <v>-1.0359741170101522</v>
      </c>
      <c r="E5" s="125">
        <v>4.3685191759451625</v>
      </c>
      <c r="F5" s="125">
        <v>-3.4422744241979997</v>
      </c>
      <c r="G5" s="125">
        <v>-1.1418056183247427</v>
      </c>
      <c r="H5" s="125">
        <v>1.2465798559993191</v>
      </c>
    </row>
    <row r="6" spans="1:9" ht="13.5" customHeight="1">
      <c r="A6" s="25" t="s">
        <v>256</v>
      </c>
      <c r="B6" s="126">
        <v>-2.6208582292232441</v>
      </c>
      <c r="C6" s="126">
        <v>-7.7528703574582858</v>
      </c>
      <c r="D6" s="126">
        <v>1.4573268413947238</v>
      </c>
      <c r="E6" s="126">
        <v>-0.31952055361488263</v>
      </c>
      <c r="F6" s="126">
        <v>-3.954243481149311</v>
      </c>
      <c r="G6" s="126">
        <v>-8.4096861185059772</v>
      </c>
      <c r="H6" s="126">
        <v>6.3523984299332037</v>
      </c>
      <c r="I6" s="162" t="s">
        <v>136</v>
      </c>
    </row>
    <row r="7" spans="1:9" ht="13.5" customHeight="1">
      <c r="A7" s="25" t="s">
        <v>229</v>
      </c>
      <c r="B7" s="126">
        <v>0.90665023645901677</v>
      </c>
      <c r="C7" s="126">
        <v>-5.0566324063960444</v>
      </c>
      <c r="D7" s="126">
        <v>-1.5666685164920535</v>
      </c>
      <c r="E7" s="126">
        <v>-2.8036496360504315</v>
      </c>
      <c r="F7" s="126">
        <v>-2.5483151538209237</v>
      </c>
      <c r="G7" s="126">
        <v>-5.2158821730632461</v>
      </c>
      <c r="H7" s="126">
        <v>6.1884623705624309</v>
      </c>
    </row>
    <row r="8" spans="1:9" ht="13.5" customHeight="1">
      <c r="A8" s="25" t="s">
        <v>197</v>
      </c>
      <c r="B8" s="126">
        <v>1.7161994034373462</v>
      </c>
      <c r="C8" s="126">
        <v>-5.5664649096531242</v>
      </c>
      <c r="D8" s="126">
        <v>-5.9213330871801588</v>
      </c>
      <c r="E8" s="126">
        <v>5.817619143931152</v>
      </c>
      <c r="F8" s="126">
        <v>0.52860547116355683</v>
      </c>
      <c r="G8" s="126">
        <v>-1.5314019788697064</v>
      </c>
      <c r="H8" s="126">
        <v>-1.5762296411633181</v>
      </c>
    </row>
    <row r="9" spans="1:9" ht="13.5" customHeight="1">
      <c r="A9" s="25" t="s">
        <v>280</v>
      </c>
      <c r="B9" s="126">
        <v>8.6251919282156031</v>
      </c>
      <c r="C9" s="126">
        <v>-0.34007060124152666</v>
      </c>
      <c r="D9" s="126">
        <v>1.7738815980278488</v>
      </c>
      <c r="E9" s="126">
        <v>2.6716270725611224</v>
      </c>
      <c r="F9" s="126">
        <v>-6.1168143936360391</v>
      </c>
      <c r="G9" s="126">
        <v>3.3546650510128728</v>
      </c>
      <c r="H9" s="126">
        <v>-2.0152173731677103</v>
      </c>
    </row>
    <row r="10" spans="1:9" ht="13.5" customHeight="1">
      <c r="A10" s="25" t="s">
        <v>147</v>
      </c>
      <c r="B10" s="126">
        <v>-3.9093072383034944</v>
      </c>
      <c r="C10" s="126">
        <v>-6.179411800038781</v>
      </c>
      <c r="D10" s="126">
        <v>-2.2019952952883393</v>
      </c>
      <c r="E10" s="126">
        <v>2.259430503808102</v>
      </c>
      <c r="F10" s="126">
        <v>-7.3866712515181181</v>
      </c>
      <c r="G10" s="126">
        <v>-1.2515231769768764</v>
      </c>
      <c r="H10" s="126">
        <v>1.319384167389992</v>
      </c>
    </row>
    <row r="11" spans="1:9" ht="13.5" customHeight="1">
      <c r="A11" s="25" t="s">
        <v>62</v>
      </c>
      <c r="B11" s="126">
        <v>14.811137132620145</v>
      </c>
      <c r="C11" s="126">
        <v>-5.9491998280295944</v>
      </c>
      <c r="D11" s="126">
        <v>-4.2468911571115209</v>
      </c>
      <c r="E11" s="126">
        <v>3.4764754789257335</v>
      </c>
      <c r="F11" s="126">
        <v>1.4699482803107067</v>
      </c>
      <c r="G11" s="126">
        <v>0.19826480344307118</v>
      </c>
      <c r="H11" s="126">
        <v>6.061776822252618</v>
      </c>
    </row>
    <row r="12" spans="1:9" ht="13.5" customHeight="1">
      <c r="A12" s="25" t="s">
        <v>215</v>
      </c>
      <c r="B12" s="126">
        <v>-8.7774594078319002</v>
      </c>
      <c r="C12" s="126">
        <v>12.37043241545388</v>
      </c>
      <c r="D12" s="126">
        <v>10.895255842844943</v>
      </c>
      <c r="E12" s="126">
        <v>10.79105459943146</v>
      </c>
      <c r="F12" s="126">
        <v>-10.319147591541643</v>
      </c>
      <c r="G12" s="126">
        <v>-11.22690013642872</v>
      </c>
      <c r="H12" s="126">
        <v>15.050724752726751</v>
      </c>
    </row>
    <row r="13" spans="1:9" ht="13.5" customHeight="1">
      <c r="A13" s="25" t="s">
        <v>268</v>
      </c>
      <c r="B13" s="205">
        <v>0</v>
      </c>
      <c r="C13" s="205">
        <v>0</v>
      </c>
      <c r="D13" s="205">
        <v>0</v>
      </c>
      <c r="E13" s="205">
        <v>0</v>
      </c>
      <c r="F13" s="205">
        <v>0</v>
      </c>
      <c r="G13" s="205">
        <v>0</v>
      </c>
      <c r="H13" s="205">
        <v>0</v>
      </c>
    </row>
    <row r="14" spans="1:9" ht="13.5" customHeight="1">
      <c r="A14" s="25" t="s">
        <v>216</v>
      </c>
      <c r="B14" s="126">
        <v>-9.1853699085619134</v>
      </c>
      <c r="C14" s="126">
        <v>4.7196796338672575</v>
      </c>
      <c r="D14" s="126">
        <v>-16.891559683146685</v>
      </c>
      <c r="E14" s="126">
        <v>48.852954709787674</v>
      </c>
      <c r="F14" s="126">
        <v>-53.164053875027605</v>
      </c>
      <c r="G14" s="126">
        <v>67.028097303413176</v>
      </c>
      <c r="H14" s="126">
        <v>-21.405588484335315</v>
      </c>
    </row>
    <row r="15" spans="1:9" ht="13.5" customHeight="1">
      <c r="A15" s="25" t="s">
        <v>145</v>
      </c>
      <c r="B15" s="126">
        <v>1.2196902331877757</v>
      </c>
      <c r="C15" s="126">
        <v>4.0857000498256246</v>
      </c>
      <c r="D15" s="126">
        <v>-8.7072636113980746</v>
      </c>
      <c r="E15" s="126">
        <v>-7.6307437560369618</v>
      </c>
      <c r="F15" s="126">
        <v>-18.092321481924102</v>
      </c>
      <c r="G15" s="126">
        <v>8.065075051523829</v>
      </c>
      <c r="H15" s="126">
        <v>15.088352939190909</v>
      </c>
    </row>
    <row r="16" spans="1:9" ht="13.5" customHeight="1">
      <c r="A16" s="25" t="s">
        <v>266</v>
      </c>
      <c r="B16" s="126">
        <v>15.772751276183783</v>
      </c>
      <c r="C16" s="126">
        <v>-18.924897940566066</v>
      </c>
      <c r="D16" s="126">
        <v>-3.892280139150639</v>
      </c>
      <c r="E16" s="126">
        <v>5.8314470808616736</v>
      </c>
      <c r="F16" s="126">
        <v>1.632664349653834</v>
      </c>
      <c r="G16" s="126">
        <v>-5.6275171437901399</v>
      </c>
      <c r="H16" s="126">
        <v>9.0128796616685936</v>
      </c>
    </row>
    <row r="17" spans="1:8" ht="13.5" customHeight="1">
      <c r="A17" s="25" t="s">
        <v>265</v>
      </c>
      <c r="B17" s="126">
        <v>-1.7816714052233618</v>
      </c>
      <c r="C17" s="126">
        <v>4.7150305200779563</v>
      </c>
      <c r="D17" s="126">
        <v>-2.7237427607773368</v>
      </c>
      <c r="E17" s="126">
        <v>-3.9576939512839582</v>
      </c>
      <c r="F17" s="126">
        <v>4.1662874536096073</v>
      </c>
      <c r="G17" s="126">
        <v>-2.8123756176644643</v>
      </c>
      <c r="H17" s="126">
        <v>8.8071360076714011</v>
      </c>
    </row>
    <row r="18" spans="1:8" ht="13.5" customHeight="1">
      <c r="A18" s="25" t="s">
        <v>262</v>
      </c>
      <c r="B18" s="126">
        <v>1.6153295652046928</v>
      </c>
      <c r="C18" s="126">
        <v>-1.6385195831836175</v>
      </c>
      <c r="D18" s="126">
        <v>6.933586615036158</v>
      </c>
      <c r="E18" s="126">
        <v>20.374419240229578</v>
      </c>
      <c r="F18" s="126">
        <v>-26.672266999659435</v>
      </c>
      <c r="G18" s="126">
        <v>3.9966312869227139</v>
      </c>
      <c r="H18" s="126">
        <v>37.569965463856136</v>
      </c>
    </row>
    <row r="19" spans="1:8" ht="13.5" customHeight="1">
      <c r="A19" s="25" t="s">
        <v>288</v>
      </c>
      <c r="B19" s="126">
        <v>7.2311732090665881</v>
      </c>
      <c r="C19" s="126">
        <v>5.4100829297702768</v>
      </c>
      <c r="D19" s="126">
        <v>-8.3657210339387884</v>
      </c>
      <c r="E19" s="126">
        <v>-4.0100407303573338</v>
      </c>
      <c r="F19" s="126">
        <v>-8.9562856312683579</v>
      </c>
      <c r="G19" s="126">
        <v>21.816811198661835</v>
      </c>
      <c r="H19" s="126">
        <v>-0.92824717121757772</v>
      </c>
    </row>
    <row r="20" spans="1:8" ht="13.5" customHeight="1">
      <c r="A20" s="25" t="s">
        <v>281</v>
      </c>
      <c r="B20" s="126">
        <v>0.85396717219095031</v>
      </c>
      <c r="C20" s="126">
        <v>-0.23554409566178824</v>
      </c>
      <c r="D20" s="126">
        <v>-0.99600081357442694</v>
      </c>
      <c r="E20" s="126">
        <v>7.8201454375358415</v>
      </c>
      <c r="F20" s="126">
        <v>-0.55128074875365751</v>
      </c>
      <c r="G20" s="126">
        <v>-7.2372582226121196E-2</v>
      </c>
      <c r="H20" s="126">
        <v>1.4990252757503653</v>
      </c>
    </row>
    <row r="21" spans="1:8" ht="13.5" customHeight="1">
      <c r="A21" s="25" t="s">
        <v>287</v>
      </c>
      <c r="B21" s="126">
        <v>3.8216898245186037</v>
      </c>
      <c r="C21" s="126">
        <v>-2.9012647304975214</v>
      </c>
      <c r="D21" s="126">
        <v>-0.21106258707891401</v>
      </c>
      <c r="E21" s="126">
        <v>4.6459836552799283</v>
      </c>
      <c r="F21" s="126">
        <v>-0.80143034746165132</v>
      </c>
      <c r="G21" s="126">
        <v>1.838814331692018</v>
      </c>
      <c r="H21" s="126">
        <v>-2.4764370871177555</v>
      </c>
    </row>
    <row r="22" spans="1:8" ht="13.5" customHeight="1">
      <c r="A22" s="25" t="s">
        <v>206</v>
      </c>
      <c r="B22" s="126">
        <v>-2.9042367633642541</v>
      </c>
      <c r="C22" s="126">
        <v>-0.85682711078871598</v>
      </c>
      <c r="D22" s="126">
        <v>-5.5777342388128703</v>
      </c>
      <c r="E22" s="126">
        <v>3.9788860575172835</v>
      </c>
      <c r="F22" s="126">
        <v>-0.10603127922738098</v>
      </c>
      <c r="G22" s="126">
        <v>-7.3569686925784357</v>
      </c>
      <c r="H22" s="126">
        <v>-23.543653903315587</v>
      </c>
    </row>
    <row r="23" spans="1:8" ht="13.5" customHeight="1">
      <c r="A23" s="25" t="s">
        <v>267</v>
      </c>
      <c r="B23" s="126">
        <v>3.1513679134107964</v>
      </c>
      <c r="C23" s="126">
        <v>-3.1500021091410146</v>
      </c>
      <c r="D23" s="126">
        <v>5.1612507485980785</v>
      </c>
      <c r="E23" s="126">
        <v>4.2918457009442523</v>
      </c>
      <c r="F23" s="126">
        <v>-11.616970579475128</v>
      </c>
      <c r="G23" s="126">
        <v>1.9594334006073355</v>
      </c>
      <c r="H23" s="126">
        <v>-4.0451707675358106</v>
      </c>
    </row>
    <row r="24" spans="1:8" ht="13.5" customHeight="1">
      <c r="A24" s="25" t="s">
        <v>300</v>
      </c>
      <c r="B24" s="126">
        <v>-2.2209314118699308</v>
      </c>
      <c r="C24" s="126">
        <v>-2.855704185376351</v>
      </c>
      <c r="D24" s="126">
        <v>-2.1284055439959704</v>
      </c>
      <c r="E24" s="126">
        <v>10.926419978379244</v>
      </c>
      <c r="F24" s="126">
        <v>-11.91513330829892</v>
      </c>
      <c r="G24" s="126">
        <v>-2.0921767692454352</v>
      </c>
      <c r="H24" s="126">
        <v>0.96580695057546517</v>
      </c>
    </row>
    <row r="25" spans="1:8" ht="13.5" customHeight="1">
      <c r="A25" s="25" t="s">
        <v>45</v>
      </c>
      <c r="B25" s="126">
        <v>25.311177300517329</v>
      </c>
      <c r="C25" s="126">
        <v>-0.41283026421137237</v>
      </c>
      <c r="D25" s="126">
        <v>-10.446448760143712</v>
      </c>
      <c r="E25" s="126">
        <v>2.1040819189227067</v>
      </c>
      <c r="F25" s="126">
        <v>-15.45541970050831</v>
      </c>
      <c r="G25" s="126">
        <v>31.719207019824513</v>
      </c>
      <c r="H25" s="126">
        <v>2.1465581051073324</v>
      </c>
    </row>
    <row r="26" spans="1:8" ht="13.5" customHeight="1">
      <c r="A26" s="25" t="s">
        <v>253</v>
      </c>
      <c r="B26" s="126">
        <v>4.2418167800939877</v>
      </c>
      <c r="C26" s="126">
        <v>-11.565429891498013</v>
      </c>
      <c r="D26" s="126">
        <v>-3.5418926394459982</v>
      </c>
      <c r="E26" s="126">
        <v>5.8141670523031097</v>
      </c>
      <c r="F26" s="126">
        <v>-3.3345613917162953</v>
      </c>
      <c r="G26" s="126">
        <v>3.687508031820963</v>
      </c>
      <c r="H26" s="126">
        <v>-1.5505093378607837</v>
      </c>
    </row>
    <row r="27" spans="1:8" ht="13.5" customHeight="1">
      <c r="A27" s="25" t="s">
        <v>117</v>
      </c>
      <c r="B27" s="126">
        <v>28.776880253247448</v>
      </c>
      <c r="C27" s="126">
        <v>-34.837568077306145</v>
      </c>
      <c r="D27" s="126">
        <v>39.920974324785789</v>
      </c>
      <c r="E27" s="126">
        <v>-35.69320162696107</v>
      </c>
      <c r="F27" s="126">
        <v>-37.599392800346976</v>
      </c>
      <c r="G27" s="126">
        <v>14.972487691862145</v>
      </c>
      <c r="H27" s="126">
        <v>-48.010075566750629</v>
      </c>
    </row>
    <row r="28" spans="1:8" ht="13.5" customHeight="1">
      <c r="A28" s="25" t="s">
        <v>263</v>
      </c>
      <c r="B28" s="126">
        <v>0.53784940493404321</v>
      </c>
      <c r="C28" s="126">
        <v>-6.864350794131413</v>
      </c>
      <c r="D28" s="126">
        <v>-1.6647579078032604</v>
      </c>
      <c r="E28" s="126">
        <v>7.7344371652118715</v>
      </c>
      <c r="F28" s="126">
        <v>-6.3871559441071586</v>
      </c>
      <c r="G28" s="126">
        <v>-0.52732941697988256</v>
      </c>
      <c r="H28" s="126">
        <v>1.8854711468389018</v>
      </c>
    </row>
    <row r="29" spans="1:8" ht="13.5" customHeight="1">
      <c r="A29" s="25" t="s">
        <v>264</v>
      </c>
      <c r="B29" s="126">
        <v>-0.44941455633464855</v>
      </c>
      <c r="C29" s="126">
        <v>-5.211130599958647</v>
      </c>
      <c r="D29" s="126">
        <v>-0.7997711615008285</v>
      </c>
      <c r="E29" s="126">
        <v>9.9391490974184649</v>
      </c>
      <c r="F29" s="126">
        <v>-12.065571341248827</v>
      </c>
      <c r="G29" s="126">
        <v>-1.5958491071586534</v>
      </c>
      <c r="H29" s="126">
        <v>3.9978114358470762</v>
      </c>
    </row>
    <row r="30" spans="1:8" ht="13.5" customHeight="1">
      <c r="A30" s="25" t="s">
        <v>46</v>
      </c>
      <c r="B30" s="126">
        <v>-6.2971994805258173</v>
      </c>
      <c r="C30" s="126">
        <v>2.3961071405296241</v>
      </c>
      <c r="D30" s="126">
        <v>5.1998472505091708</v>
      </c>
      <c r="E30" s="126">
        <v>-4.8964446326658191</v>
      </c>
      <c r="F30" s="126">
        <v>0.74429059140355136</v>
      </c>
      <c r="G30" s="126">
        <v>-0.15575668280362054</v>
      </c>
      <c r="H30" s="126">
        <v>7.3741462180622275</v>
      </c>
    </row>
    <row r="31" spans="1:8" ht="13.5" customHeight="1">
      <c r="A31" s="25" t="s">
        <v>47</v>
      </c>
      <c r="B31" s="126">
        <v>0.29177847166137472</v>
      </c>
      <c r="C31" s="126">
        <v>-2.5082009492320423</v>
      </c>
      <c r="D31" s="126">
        <v>2.6798777224013026</v>
      </c>
      <c r="E31" s="126">
        <v>-5.6021500393864994</v>
      </c>
      <c r="F31" s="126">
        <v>-7.0194384449244085</v>
      </c>
      <c r="G31" s="126">
        <v>-1.1218456340407523</v>
      </c>
      <c r="H31" s="126">
        <v>-1.9327798392909545</v>
      </c>
    </row>
    <row r="32" spans="1:8" ht="13.5" customHeight="1">
      <c r="A32" s="25" t="s">
        <v>48</v>
      </c>
      <c r="B32" s="126">
        <v>1.4711488620106961</v>
      </c>
      <c r="C32" s="126">
        <v>-1.9249306286514112</v>
      </c>
      <c r="D32" s="126">
        <v>12.910878123919689</v>
      </c>
      <c r="E32" s="126">
        <v>16.934516307364113</v>
      </c>
      <c r="F32" s="126">
        <v>-1.8412499572103669</v>
      </c>
      <c r="G32" s="126">
        <v>-0.67555320968832877</v>
      </c>
      <c r="H32" s="126">
        <v>3.5813149002358324</v>
      </c>
    </row>
    <row r="33" spans="1:8" ht="13.5" customHeight="1">
      <c r="A33" s="26" t="s">
        <v>285</v>
      </c>
      <c r="B33" s="127">
        <v>-11.366924858976791</v>
      </c>
      <c r="C33" s="127">
        <v>-35.87006149812639</v>
      </c>
      <c r="D33" s="127">
        <v>-58.676657128102306</v>
      </c>
      <c r="E33" s="127">
        <v>68.880038300708264</v>
      </c>
      <c r="F33" s="127">
        <v>30.396208573656679</v>
      </c>
      <c r="G33" s="127">
        <v>-69.172986637775367</v>
      </c>
      <c r="H33" s="127">
        <v>-13.308341143392688</v>
      </c>
    </row>
    <row r="34" spans="1:8" ht="9" customHeight="1">
      <c r="A34" s="165" t="s">
        <v>91</v>
      </c>
      <c r="B34" s="165"/>
      <c r="C34" s="165"/>
      <c r="D34" s="165"/>
      <c r="E34" s="165"/>
      <c r="F34" s="165"/>
      <c r="G34" s="165"/>
      <c r="H34" s="165"/>
    </row>
    <row r="35" spans="1:8" ht="9" customHeight="1">
      <c r="A35" s="165" t="s">
        <v>98</v>
      </c>
      <c r="B35" s="165"/>
      <c r="C35" s="165"/>
      <c r="D35" s="165"/>
      <c r="E35" s="165"/>
      <c r="F35" s="165"/>
      <c r="G35" s="165"/>
    </row>
    <row r="36" spans="1:8" ht="9" customHeight="1">
      <c r="A36" s="128" t="s">
        <v>360</v>
      </c>
      <c r="B36" s="128"/>
      <c r="C36" s="128"/>
      <c r="D36" s="128"/>
      <c r="E36" s="128"/>
      <c r="F36" s="128"/>
      <c r="G36" s="128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X61" sqref="X61"/>
    </sheetView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8" style="22" customWidth="1"/>
    <col min="4" max="10" width="6.710937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6" width="6.7109375" style="22" customWidth="1"/>
    <col min="17" max="17" width="7.42578125" style="22" customWidth="1"/>
    <col min="18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181" t="s">
        <v>74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1:35" ht="11.25" customHeight="1">
      <c r="A2" s="17" t="s">
        <v>455</v>
      </c>
      <c r="B2" s="19"/>
    </row>
    <row r="3" spans="1:35" ht="13.5">
      <c r="A3" s="17" t="s">
        <v>55</v>
      </c>
      <c r="B3" s="19"/>
      <c r="M3" s="67" t="s">
        <v>246</v>
      </c>
      <c r="Y3" s="67" t="s">
        <v>246</v>
      </c>
    </row>
    <row r="4" spans="1:35" ht="3.95" customHeigh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5" ht="12" customHeight="1">
      <c r="A5" s="511" t="s">
        <v>49</v>
      </c>
      <c r="B5" s="511" t="s">
        <v>199</v>
      </c>
      <c r="C5" s="511" t="s">
        <v>469</v>
      </c>
      <c r="D5" s="511" t="s">
        <v>256</v>
      </c>
      <c r="E5" s="511" t="s">
        <v>69</v>
      </c>
      <c r="F5" s="511" t="s">
        <v>197</v>
      </c>
      <c r="G5" s="511" t="s">
        <v>280</v>
      </c>
      <c r="H5" s="511" t="s">
        <v>147</v>
      </c>
      <c r="I5" s="511" t="s">
        <v>62</v>
      </c>
      <c r="J5" s="511" t="s">
        <v>341</v>
      </c>
      <c r="K5" s="511" t="s">
        <v>268</v>
      </c>
      <c r="L5" s="511" t="s">
        <v>216</v>
      </c>
      <c r="M5" s="511" t="s">
        <v>49</v>
      </c>
      <c r="N5" s="511" t="s">
        <v>199</v>
      </c>
      <c r="O5" s="511" t="s">
        <v>145</v>
      </c>
      <c r="P5" s="511" t="s">
        <v>266</v>
      </c>
      <c r="Q5" s="511" t="s">
        <v>265</v>
      </c>
      <c r="R5" s="511" t="s">
        <v>262</v>
      </c>
      <c r="S5" s="511" t="s">
        <v>288</v>
      </c>
      <c r="T5" s="511" t="s">
        <v>281</v>
      </c>
      <c r="U5" s="511" t="s">
        <v>287</v>
      </c>
      <c r="V5" s="511" t="s">
        <v>206</v>
      </c>
      <c r="W5" s="511" t="s">
        <v>267</v>
      </c>
      <c r="X5" s="511" t="s">
        <v>300</v>
      </c>
      <c r="Y5" s="511" t="s">
        <v>49</v>
      </c>
      <c r="Z5" s="511" t="s">
        <v>199</v>
      </c>
      <c r="AA5" s="511" t="s">
        <v>45</v>
      </c>
      <c r="AB5" s="511" t="s">
        <v>70</v>
      </c>
      <c r="AC5" s="511" t="s">
        <v>71</v>
      </c>
      <c r="AD5" s="511" t="s">
        <v>428</v>
      </c>
      <c r="AE5" s="511" t="s">
        <v>73</v>
      </c>
      <c r="AF5" s="511" t="s">
        <v>427</v>
      </c>
      <c r="AG5" s="511" t="s">
        <v>47</v>
      </c>
      <c r="AH5" s="511" t="s">
        <v>48</v>
      </c>
      <c r="AI5" s="511" t="s">
        <v>285</v>
      </c>
    </row>
    <row r="6" spans="1:35" ht="12" customHeight="1">
      <c r="A6" s="511"/>
      <c r="B6" s="512"/>
      <c r="C6" s="512"/>
      <c r="D6" s="512"/>
      <c r="E6" s="512"/>
      <c r="F6" s="512"/>
      <c r="G6" s="512"/>
      <c r="H6" s="512"/>
      <c r="I6" s="512"/>
      <c r="J6" s="512"/>
      <c r="K6" s="512"/>
      <c r="L6" s="512"/>
      <c r="M6" s="512"/>
      <c r="N6" s="512"/>
      <c r="O6" s="512"/>
      <c r="P6" s="512"/>
      <c r="Q6" s="512"/>
      <c r="R6" s="512"/>
      <c r="S6" s="512"/>
      <c r="T6" s="512"/>
      <c r="U6" s="512"/>
      <c r="V6" s="512"/>
      <c r="W6" s="512"/>
      <c r="X6" s="512"/>
      <c r="Y6" s="512"/>
      <c r="Z6" s="512"/>
      <c r="AA6" s="512"/>
      <c r="AB6" s="512"/>
      <c r="AC6" s="512"/>
      <c r="AD6" s="512"/>
      <c r="AE6" s="512"/>
      <c r="AF6" s="512"/>
      <c r="AG6" s="512"/>
      <c r="AH6" s="512"/>
      <c r="AI6" s="512"/>
    </row>
    <row r="7" spans="1:35" ht="12" customHeight="1">
      <c r="A7" s="513" t="s">
        <v>306</v>
      </c>
      <c r="B7" s="307" t="s">
        <v>339</v>
      </c>
      <c r="C7" s="308">
        <v>2080195.55</v>
      </c>
      <c r="D7" s="315">
        <v>113284.8</v>
      </c>
      <c r="E7" s="315">
        <v>226814.75</v>
      </c>
      <c r="F7" s="315">
        <v>241471.12999999998</v>
      </c>
      <c r="G7" s="315">
        <v>394446.9</v>
      </c>
      <c r="H7" s="315">
        <v>125697.5</v>
      </c>
      <c r="I7" s="315">
        <v>67465.100000000006</v>
      </c>
      <c r="J7" s="308">
        <v>3769.05</v>
      </c>
      <c r="K7" s="308">
        <v>496</v>
      </c>
      <c r="L7" s="308">
        <v>1421.2</v>
      </c>
      <c r="M7" s="513" t="s">
        <v>120</v>
      </c>
      <c r="N7" s="309" t="s">
        <v>339</v>
      </c>
      <c r="O7" s="308">
        <v>4340.3500000000004</v>
      </c>
      <c r="P7" s="308">
        <v>6390.1</v>
      </c>
      <c r="Q7" s="308">
        <v>6972.85</v>
      </c>
      <c r="R7" s="308">
        <v>6907.8</v>
      </c>
      <c r="S7" s="308">
        <v>13994.750000000002</v>
      </c>
      <c r="T7" s="315">
        <v>323776.90999999997</v>
      </c>
      <c r="U7" s="315">
        <v>101744.7</v>
      </c>
      <c r="V7" s="308">
        <v>13252.05</v>
      </c>
      <c r="W7" s="315">
        <v>13726</v>
      </c>
      <c r="X7" s="308">
        <v>25246.550000000003</v>
      </c>
      <c r="Y7" s="513" t="s">
        <v>120</v>
      </c>
      <c r="Z7" s="309" t="s">
        <v>339</v>
      </c>
      <c r="AA7" s="308">
        <v>4728</v>
      </c>
      <c r="AB7" s="315">
        <v>71082.5</v>
      </c>
      <c r="AC7" s="308">
        <v>5930.5</v>
      </c>
      <c r="AD7" s="308">
        <v>67769.350000000006</v>
      </c>
      <c r="AE7" s="308">
        <v>76160.45</v>
      </c>
      <c r="AF7" s="308">
        <v>33037</v>
      </c>
      <c r="AG7" s="308">
        <v>19131.5</v>
      </c>
      <c r="AH7" s="315">
        <v>105907.51</v>
      </c>
      <c r="AI7" s="308">
        <v>5230.25</v>
      </c>
    </row>
    <row r="8" spans="1:35" ht="12" customHeight="1">
      <c r="A8" s="514"/>
      <c r="B8" s="310" t="s">
        <v>347</v>
      </c>
      <c r="C8" s="311">
        <v>2091901.2120000001</v>
      </c>
      <c r="D8" s="316">
        <v>117315.01</v>
      </c>
      <c r="E8" s="316">
        <v>239229.85</v>
      </c>
      <c r="F8" s="316">
        <v>236153.50200000001</v>
      </c>
      <c r="G8" s="316">
        <v>387502.89999999997</v>
      </c>
      <c r="H8" s="316">
        <v>127278.75</v>
      </c>
      <c r="I8" s="316">
        <v>71316</v>
      </c>
      <c r="J8" s="311">
        <v>4124.1499999999996</v>
      </c>
      <c r="K8" s="311">
        <v>893</v>
      </c>
      <c r="L8" s="311">
        <v>837.8</v>
      </c>
      <c r="M8" s="514"/>
      <c r="N8" s="310" t="s">
        <v>347</v>
      </c>
      <c r="O8" s="311">
        <v>4830.05</v>
      </c>
      <c r="P8" s="311">
        <v>7090.05</v>
      </c>
      <c r="Q8" s="311">
        <v>7670.45</v>
      </c>
      <c r="R8" s="311">
        <v>8074.2</v>
      </c>
      <c r="S8" s="311">
        <v>14162</v>
      </c>
      <c r="T8" s="316">
        <v>325508</v>
      </c>
      <c r="U8" s="316">
        <v>99290.849999999991</v>
      </c>
      <c r="V8" s="311">
        <v>10662.7</v>
      </c>
      <c r="W8" s="316">
        <v>13142.75</v>
      </c>
      <c r="X8" s="311">
        <v>25311.95</v>
      </c>
      <c r="Y8" s="514"/>
      <c r="Z8" s="310" t="s">
        <v>347</v>
      </c>
      <c r="AA8" s="311">
        <v>4677.5</v>
      </c>
      <c r="AB8" s="316">
        <v>71313.5</v>
      </c>
      <c r="AC8" s="311">
        <v>3462.5</v>
      </c>
      <c r="AD8" s="311">
        <v>69053.05</v>
      </c>
      <c r="AE8" s="311">
        <v>75617.2</v>
      </c>
      <c r="AF8" s="311">
        <v>34472.5</v>
      </c>
      <c r="AG8" s="311">
        <v>18702.5</v>
      </c>
      <c r="AH8" s="316">
        <v>109529.5</v>
      </c>
      <c r="AI8" s="311">
        <v>4679</v>
      </c>
    </row>
    <row r="9" spans="1:35" ht="12" customHeight="1">
      <c r="A9" s="13" t="s">
        <v>23</v>
      </c>
      <c r="B9" s="20" t="s">
        <v>338</v>
      </c>
      <c r="C9" s="312">
        <v>90007.7</v>
      </c>
      <c r="D9" s="154">
        <v>222</v>
      </c>
      <c r="E9" s="154">
        <v>8975</v>
      </c>
      <c r="F9" s="154">
        <v>8518.5</v>
      </c>
      <c r="G9" s="154">
        <v>47636</v>
      </c>
      <c r="H9" s="154">
        <v>69</v>
      </c>
      <c r="I9" s="154">
        <v>0</v>
      </c>
      <c r="J9" s="130">
        <v>38.4</v>
      </c>
      <c r="K9" s="130">
        <v>0</v>
      </c>
      <c r="L9" s="130">
        <v>0</v>
      </c>
      <c r="M9" s="13" t="s">
        <v>23</v>
      </c>
      <c r="N9" s="20" t="s">
        <v>338</v>
      </c>
      <c r="O9" s="130">
        <v>91</v>
      </c>
      <c r="P9" s="130">
        <v>106</v>
      </c>
      <c r="Q9" s="130">
        <v>250</v>
      </c>
      <c r="R9" s="130">
        <v>3</v>
      </c>
      <c r="S9" s="130">
        <v>1</v>
      </c>
      <c r="T9" s="154">
        <v>3421.5</v>
      </c>
      <c r="U9" s="154">
        <v>10465.299999999999</v>
      </c>
      <c r="V9" s="130">
        <v>38.5</v>
      </c>
      <c r="W9" s="154">
        <v>42.5</v>
      </c>
      <c r="X9" s="130">
        <v>213</v>
      </c>
      <c r="Y9" s="13" t="s">
        <v>23</v>
      </c>
      <c r="Z9" s="20" t="s">
        <v>338</v>
      </c>
      <c r="AA9" s="130">
        <v>0</v>
      </c>
      <c r="AB9" s="154">
        <v>8816</v>
      </c>
      <c r="AC9" s="130">
        <v>0</v>
      </c>
      <c r="AD9" s="130">
        <v>313</v>
      </c>
      <c r="AE9" s="130">
        <v>788</v>
      </c>
      <c r="AF9" s="130">
        <v>0</v>
      </c>
      <c r="AG9" s="130">
        <v>0</v>
      </c>
      <c r="AH9" s="154">
        <v>0</v>
      </c>
      <c r="AI9" s="130">
        <v>0</v>
      </c>
    </row>
    <row r="10" spans="1:35" ht="12" customHeight="1">
      <c r="A10" s="13"/>
      <c r="B10" s="20" t="s">
        <v>348</v>
      </c>
      <c r="C10" s="312">
        <v>83960.902000000002</v>
      </c>
      <c r="D10" s="154">
        <v>246.5</v>
      </c>
      <c r="E10" s="154">
        <v>10267.5</v>
      </c>
      <c r="F10" s="154">
        <v>6775.0020000000004</v>
      </c>
      <c r="G10" s="154">
        <v>46066</v>
      </c>
      <c r="H10" s="154">
        <v>79</v>
      </c>
      <c r="I10" s="154">
        <v>0</v>
      </c>
      <c r="J10" s="130">
        <v>38.4</v>
      </c>
      <c r="K10" s="130">
        <v>0</v>
      </c>
      <c r="L10" s="130">
        <v>0</v>
      </c>
      <c r="M10" s="13"/>
      <c r="N10" s="20" t="s">
        <v>348</v>
      </c>
      <c r="O10" s="130">
        <v>169.5</v>
      </c>
      <c r="P10" s="130">
        <v>48</v>
      </c>
      <c r="Q10" s="130">
        <v>291</v>
      </c>
      <c r="R10" s="130">
        <v>3</v>
      </c>
      <c r="S10" s="130">
        <v>1</v>
      </c>
      <c r="T10" s="154">
        <v>3828.5</v>
      </c>
      <c r="U10" s="154">
        <v>6599.5</v>
      </c>
      <c r="V10" s="130">
        <v>26.5</v>
      </c>
      <c r="W10" s="154">
        <v>46.5</v>
      </c>
      <c r="X10" s="130">
        <v>234</v>
      </c>
      <c r="Y10" s="13"/>
      <c r="Z10" s="20" t="s">
        <v>348</v>
      </c>
      <c r="AA10" s="130">
        <v>0</v>
      </c>
      <c r="AB10" s="154">
        <v>7166.5</v>
      </c>
      <c r="AC10" s="130">
        <v>0</v>
      </c>
      <c r="AD10" s="130">
        <v>1251.5</v>
      </c>
      <c r="AE10" s="130">
        <v>823</v>
      </c>
      <c r="AF10" s="130">
        <v>0</v>
      </c>
      <c r="AG10" s="130">
        <v>0</v>
      </c>
      <c r="AH10" s="154">
        <v>0</v>
      </c>
      <c r="AI10" s="130">
        <v>0</v>
      </c>
    </row>
    <row r="11" spans="1:35" ht="12" customHeight="1">
      <c r="A11" s="13" t="s">
        <v>24</v>
      </c>
      <c r="B11" s="20" t="s">
        <v>338</v>
      </c>
      <c r="C11" s="312">
        <v>57823</v>
      </c>
      <c r="D11" s="154">
        <v>9401</v>
      </c>
      <c r="E11" s="154">
        <v>11975</v>
      </c>
      <c r="F11" s="154">
        <v>8722</v>
      </c>
      <c r="G11" s="154">
        <v>6090</v>
      </c>
      <c r="H11" s="154">
        <v>4833</v>
      </c>
      <c r="I11" s="154">
        <v>153</v>
      </c>
      <c r="J11" s="130">
        <v>64</v>
      </c>
      <c r="K11" s="130">
        <v>0</v>
      </c>
      <c r="L11" s="130">
        <v>0</v>
      </c>
      <c r="M11" s="13" t="s">
        <v>24</v>
      </c>
      <c r="N11" s="20" t="s">
        <v>338</v>
      </c>
      <c r="O11" s="130">
        <v>170</v>
      </c>
      <c r="P11" s="130">
        <v>174</v>
      </c>
      <c r="Q11" s="130">
        <v>182</v>
      </c>
      <c r="R11" s="130">
        <v>41</v>
      </c>
      <c r="S11" s="130">
        <v>179</v>
      </c>
      <c r="T11" s="154">
        <v>8577</v>
      </c>
      <c r="U11" s="154">
        <v>154</v>
      </c>
      <c r="V11" s="130">
        <v>1498</v>
      </c>
      <c r="W11" s="154">
        <v>264</v>
      </c>
      <c r="X11" s="130">
        <v>510</v>
      </c>
      <c r="Y11" s="13" t="s">
        <v>24</v>
      </c>
      <c r="Z11" s="20" t="s">
        <v>338</v>
      </c>
      <c r="AA11" s="130">
        <v>363</v>
      </c>
      <c r="AB11" s="154">
        <v>651</v>
      </c>
      <c r="AC11" s="130">
        <v>60</v>
      </c>
      <c r="AD11" s="130">
        <v>1365</v>
      </c>
      <c r="AE11" s="130">
        <v>1581</v>
      </c>
      <c r="AF11" s="130">
        <v>681</v>
      </c>
      <c r="AG11" s="130">
        <v>0</v>
      </c>
      <c r="AH11" s="154">
        <v>0</v>
      </c>
      <c r="AI11" s="130">
        <v>135</v>
      </c>
    </row>
    <row r="12" spans="1:35" ht="12" customHeight="1">
      <c r="A12" s="13"/>
      <c r="B12" s="20" t="s">
        <v>348</v>
      </c>
      <c r="C12" s="312">
        <v>64089</v>
      </c>
      <c r="D12" s="154">
        <v>10659</v>
      </c>
      <c r="E12" s="154">
        <v>12753</v>
      </c>
      <c r="F12" s="154">
        <v>10416</v>
      </c>
      <c r="G12" s="154">
        <v>5946</v>
      </c>
      <c r="H12" s="154">
        <v>5783</v>
      </c>
      <c r="I12" s="154">
        <v>164</v>
      </c>
      <c r="J12" s="130">
        <v>111</v>
      </c>
      <c r="K12" s="130">
        <v>0</v>
      </c>
      <c r="L12" s="130">
        <v>0</v>
      </c>
      <c r="M12" s="13"/>
      <c r="N12" s="20" t="s">
        <v>348</v>
      </c>
      <c r="O12" s="130">
        <v>293</v>
      </c>
      <c r="P12" s="130">
        <v>341</v>
      </c>
      <c r="Q12" s="130">
        <v>196</v>
      </c>
      <c r="R12" s="130">
        <v>59</v>
      </c>
      <c r="S12" s="130">
        <v>233</v>
      </c>
      <c r="T12" s="154">
        <v>8968</v>
      </c>
      <c r="U12" s="154">
        <v>236</v>
      </c>
      <c r="V12" s="130">
        <v>1759</v>
      </c>
      <c r="W12" s="154">
        <v>242</v>
      </c>
      <c r="X12" s="130">
        <v>682</v>
      </c>
      <c r="Y12" s="13"/>
      <c r="Z12" s="20" t="s">
        <v>348</v>
      </c>
      <c r="AA12" s="130">
        <v>568</v>
      </c>
      <c r="AB12" s="154">
        <v>471</v>
      </c>
      <c r="AC12" s="130">
        <v>22</v>
      </c>
      <c r="AD12" s="130">
        <v>1279</v>
      </c>
      <c r="AE12" s="130">
        <v>1801</v>
      </c>
      <c r="AF12" s="130">
        <v>528</v>
      </c>
      <c r="AG12" s="130">
        <v>0</v>
      </c>
      <c r="AH12" s="154">
        <v>0</v>
      </c>
      <c r="AI12" s="130">
        <v>579</v>
      </c>
    </row>
    <row r="13" spans="1:35" ht="12" customHeight="1">
      <c r="A13" s="13" t="s">
        <v>25</v>
      </c>
      <c r="B13" s="20" t="s">
        <v>338</v>
      </c>
      <c r="C13" s="312">
        <v>86920.75</v>
      </c>
      <c r="D13" s="154">
        <v>5131.5</v>
      </c>
      <c r="E13" s="154">
        <v>1821</v>
      </c>
      <c r="F13" s="154">
        <v>28193.5</v>
      </c>
      <c r="G13" s="154">
        <v>0</v>
      </c>
      <c r="H13" s="154">
        <v>4495.5</v>
      </c>
      <c r="I13" s="154">
        <v>5190.1000000000004</v>
      </c>
      <c r="J13" s="130">
        <v>21</v>
      </c>
      <c r="K13" s="130">
        <v>0</v>
      </c>
      <c r="L13" s="130">
        <v>0</v>
      </c>
      <c r="M13" s="13" t="s">
        <v>25</v>
      </c>
      <c r="N13" s="20" t="s">
        <v>338</v>
      </c>
      <c r="O13" s="130">
        <v>115.5</v>
      </c>
      <c r="P13" s="130">
        <v>241</v>
      </c>
      <c r="Q13" s="130">
        <v>312.5</v>
      </c>
      <c r="R13" s="130">
        <v>94.3</v>
      </c>
      <c r="S13" s="130">
        <v>160.44999999999999</v>
      </c>
      <c r="T13" s="154">
        <v>22553.3</v>
      </c>
      <c r="U13" s="154">
        <v>77.5</v>
      </c>
      <c r="V13" s="130">
        <v>86</v>
      </c>
      <c r="W13" s="154">
        <v>1384.1</v>
      </c>
      <c r="X13" s="130">
        <v>2592.6999999999998</v>
      </c>
      <c r="Y13" s="13" t="s">
        <v>25</v>
      </c>
      <c r="Z13" s="20" t="s">
        <v>338</v>
      </c>
      <c r="AA13" s="130">
        <v>0</v>
      </c>
      <c r="AB13" s="154">
        <v>4467.5</v>
      </c>
      <c r="AC13" s="130">
        <v>5</v>
      </c>
      <c r="AD13" s="130">
        <v>6334.1</v>
      </c>
      <c r="AE13" s="130">
        <v>2321.6999999999998</v>
      </c>
      <c r="AF13" s="130">
        <v>0</v>
      </c>
      <c r="AG13" s="130">
        <v>548.5</v>
      </c>
      <c r="AH13" s="154">
        <v>774</v>
      </c>
      <c r="AI13" s="130">
        <v>0</v>
      </c>
    </row>
    <row r="14" spans="1:35" ht="12" customHeight="1">
      <c r="A14" s="13"/>
      <c r="B14" s="20" t="s">
        <v>348</v>
      </c>
      <c r="C14" s="312">
        <v>88453.05</v>
      </c>
      <c r="D14" s="154">
        <v>5117</v>
      </c>
      <c r="E14" s="154">
        <v>1970</v>
      </c>
      <c r="F14" s="154">
        <v>26460</v>
      </c>
      <c r="G14" s="154">
        <v>0</v>
      </c>
      <c r="H14" s="154">
        <v>4612</v>
      </c>
      <c r="I14" s="154">
        <v>6267.5</v>
      </c>
      <c r="J14" s="130">
        <v>14</v>
      </c>
      <c r="K14" s="130">
        <v>0</v>
      </c>
      <c r="L14" s="130">
        <v>0</v>
      </c>
      <c r="M14" s="13"/>
      <c r="N14" s="20" t="s">
        <v>348</v>
      </c>
      <c r="O14" s="130">
        <v>86</v>
      </c>
      <c r="P14" s="130">
        <v>152</v>
      </c>
      <c r="Q14" s="130">
        <v>238.5</v>
      </c>
      <c r="R14" s="130">
        <v>112.70000000000002</v>
      </c>
      <c r="S14" s="130">
        <v>144.9</v>
      </c>
      <c r="T14" s="154">
        <v>23808.95</v>
      </c>
      <c r="U14" s="154">
        <v>81</v>
      </c>
      <c r="V14" s="130">
        <v>96</v>
      </c>
      <c r="W14" s="154">
        <v>1307</v>
      </c>
      <c r="X14" s="130">
        <v>2810</v>
      </c>
      <c r="Y14" s="13"/>
      <c r="Z14" s="20" t="s">
        <v>348</v>
      </c>
      <c r="AA14" s="130">
        <v>0</v>
      </c>
      <c r="AB14" s="154">
        <v>4512</v>
      </c>
      <c r="AC14" s="130">
        <v>6</v>
      </c>
      <c r="AD14" s="130">
        <v>6280.5</v>
      </c>
      <c r="AE14" s="130">
        <v>2383</v>
      </c>
      <c r="AF14" s="130">
        <v>0</v>
      </c>
      <c r="AG14" s="130">
        <v>1173</v>
      </c>
      <c r="AH14" s="154">
        <v>821</v>
      </c>
      <c r="AI14" s="130">
        <v>0</v>
      </c>
    </row>
    <row r="15" spans="1:35" ht="12" customHeight="1">
      <c r="A15" s="13" t="s">
        <v>26</v>
      </c>
      <c r="B15" s="20" t="s">
        <v>338</v>
      </c>
      <c r="C15" s="312">
        <v>77952</v>
      </c>
      <c r="D15" s="154">
        <v>1844</v>
      </c>
      <c r="E15" s="154">
        <v>17</v>
      </c>
      <c r="F15" s="154">
        <v>4155</v>
      </c>
      <c r="G15" s="154">
        <v>21205</v>
      </c>
      <c r="H15" s="154">
        <v>281</v>
      </c>
      <c r="I15" s="154">
        <v>2127</v>
      </c>
      <c r="J15" s="130">
        <v>449</v>
      </c>
      <c r="K15" s="130">
        <v>0</v>
      </c>
      <c r="L15" s="130">
        <v>0</v>
      </c>
      <c r="M15" s="13" t="s">
        <v>26</v>
      </c>
      <c r="N15" s="20" t="s">
        <v>338</v>
      </c>
      <c r="O15" s="130">
        <v>671</v>
      </c>
      <c r="P15" s="130">
        <v>1086</v>
      </c>
      <c r="Q15" s="130">
        <v>1766</v>
      </c>
      <c r="R15" s="130">
        <v>3534</v>
      </c>
      <c r="S15" s="130">
        <v>8204</v>
      </c>
      <c r="T15" s="154">
        <v>8173</v>
      </c>
      <c r="U15" s="154">
        <v>25</v>
      </c>
      <c r="V15" s="130">
        <v>100</v>
      </c>
      <c r="W15" s="154">
        <v>19</v>
      </c>
      <c r="X15" s="130">
        <v>31</v>
      </c>
      <c r="Y15" s="13" t="s">
        <v>26</v>
      </c>
      <c r="Z15" s="20" t="s">
        <v>338</v>
      </c>
      <c r="AA15" s="130">
        <v>1373</v>
      </c>
      <c r="AB15" s="154">
        <v>3900</v>
      </c>
      <c r="AC15" s="130">
        <v>25</v>
      </c>
      <c r="AD15" s="130">
        <v>1368</v>
      </c>
      <c r="AE15" s="130">
        <v>1524</v>
      </c>
      <c r="AF15" s="130">
        <v>14934</v>
      </c>
      <c r="AG15" s="130">
        <v>502</v>
      </c>
      <c r="AH15" s="154">
        <v>459</v>
      </c>
      <c r="AI15" s="130">
        <v>180</v>
      </c>
    </row>
    <row r="16" spans="1:35" ht="12" customHeight="1">
      <c r="A16" s="13"/>
      <c r="B16" s="20" t="s">
        <v>348</v>
      </c>
      <c r="C16" s="312">
        <v>73916</v>
      </c>
      <c r="D16" s="154">
        <v>948</v>
      </c>
      <c r="E16" s="154">
        <v>262</v>
      </c>
      <c r="F16" s="154">
        <v>3063</v>
      </c>
      <c r="G16" s="154">
        <v>20718</v>
      </c>
      <c r="H16" s="154">
        <v>234</v>
      </c>
      <c r="I16" s="154">
        <v>1774</v>
      </c>
      <c r="J16" s="130">
        <v>444</v>
      </c>
      <c r="K16" s="130">
        <v>0</v>
      </c>
      <c r="L16" s="130">
        <v>0</v>
      </c>
      <c r="M16" s="13"/>
      <c r="N16" s="20" t="s">
        <v>348</v>
      </c>
      <c r="O16" s="130">
        <v>819</v>
      </c>
      <c r="P16" s="130">
        <v>996</v>
      </c>
      <c r="Q16" s="130">
        <v>1684</v>
      </c>
      <c r="R16" s="130">
        <v>3949</v>
      </c>
      <c r="S16" s="130">
        <v>8106</v>
      </c>
      <c r="T16" s="154">
        <v>5873</v>
      </c>
      <c r="U16" s="154">
        <v>24</v>
      </c>
      <c r="V16" s="130">
        <v>77</v>
      </c>
      <c r="W16" s="154">
        <v>19</v>
      </c>
      <c r="X16" s="130">
        <v>27</v>
      </c>
      <c r="Y16" s="13"/>
      <c r="Z16" s="20" t="s">
        <v>348</v>
      </c>
      <c r="AA16" s="130">
        <v>1481</v>
      </c>
      <c r="AB16" s="154">
        <v>3495</v>
      </c>
      <c r="AC16" s="130">
        <v>30</v>
      </c>
      <c r="AD16" s="130">
        <v>1546</v>
      </c>
      <c r="AE16" s="130">
        <v>1481</v>
      </c>
      <c r="AF16" s="130">
        <v>15615</v>
      </c>
      <c r="AG16" s="130">
        <v>613</v>
      </c>
      <c r="AH16" s="154">
        <v>636</v>
      </c>
      <c r="AI16" s="130">
        <v>2</v>
      </c>
    </row>
    <row r="17" spans="1:35" ht="12" customHeight="1">
      <c r="A17" s="13" t="s">
        <v>27</v>
      </c>
      <c r="B17" s="20" t="s">
        <v>338</v>
      </c>
      <c r="C17" s="312">
        <v>112292</v>
      </c>
      <c r="D17" s="154">
        <v>8498</v>
      </c>
      <c r="E17" s="154">
        <v>957</v>
      </c>
      <c r="F17" s="154">
        <v>20828</v>
      </c>
      <c r="G17" s="154">
        <v>19</v>
      </c>
      <c r="H17" s="154">
        <v>11924</v>
      </c>
      <c r="I17" s="154">
        <v>14482</v>
      </c>
      <c r="J17" s="130">
        <v>19</v>
      </c>
      <c r="K17" s="130">
        <v>0</v>
      </c>
      <c r="L17" s="130">
        <v>0</v>
      </c>
      <c r="M17" s="13" t="s">
        <v>27</v>
      </c>
      <c r="N17" s="20" t="s">
        <v>338</v>
      </c>
      <c r="O17" s="130">
        <v>64</v>
      </c>
      <c r="P17" s="130">
        <v>45</v>
      </c>
      <c r="Q17" s="130">
        <v>90</v>
      </c>
      <c r="R17" s="130">
        <v>411</v>
      </c>
      <c r="S17" s="130">
        <v>377</v>
      </c>
      <c r="T17" s="154">
        <v>26679</v>
      </c>
      <c r="U17" s="154">
        <v>797</v>
      </c>
      <c r="V17" s="130">
        <v>20</v>
      </c>
      <c r="W17" s="154">
        <v>1745</v>
      </c>
      <c r="X17" s="130">
        <v>2723</v>
      </c>
      <c r="Y17" s="13" t="s">
        <v>27</v>
      </c>
      <c r="Z17" s="20" t="s">
        <v>338</v>
      </c>
      <c r="AA17" s="130">
        <v>0</v>
      </c>
      <c r="AB17" s="154">
        <v>1539</v>
      </c>
      <c r="AC17" s="130">
        <v>7</v>
      </c>
      <c r="AD17" s="130">
        <v>8434</v>
      </c>
      <c r="AE17" s="130">
        <v>6264</v>
      </c>
      <c r="AF17" s="130">
        <v>0</v>
      </c>
      <c r="AG17" s="130">
        <v>13</v>
      </c>
      <c r="AH17" s="154">
        <v>6357</v>
      </c>
      <c r="AI17" s="130">
        <v>0</v>
      </c>
    </row>
    <row r="18" spans="1:35" ht="12" customHeight="1">
      <c r="A18" s="13"/>
      <c r="B18" s="20" t="s">
        <v>348</v>
      </c>
      <c r="C18" s="312">
        <v>113361</v>
      </c>
      <c r="D18" s="154">
        <v>8642</v>
      </c>
      <c r="E18" s="154">
        <v>878</v>
      </c>
      <c r="F18" s="154">
        <v>20223</v>
      </c>
      <c r="G18" s="154">
        <v>9</v>
      </c>
      <c r="H18" s="154">
        <v>12027</v>
      </c>
      <c r="I18" s="154">
        <v>14880</v>
      </c>
      <c r="J18" s="130">
        <v>17</v>
      </c>
      <c r="K18" s="130">
        <v>0</v>
      </c>
      <c r="L18" s="130">
        <v>0</v>
      </c>
      <c r="M18" s="13"/>
      <c r="N18" s="20" t="s">
        <v>348</v>
      </c>
      <c r="O18" s="130">
        <v>71</v>
      </c>
      <c r="P18" s="130">
        <v>55</v>
      </c>
      <c r="Q18" s="130">
        <v>188</v>
      </c>
      <c r="R18" s="130">
        <v>429</v>
      </c>
      <c r="S18" s="130">
        <v>366</v>
      </c>
      <c r="T18" s="154">
        <v>27790</v>
      </c>
      <c r="U18" s="154">
        <v>700</v>
      </c>
      <c r="V18" s="130">
        <v>22</v>
      </c>
      <c r="W18" s="154">
        <v>1704</v>
      </c>
      <c r="X18" s="130">
        <v>2657</v>
      </c>
      <c r="Y18" s="13"/>
      <c r="Z18" s="20" t="s">
        <v>348</v>
      </c>
      <c r="AA18" s="130">
        <v>0</v>
      </c>
      <c r="AB18" s="154">
        <v>1647</v>
      </c>
      <c r="AC18" s="130">
        <v>31</v>
      </c>
      <c r="AD18" s="130">
        <v>8385</v>
      </c>
      <c r="AE18" s="130">
        <v>5998</v>
      </c>
      <c r="AF18" s="130">
        <v>0</v>
      </c>
      <c r="AG18" s="130">
        <v>8</v>
      </c>
      <c r="AH18" s="154">
        <v>6634</v>
      </c>
      <c r="AI18" s="130">
        <v>0</v>
      </c>
    </row>
    <row r="19" spans="1:35" ht="12" customHeight="1">
      <c r="A19" s="13" t="s">
        <v>28</v>
      </c>
      <c r="B19" s="20" t="s">
        <v>338</v>
      </c>
      <c r="C19" s="312">
        <v>202773.05000000002</v>
      </c>
      <c r="D19" s="154">
        <v>21821</v>
      </c>
      <c r="E19" s="154">
        <v>16555.5</v>
      </c>
      <c r="F19" s="154">
        <v>46566.5</v>
      </c>
      <c r="G19" s="154">
        <v>18406.5</v>
      </c>
      <c r="H19" s="154">
        <v>9141</v>
      </c>
      <c r="I19" s="154">
        <v>474</v>
      </c>
      <c r="J19" s="130">
        <v>13</v>
      </c>
      <c r="K19" s="130">
        <v>0</v>
      </c>
      <c r="L19" s="130">
        <v>0</v>
      </c>
      <c r="M19" s="13" t="s">
        <v>28</v>
      </c>
      <c r="N19" s="20" t="s">
        <v>338</v>
      </c>
      <c r="O19" s="130">
        <v>263.5</v>
      </c>
      <c r="P19" s="130">
        <v>859.74999999999989</v>
      </c>
      <c r="Q19" s="130">
        <v>558.35</v>
      </c>
      <c r="R19" s="130">
        <v>941.5</v>
      </c>
      <c r="S19" s="130">
        <v>193.6</v>
      </c>
      <c r="T19" s="154">
        <v>25909.1</v>
      </c>
      <c r="U19" s="154">
        <v>6579.5</v>
      </c>
      <c r="V19" s="130">
        <v>1097</v>
      </c>
      <c r="W19" s="154">
        <v>1190</v>
      </c>
      <c r="X19" s="130">
        <v>2966</v>
      </c>
      <c r="Y19" s="13" t="s">
        <v>28</v>
      </c>
      <c r="Z19" s="20" t="s">
        <v>338</v>
      </c>
      <c r="AA19" s="130">
        <v>4</v>
      </c>
      <c r="AB19" s="154">
        <v>18656</v>
      </c>
      <c r="AC19" s="130">
        <v>0</v>
      </c>
      <c r="AD19" s="130">
        <v>5187.5</v>
      </c>
      <c r="AE19" s="130">
        <v>24364.75</v>
      </c>
      <c r="AF19" s="130">
        <v>250</v>
      </c>
      <c r="AG19" s="130">
        <v>0</v>
      </c>
      <c r="AH19" s="154">
        <v>775</v>
      </c>
      <c r="AI19" s="130">
        <v>0</v>
      </c>
    </row>
    <row r="20" spans="1:35" ht="12" customHeight="1">
      <c r="A20" s="13"/>
      <c r="B20" s="20" t="s">
        <v>348</v>
      </c>
      <c r="C20" s="312">
        <v>213982.90000000002</v>
      </c>
      <c r="D20" s="154">
        <v>24349.5</v>
      </c>
      <c r="E20" s="154">
        <v>17456</v>
      </c>
      <c r="F20" s="154">
        <v>47081.5</v>
      </c>
      <c r="G20" s="154">
        <v>21761.300000000003</v>
      </c>
      <c r="H20" s="154">
        <v>9000.75</v>
      </c>
      <c r="I20" s="154">
        <v>649</v>
      </c>
      <c r="J20" s="130">
        <v>22</v>
      </c>
      <c r="K20" s="130">
        <v>0</v>
      </c>
      <c r="L20" s="130">
        <v>0</v>
      </c>
      <c r="M20" s="13"/>
      <c r="N20" s="20" t="s">
        <v>348</v>
      </c>
      <c r="O20" s="130">
        <v>176</v>
      </c>
      <c r="P20" s="130">
        <v>729.5</v>
      </c>
      <c r="Q20" s="130">
        <v>610</v>
      </c>
      <c r="R20" s="130">
        <v>1386</v>
      </c>
      <c r="S20" s="130">
        <v>204.6</v>
      </c>
      <c r="T20" s="154">
        <v>28038.3</v>
      </c>
      <c r="U20" s="154">
        <v>7379.95</v>
      </c>
      <c r="V20" s="130">
        <v>984</v>
      </c>
      <c r="W20" s="154">
        <v>728</v>
      </c>
      <c r="X20" s="130">
        <v>2647.5</v>
      </c>
      <c r="Y20" s="13"/>
      <c r="Z20" s="20" t="s">
        <v>348</v>
      </c>
      <c r="AA20" s="130">
        <v>0</v>
      </c>
      <c r="AB20" s="154">
        <v>18964</v>
      </c>
      <c r="AC20" s="130">
        <v>0</v>
      </c>
      <c r="AD20" s="130">
        <v>5626.5</v>
      </c>
      <c r="AE20" s="130">
        <v>24753.5</v>
      </c>
      <c r="AF20" s="130">
        <v>341</v>
      </c>
      <c r="AG20" s="130">
        <v>0</v>
      </c>
      <c r="AH20" s="154">
        <v>1094</v>
      </c>
      <c r="AI20" s="130">
        <v>0</v>
      </c>
    </row>
    <row r="21" spans="1:35" ht="12" customHeight="1">
      <c r="A21" s="13" t="s">
        <v>293</v>
      </c>
      <c r="B21" s="20" t="s">
        <v>338</v>
      </c>
      <c r="C21" s="312">
        <v>0</v>
      </c>
      <c r="D21" s="154">
        <v>0</v>
      </c>
      <c r="E21" s="154">
        <v>0</v>
      </c>
      <c r="F21" s="154">
        <v>0</v>
      </c>
      <c r="G21" s="154">
        <v>0</v>
      </c>
      <c r="H21" s="154">
        <v>0</v>
      </c>
      <c r="I21" s="154">
        <v>0</v>
      </c>
      <c r="J21" s="130">
        <v>0</v>
      </c>
      <c r="K21" s="130">
        <v>0</v>
      </c>
      <c r="L21" s="130">
        <v>0</v>
      </c>
      <c r="M21" s="13" t="s">
        <v>293</v>
      </c>
      <c r="N21" s="20" t="s">
        <v>338</v>
      </c>
      <c r="O21" s="130">
        <v>0</v>
      </c>
      <c r="P21" s="130">
        <v>0</v>
      </c>
      <c r="Q21" s="130">
        <v>0</v>
      </c>
      <c r="R21" s="130">
        <v>0</v>
      </c>
      <c r="S21" s="130">
        <v>0</v>
      </c>
      <c r="T21" s="154">
        <v>0</v>
      </c>
      <c r="U21" s="154">
        <v>0</v>
      </c>
      <c r="V21" s="130">
        <v>0</v>
      </c>
      <c r="W21" s="154">
        <v>0</v>
      </c>
      <c r="X21" s="130">
        <v>0</v>
      </c>
      <c r="Y21" s="13" t="s">
        <v>293</v>
      </c>
      <c r="Z21" s="20" t="s">
        <v>338</v>
      </c>
      <c r="AA21" s="130">
        <v>0</v>
      </c>
      <c r="AB21" s="154">
        <v>0</v>
      </c>
      <c r="AC21" s="130">
        <v>0</v>
      </c>
      <c r="AD21" s="130">
        <v>0</v>
      </c>
      <c r="AE21" s="130">
        <v>0</v>
      </c>
      <c r="AF21" s="130">
        <v>0</v>
      </c>
      <c r="AG21" s="130">
        <v>0</v>
      </c>
      <c r="AH21" s="154">
        <v>0</v>
      </c>
      <c r="AI21" s="130">
        <v>0</v>
      </c>
    </row>
    <row r="22" spans="1:35" ht="12" customHeight="1">
      <c r="A22" s="13"/>
      <c r="B22" s="20" t="s">
        <v>348</v>
      </c>
      <c r="C22" s="313">
        <v>0</v>
      </c>
      <c r="D22" s="154">
        <v>0</v>
      </c>
      <c r="E22" s="154">
        <v>0</v>
      </c>
      <c r="F22" s="154">
        <v>0</v>
      </c>
      <c r="G22" s="154">
        <v>0</v>
      </c>
      <c r="H22" s="154">
        <v>0</v>
      </c>
      <c r="I22" s="154">
        <v>0</v>
      </c>
      <c r="J22" s="130">
        <v>0</v>
      </c>
      <c r="K22" s="130">
        <v>0</v>
      </c>
      <c r="L22" s="130">
        <v>0</v>
      </c>
      <c r="M22" s="13"/>
      <c r="N22" s="20" t="s">
        <v>348</v>
      </c>
      <c r="O22" s="130">
        <v>0</v>
      </c>
      <c r="P22" s="130">
        <v>0</v>
      </c>
      <c r="Q22" s="130">
        <v>0</v>
      </c>
      <c r="R22" s="130">
        <v>0</v>
      </c>
      <c r="S22" s="130">
        <v>0</v>
      </c>
      <c r="T22" s="154">
        <v>0</v>
      </c>
      <c r="U22" s="154">
        <v>0</v>
      </c>
      <c r="V22" s="130">
        <v>0</v>
      </c>
      <c r="W22" s="154">
        <v>0</v>
      </c>
      <c r="X22" s="130">
        <v>0</v>
      </c>
      <c r="Y22" s="13"/>
      <c r="Z22" s="20" t="s">
        <v>348</v>
      </c>
      <c r="AA22" s="130">
        <v>0</v>
      </c>
      <c r="AB22" s="154">
        <v>0</v>
      </c>
      <c r="AC22" s="130">
        <v>0</v>
      </c>
      <c r="AD22" s="130">
        <v>0</v>
      </c>
      <c r="AE22" s="130">
        <v>0</v>
      </c>
      <c r="AF22" s="130">
        <v>0</v>
      </c>
      <c r="AG22" s="130">
        <v>0</v>
      </c>
      <c r="AH22" s="154">
        <v>0</v>
      </c>
      <c r="AI22" s="130">
        <v>0</v>
      </c>
    </row>
    <row r="23" spans="1:35" ht="12" customHeight="1">
      <c r="A23" s="13" t="s">
        <v>29</v>
      </c>
      <c r="B23" s="20" t="s">
        <v>338</v>
      </c>
      <c r="C23" s="312">
        <v>123881.01</v>
      </c>
      <c r="D23" s="154">
        <v>8047</v>
      </c>
      <c r="E23" s="154">
        <v>3689</v>
      </c>
      <c r="F23" s="154">
        <v>27020</v>
      </c>
      <c r="G23" s="154">
        <v>1153</v>
      </c>
      <c r="H23" s="154">
        <v>13117</v>
      </c>
      <c r="I23" s="154">
        <v>2929</v>
      </c>
      <c r="J23" s="130">
        <v>0</v>
      </c>
      <c r="K23" s="130">
        <v>0</v>
      </c>
      <c r="L23" s="130">
        <v>0</v>
      </c>
      <c r="M23" s="13" t="s">
        <v>29</v>
      </c>
      <c r="N23" s="20" t="s">
        <v>338</v>
      </c>
      <c r="O23" s="130">
        <v>46</v>
      </c>
      <c r="P23" s="130">
        <v>200</v>
      </c>
      <c r="Q23" s="130">
        <v>534</v>
      </c>
      <c r="R23" s="130">
        <v>0</v>
      </c>
      <c r="S23" s="130">
        <v>367</v>
      </c>
      <c r="T23" s="154">
        <v>30437</v>
      </c>
      <c r="U23" s="154">
        <v>3892</v>
      </c>
      <c r="V23" s="130">
        <v>54</v>
      </c>
      <c r="W23" s="154">
        <v>1641</v>
      </c>
      <c r="X23" s="130">
        <v>3560</v>
      </c>
      <c r="Y23" s="13" t="s">
        <v>29</v>
      </c>
      <c r="Z23" s="20" t="s">
        <v>338</v>
      </c>
      <c r="AA23" s="130">
        <v>0</v>
      </c>
      <c r="AB23" s="154">
        <v>1636</v>
      </c>
      <c r="AC23" s="130">
        <v>0</v>
      </c>
      <c r="AD23" s="130">
        <v>10171</v>
      </c>
      <c r="AE23" s="130">
        <v>2706</v>
      </c>
      <c r="AF23" s="130">
        <v>0</v>
      </c>
      <c r="AG23" s="130">
        <v>1016</v>
      </c>
      <c r="AH23" s="154">
        <v>11666.01</v>
      </c>
      <c r="AI23" s="130">
        <v>0</v>
      </c>
    </row>
    <row r="24" spans="1:35" ht="12" customHeight="1">
      <c r="A24" s="13"/>
      <c r="B24" s="20" t="s">
        <v>348</v>
      </c>
      <c r="C24" s="312">
        <v>126260.01000000001</v>
      </c>
      <c r="D24" s="154">
        <v>8128.01</v>
      </c>
      <c r="E24" s="154">
        <v>2777</v>
      </c>
      <c r="F24" s="154">
        <v>28298</v>
      </c>
      <c r="G24" s="154">
        <v>1036</v>
      </c>
      <c r="H24" s="154">
        <v>13160</v>
      </c>
      <c r="I24" s="154">
        <v>4499</v>
      </c>
      <c r="J24" s="130">
        <v>0</v>
      </c>
      <c r="K24" s="130">
        <v>0</v>
      </c>
      <c r="L24" s="130">
        <v>0</v>
      </c>
      <c r="M24" s="13"/>
      <c r="N24" s="20" t="s">
        <v>348</v>
      </c>
      <c r="O24" s="130">
        <v>61</v>
      </c>
      <c r="P24" s="130">
        <v>168</v>
      </c>
      <c r="Q24" s="130">
        <v>712</v>
      </c>
      <c r="R24" s="130">
        <v>0</v>
      </c>
      <c r="S24" s="130">
        <v>501</v>
      </c>
      <c r="T24" s="154">
        <v>30012</v>
      </c>
      <c r="U24" s="154">
        <v>2718</v>
      </c>
      <c r="V24" s="130">
        <v>71</v>
      </c>
      <c r="W24" s="154">
        <v>1644</v>
      </c>
      <c r="X24" s="130">
        <v>3456</v>
      </c>
      <c r="Y24" s="13"/>
      <c r="Z24" s="20" t="s">
        <v>348</v>
      </c>
      <c r="AA24" s="130">
        <v>0</v>
      </c>
      <c r="AB24" s="154">
        <v>2029</v>
      </c>
      <c r="AC24" s="130">
        <v>0</v>
      </c>
      <c r="AD24" s="130">
        <v>10124</v>
      </c>
      <c r="AE24" s="130">
        <v>2514</v>
      </c>
      <c r="AF24" s="130">
        <v>0</v>
      </c>
      <c r="AG24" s="130">
        <v>1263</v>
      </c>
      <c r="AH24" s="154">
        <v>13089</v>
      </c>
      <c r="AI24" s="130">
        <v>0</v>
      </c>
    </row>
    <row r="25" spans="1:35" ht="12" customHeight="1">
      <c r="A25" s="13" t="s">
        <v>30</v>
      </c>
      <c r="B25" s="20" t="s">
        <v>338</v>
      </c>
      <c r="C25" s="312">
        <v>99036</v>
      </c>
      <c r="D25" s="154">
        <v>4361</v>
      </c>
      <c r="E25" s="154">
        <v>202</v>
      </c>
      <c r="F25" s="154">
        <v>21349</v>
      </c>
      <c r="G25" s="154">
        <v>0</v>
      </c>
      <c r="H25" s="154">
        <v>14860</v>
      </c>
      <c r="I25" s="154">
        <v>1651</v>
      </c>
      <c r="J25" s="130">
        <v>0</v>
      </c>
      <c r="K25" s="130">
        <v>0</v>
      </c>
      <c r="L25" s="130">
        <v>0</v>
      </c>
      <c r="M25" s="13" t="s">
        <v>30</v>
      </c>
      <c r="N25" s="20" t="s">
        <v>338</v>
      </c>
      <c r="O25" s="130">
        <v>30</v>
      </c>
      <c r="P25" s="130">
        <v>260</v>
      </c>
      <c r="Q25" s="130">
        <v>32</v>
      </c>
      <c r="R25" s="130">
        <v>100</v>
      </c>
      <c r="S25" s="130">
        <v>8</v>
      </c>
      <c r="T25" s="154">
        <v>26290</v>
      </c>
      <c r="U25" s="154">
        <v>0</v>
      </c>
      <c r="V25" s="130">
        <v>16</v>
      </c>
      <c r="W25" s="154">
        <v>496</v>
      </c>
      <c r="X25" s="130">
        <v>2700</v>
      </c>
      <c r="Y25" s="13" t="s">
        <v>30</v>
      </c>
      <c r="Z25" s="20" t="s">
        <v>338</v>
      </c>
      <c r="AA25" s="130">
        <v>0</v>
      </c>
      <c r="AB25" s="154">
        <v>7251</v>
      </c>
      <c r="AC25" s="130">
        <v>0</v>
      </c>
      <c r="AD25" s="130">
        <v>8384</v>
      </c>
      <c r="AE25" s="130">
        <v>9529</v>
      </c>
      <c r="AF25" s="130">
        <v>0</v>
      </c>
      <c r="AG25" s="130">
        <v>0</v>
      </c>
      <c r="AH25" s="154">
        <v>1517</v>
      </c>
      <c r="AI25" s="130">
        <v>0</v>
      </c>
    </row>
    <row r="26" spans="1:35" ht="12" customHeight="1">
      <c r="A26" s="13"/>
      <c r="B26" s="20" t="s">
        <v>348</v>
      </c>
      <c r="C26" s="312">
        <v>96543</v>
      </c>
      <c r="D26" s="154">
        <v>4262</v>
      </c>
      <c r="E26" s="154">
        <v>521</v>
      </c>
      <c r="F26" s="154">
        <v>21327</v>
      </c>
      <c r="G26" s="154">
        <v>0</v>
      </c>
      <c r="H26" s="154">
        <v>15030</v>
      </c>
      <c r="I26" s="154">
        <v>1574</v>
      </c>
      <c r="J26" s="130">
        <v>0</v>
      </c>
      <c r="K26" s="130">
        <v>0</v>
      </c>
      <c r="L26" s="130">
        <v>0</v>
      </c>
      <c r="M26" s="13"/>
      <c r="N26" s="20" t="s">
        <v>348</v>
      </c>
      <c r="O26" s="130">
        <v>43</v>
      </c>
      <c r="P26" s="130">
        <v>440</v>
      </c>
      <c r="Q26" s="130">
        <v>88</v>
      </c>
      <c r="R26" s="130">
        <v>145</v>
      </c>
      <c r="S26" s="130">
        <v>100</v>
      </c>
      <c r="T26" s="154">
        <v>24091</v>
      </c>
      <c r="U26" s="154">
        <v>0</v>
      </c>
      <c r="V26" s="130">
        <v>16</v>
      </c>
      <c r="W26" s="154">
        <v>607</v>
      </c>
      <c r="X26" s="130">
        <v>2415</v>
      </c>
      <c r="Y26" s="13"/>
      <c r="Z26" s="20" t="s">
        <v>348</v>
      </c>
      <c r="AA26" s="130">
        <v>0</v>
      </c>
      <c r="AB26" s="154">
        <v>6772</v>
      </c>
      <c r="AC26" s="130">
        <v>4</v>
      </c>
      <c r="AD26" s="130">
        <v>8424</v>
      </c>
      <c r="AE26" s="130">
        <v>8890</v>
      </c>
      <c r="AF26" s="130">
        <v>0</v>
      </c>
      <c r="AG26" s="130">
        <v>19</v>
      </c>
      <c r="AH26" s="154">
        <v>1775</v>
      </c>
      <c r="AI26" s="130">
        <v>0</v>
      </c>
    </row>
    <row r="27" spans="1:35" ht="12" customHeight="1">
      <c r="A27" s="13" t="s">
        <v>155</v>
      </c>
      <c r="B27" s="20" t="s">
        <v>338</v>
      </c>
      <c r="C27" s="312">
        <v>109101.5</v>
      </c>
      <c r="D27" s="154">
        <v>7898</v>
      </c>
      <c r="E27" s="154">
        <v>11144</v>
      </c>
      <c r="F27" s="154">
        <v>14681</v>
      </c>
      <c r="G27" s="154">
        <v>6645</v>
      </c>
      <c r="H27" s="154">
        <v>6218.5</v>
      </c>
      <c r="I27" s="154">
        <v>641</v>
      </c>
      <c r="J27" s="130">
        <v>80</v>
      </c>
      <c r="K27" s="130">
        <v>0</v>
      </c>
      <c r="L27" s="130">
        <v>0</v>
      </c>
      <c r="M27" s="13" t="s">
        <v>155</v>
      </c>
      <c r="N27" s="20" t="s">
        <v>338</v>
      </c>
      <c r="O27" s="130">
        <v>52</v>
      </c>
      <c r="P27" s="130">
        <v>609</v>
      </c>
      <c r="Q27" s="130">
        <v>139.5</v>
      </c>
      <c r="R27" s="130">
        <v>36.5</v>
      </c>
      <c r="S27" s="130">
        <v>83.5</v>
      </c>
      <c r="T27" s="154">
        <v>41984</v>
      </c>
      <c r="U27" s="154">
        <v>3970.5</v>
      </c>
      <c r="V27" s="130">
        <v>248</v>
      </c>
      <c r="W27" s="154">
        <v>642</v>
      </c>
      <c r="X27" s="130">
        <v>1702</v>
      </c>
      <c r="Y27" s="13" t="s">
        <v>155</v>
      </c>
      <c r="Z27" s="20" t="s">
        <v>338</v>
      </c>
      <c r="AA27" s="130">
        <v>0</v>
      </c>
      <c r="AB27" s="154">
        <v>3771.75</v>
      </c>
      <c r="AC27" s="130">
        <v>0</v>
      </c>
      <c r="AD27" s="130">
        <v>3725.75</v>
      </c>
      <c r="AE27" s="130">
        <v>3228</v>
      </c>
      <c r="AF27" s="130">
        <v>326.5</v>
      </c>
      <c r="AG27" s="130">
        <v>0</v>
      </c>
      <c r="AH27" s="154">
        <v>1275</v>
      </c>
      <c r="AI27" s="130">
        <v>0</v>
      </c>
    </row>
    <row r="28" spans="1:35" ht="12" customHeight="1">
      <c r="A28" s="13"/>
      <c r="B28" s="20" t="s">
        <v>348</v>
      </c>
      <c r="C28" s="312">
        <v>106961.25</v>
      </c>
      <c r="D28" s="154">
        <v>8156</v>
      </c>
      <c r="E28" s="154">
        <v>9244.5</v>
      </c>
      <c r="F28" s="154">
        <v>14237</v>
      </c>
      <c r="G28" s="154">
        <v>5917</v>
      </c>
      <c r="H28" s="154">
        <v>6209</v>
      </c>
      <c r="I28" s="154">
        <v>732</v>
      </c>
      <c r="J28" s="130">
        <v>77.5</v>
      </c>
      <c r="K28" s="130">
        <v>0</v>
      </c>
      <c r="L28" s="130">
        <v>0</v>
      </c>
      <c r="M28" s="13"/>
      <c r="N28" s="20" t="s">
        <v>348</v>
      </c>
      <c r="O28" s="130">
        <v>60</v>
      </c>
      <c r="P28" s="130">
        <v>815.25</v>
      </c>
      <c r="Q28" s="130">
        <v>171.75</v>
      </c>
      <c r="R28" s="130">
        <v>37</v>
      </c>
      <c r="S28" s="130">
        <v>87.5</v>
      </c>
      <c r="T28" s="154">
        <v>41833.75</v>
      </c>
      <c r="U28" s="154">
        <v>4017</v>
      </c>
      <c r="V28" s="130">
        <v>241.25</v>
      </c>
      <c r="W28" s="154">
        <v>626.75</v>
      </c>
      <c r="X28" s="130">
        <v>1746.75</v>
      </c>
      <c r="Y28" s="13"/>
      <c r="Z28" s="20" t="s">
        <v>348</v>
      </c>
      <c r="AA28" s="130">
        <v>0</v>
      </c>
      <c r="AB28" s="154">
        <v>3849</v>
      </c>
      <c r="AC28" s="130">
        <v>0</v>
      </c>
      <c r="AD28" s="130">
        <v>3807.75</v>
      </c>
      <c r="AE28" s="130">
        <v>3388</v>
      </c>
      <c r="AF28" s="130">
        <v>339.5</v>
      </c>
      <c r="AG28" s="130">
        <v>57.5</v>
      </c>
      <c r="AH28" s="154">
        <v>1309.5</v>
      </c>
      <c r="AI28" s="130">
        <v>0</v>
      </c>
    </row>
    <row r="29" spans="1:35" ht="12" customHeight="1">
      <c r="A29" s="13" t="s">
        <v>31</v>
      </c>
      <c r="B29" s="20" t="s">
        <v>338</v>
      </c>
      <c r="C29" s="312">
        <v>30971.25</v>
      </c>
      <c r="D29" s="154">
        <v>23</v>
      </c>
      <c r="E29" s="154">
        <v>14928.5</v>
      </c>
      <c r="F29" s="154">
        <v>1190.5</v>
      </c>
      <c r="G29" s="154">
        <v>0</v>
      </c>
      <c r="H29" s="154">
        <v>38</v>
      </c>
      <c r="I29" s="154">
        <v>2</v>
      </c>
      <c r="J29" s="130">
        <v>283</v>
      </c>
      <c r="K29" s="130">
        <v>0</v>
      </c>
      <c r="L29" s="130">
        <v>20.5</v>
      </c>
      <c r="M29" s="13" t="s">
        <v>31</v>
      </c>
      <c r="N29" s="20" t="s">
        <v>338</v>
      </c>
      <c r="O29" s="130">
        <v>899.5</v>
      </c>
      <c r="P29" s="130">
        <v>470.75</v>
      </c>
      <c r="Q29" s="130">
        <v>8</v>
      </c>
      <c r="R29" s="130">
        <v>1</v>
      </c>
      <c r="S29" s="130">
        <v>1449</v>
      </c>
      <c r="T29" s="154">
        <v>3297</v>
      </c>
      <c r="U29" s="154">
        <v>480.5</v>
      </c>
      <c r="V29" s="130">
        <v>984.5</v>
      </c>
      <c r="W29" s="154">
        <v>11</v>
      </c>
      <c r="X29" s="130">
        <v>0</v>
      </c>
      <c r="Y29" s="13" t="s">
        <v>31</v>
      </c>
      <c r="Z29" s="20" t="s">
        <v>338</v>
      </c>
      <c r="AA29" s="130">
        <v>231.5</v>
      </c>
      <c r="AB29" s="154">
        <v>224.5</v>
      </c>
      <c r="AC29" s="130">
        <v>3010.5</v>
      </c>
      <c r="AD29" s="130">
        <v>92</v>
      </c>
      <c r="AE29" s="130">
        <v>115</v>
      </c>
      <c r="AF29" s="130">
        <v>0</v>
      </c>
      <c r="AG29" s="130">
        <v>0</v>
      </c>
      <c r="AH29" s="154">
        <v>0</v>
      </c>
      <c r="AI29" s="130">
        <v>3211</v>
      </c>
    </row>
    <row r="30" spans="1:35" ht="12" customHeight="1">
      <c r="A30" s="13"/>
      <c r="B30" s="20" t="s">
        <v>348</v>
      </c>
      <c r="C30" s="312">
        <v>36682.5</v>
      </c>
      <c r="D30" s="154">
        <v>15</v>
      </c>
      <c r="E30" s="154">
        <v>20284</v>
      </c>
      <c r="F30" s="154">
        <v>1512.5</v>
      </c>
      <c r="G30" s="154">
        <v>0</v>
      </c>
      <c r="H30" s="154">
        <v>36</v>
      </c>
      <c r="I30" s="154">
        <v>5</v>
      </c>
      <c r="J30" s="130">
        <v>302</v>
      </c>
      <c r="K30" s="130">
        <v>0</v>
      </c>
      <c r="L30" s="130">
        <v>24</v>
      </c>
      <c r="M30" s="13"/>
      <c r="N30" s="20" t="s">
        <v>348</v>
      </c>
      <c r="O30" s="130">
        <v>991</v>
      </c>
      <c r="P30" s="130">
        <v>895.5</v>
      </c>
      <c r="Q30" s="130">
        <v>2</v>
      </c>
      <c r="R30" s="130">
        <v>0</v>
      </c>
      <c r="S30" s="130">
        <v>1598</v>
      </c>
      <c r="T30" s="154">
        <v>3445.5</v>
      </c>
      <c r="U30" s="154">
        <v>364</v>
      </c>
      <c r="V30" s="130">
        <v>972</v>
      </c>
      <c r="W30" s="154">
        <v>0</v>
      </c>
      <c r="X30" s="130">
        <v>4</v>
      </c>
      <c r="Y30" s="13"/>
      <c r="Z30" s="20" t="s">
        <v>348</v>
      </c>
      <c r="AA30" s="130">
        <v>430.5</v>
      </c>
      <c r="AB30" s="154">
        <v>371</v>
      </c>
      <c r="AC30" s="130">
        <v>2764</v>
      </c>
      <c r="AD30" s="130">
        <v>0</v>
      </c>
      <c r="AE30" s="130">
        <v>97.5</v>
      </c>
      <c r="AF30" s="130">
        <v>0</v>
      </c>
      <c r="AG30" s="130">
        <v>0</v>
      </c>
      <c r="AH30" s="154">
        <v>0</v>
      </c>
      <c r="AI30" s="130">
        <v>2569</v>
      </c>
    </row>
    <row r="31" spans="1:35" ht="12" customHeight="1">
      <c r="A31" s="13" t="s">
        <v>156</v>
      </c>
      <c r="B31" s="20" t="s">
        <v>338</v>
      </c>
      <c r="C31" s="312">
        <v>93032</v>
      </c>
      <c r="D31" s="154">
        <v>3053</v>
      </c>
      <c r="E31" s="154">
        <v>5979</v>
      </c>
      <c r="F31" s="154">
        <v>15065</v>
      </c>
      <c r="G31" s="154">
        <v>624</v>
      </c>
      <c r="H31" s="154">
        <v>8750</v>
      </c>
      <c r="I31" s="154">
        <v>2222</v>
      </c>
      <c r="J31" s="130">
        <v>203</v>
      </c>
      <c r="K31" s="130">
        <v>0</v>
      </c>
      <c r="L31" s="130">
        <v>0</v>
      </c>
      <c r="M31" s="13" t="s">
        <v>156</v>
      </c>
      <c r="N31" s="20" t="s">
        <v>338</v>
      </c>
      <c r="O31" s="130">
        <v>5</v>
      </c>
      <c r="P31" s="130">
        <v>189</v>
      </c>
      <c r="Q31" s="130">
        <v>984</v>
      </c>
      <c r="R31" s="130">
        <v>469</v>
      </c>
      <c r="S31" s="130">
        <v>178</v>
      </c>
      <c r="T31" s="154">
        <v>24277</v>
      </c>
      <c r="U31" s="154">
        <v>8679</v>
      </c>
      <c r="V31" s="130">
        <v>0</v>
      </c>
      <c r="W31" s="154">
        <v>574</v>
      </c>
      <c r="X31" s="130">
        <v>2495</v>
      </c>
      <c r="Y31" s="13" t="s">
        <v>156</v>
      </c>
      <c r="Z31" s="20" t="s">
        <v>338</v>
      </c>
      <c r="AA31" s="130">
        <v>0</v>
      </c>
      <c r="AB31" s="154">
        <v>4310</v>
      </c>
      <c r="AC31" s="130">
        <v>0</v>
      </c>
      <c r="AD31" s="130">
        <v>4326</v>
      </c>
      <c r="AE31" s="130">
        <v>4906</v>
      </c>
      <c r="AF31" s="130">
        <v>0</v>
      </c>
      <c r="AG31" s="130">
        <v>456</v>
      </c>
      <c r="AH31" s="154">
        <v>5288</v>
      </c>
      <c r="AI31" s="130">
        <v>0</v>
      </c>
    </row>
    <row r="32" spans="1:35" ht="12" customHeight="1">
      <c r="A32" s="13"/>
      <c r="B32" s="20" t="s">
        <v>348</v>
      </c>
      <c r="C32" s="312">
        <v>90236</v>
      </c>
      <c r="D32" s="154">
        <v>2840</v>
      </c>
      <c r="E32" s="154">
        <v>6196</v>
      </c>
      <c r="F32" s="154">
        <v>13372</v>
      </c>
      <c r="G32" s="154">
        <v>528</v>
      </c>
      <c r="H32" s="154">
        <v>8941</v>
      </c>
      <c r="I32" s="154">
        <v>2495</v>
      </c>
      <c r="J32" s="130">
        <v>239</v>
      </c>
      <c r="K32" s="130">
        <v>0</v>
      </c>
      <c r="L32" s="130">
        <v>0</v>
      </c>
      <c r="M32" s="13"/>
      <c r="N32" s="20" t="s">
        <v>348</v>
      </c>
      <c r="O32" s="130">
        <v>10</v>
      </c>
      <c r="P32" s="130">
        <v>193</v>
      </c>
      <c r="Q32" s="130">
        <v>948</v>
      </c>
      <c r="R32" s="130">
        <v>478</v>
      </c>
      <c r="S32" s="130">
        <v>152</v>
      </c>
      <c r="T32" s="154">
        <v>22905</v>
      </c>
      <c r="U32" s="154">
        <v>8843</v>
      </c>
      <c r="V32" s="130">
        <v>0</v>
      </c>
      <c r="W32" s="154">
        <v>570</v>
      </c>
      <c r="X32" s="130">
        <v>2359</v>
      </c>
      <c r="Y32" s="13"/>
      <c r="Z32" s="20" t="s">
        <v>348</v>
      </c>
      <c r="AA32" s="130">
        <v>0</v>
      </c>
      <c r="AB32" s="154">
        <v>3906</v>
      </c>
      <c r="AC32" s="130">
        <v>0</v>
      </c>
      <c r="AD32" s="130">
        <v>4027</v>
      </c>
      <c r="AE32" s="130">
        <v>4573</v>
      </c>
      <c r="AF32" s="130">
        <v>0</v>
      </c>
      <c r="AG32" s="130">
        <v>1076</v>
      </c>
      <c r="AH32" s="154">
        <v>5585</v>
      </c>
      <c r="AI32" s="130">
        <v>0</v>
      </c>
    </row>
    <row r="33" spans="1:35" ht="12" customHeight="1">
      <c r="A33" s="13" t="s">
        <v>32</v>
      </c>
      <c r="B33" s="20" t="s">
        <v>338</v>
      </c>
      <c r="C33" s="312">
        <v>169721.2</v>
      </c>
      <c r="D33" s="154">
        <v>29721</v>
      </c>
      <c r="E33" s="154">
        <v>12794.7</v>
      </c>
      <c r="F33" s="154">
        <v>15447</v>
      </c>
      <c r="G33" s="154">
        <v>31425</v>
      </c>
      <c r="H33" s="154">
        <v>26307</v>
      </c>
      <c r="I33" s="154">
        <v>972</v>
      </c>
      <c r="J33" s="130">
        <v>225.5</v>
      </c>
      <c r="K33" s="130">
        <v>0</v>
      </c>
      <c r="L33" s="130">
        <v>382</v>
      </c>
      <c r="M33" s="13" t="s">
        <v>32</v>
      </c>
      <c r="N33" s="20" t="s">
        <v>338</v>
      </c>
      <c r="O33" s="130">
        <v>168.5</v>
      </c>
      <c r="P33" s="130">
        <v>498</v>
      </c>
      <c r="Q33" s="130">
        <v>404.5</v>
      </c>
      <c r="R33" s="130">
        <v>181</v>
      </c>
      <c r="S33" s="130">
        <v>572</v>
      </c>
      <c r="T33" s="154">
        <v>24655</v>
      </c>
      <c r="U33" s="154">
        <v>1152</v>
      </c>
      <c r="V33" s="130">
        <v>309</v>
      </c>
      <c r="W33" s="154">
        <v>962</v>
      </c>
      <c r="X33" s="130">
        <v>1482</v>
      </c>
      <c r="Y33" s="13" t="s">
        <v>32</v>
      </c>
      <c r="Z33" s="20" t="s">
        <v>338</v>
      </c>
      <c r="AA33" s="130">
        <v>87.5</v>
      </c>
      <c r="AB33" s="154">
        <v>2404</v>
      </c>
      <c r="AC33" s="130">
        <v>28</v>
      </c>
      <c r="AD33" s="130">
        <v>5081</v>
      </c>
      <c r="AE33" s="130">
        <v>10259.5</v>
      </c>
      <c r="AF33" s="130">
        <v>2608.5</v>
      </c>
      <c r="AG33" s="130">
        <v>90</v>
      </c>
      <c r="AH33" s="154">
        <v>1504.5</v>
      </c>
      <c r="AI33" s="130">
        <v>0</v>
      </c>
    </row>
    <row r="34" spans="1:35" ht="12" customHeight="1">
      <c r="A34" s="13"/>
      <c r="B34" s="20" t="s">
        <v>348</v>
      </c>
      <c r="C34" s="312">
        <v>167518.6</v>
      </c>
      <c r="D34" s="154">
        <v>30670</v>
      </c>
      <c r="E34" s="154">
        <v>12263.1</v>
      </c>
      <c r="F34" s="154">
        <v>15465</v>
      </c>
      <c r="G34" s="154">
        <v>26723</v>
      </c>
      <c r="H34" s="154">
        <v>27352.5</v>
      </c>
      <c r="I34" s="154">
        <v>1018.5</v>
      </c>
      <c r="J34" s="130">
        <v>180</v>
      </c>
      <c r="K34" s="130">
        <v>15</v>
      </c>
      <c r="L34" s="130">
        <v>62</v>
      </c>
      <c r="M34" s="13"/>
      <c r="N34" s="20" t="s">
        <v>348</v>
      </c>
      <c r="O34" s="130">
        <v>213</v>
      </c>
      <c r="P34" s="130">
        <v>478</v>
      </c>
      <c r="Q34" s="130">
        <v>435</v>
      </c>
      <c r="R34" s="130">
        <v>183</v>
      </c>
      <c r="S34" s="130">
        <v>668</v>
      </c>
      <c r="T34" s="154">
        <v>25343.5</v>
      </c>
      <c r="U34" s="154">
        <v>1068.5</v>
      </c>
      <c r="V34" s="130">
        <v>333</v>
      </c>
      <c r="W34" s="154">
        <v>924.5</v>
      </c>
      <c r="X34" s="130">
        <v>1623</v>
      </c>
      <c r="Y34" s="13"/>
      <c r="Z34" s="20" t="s">
        <v>348</v>
      </c>
      <c r="AA34" s="130">
        <v>48</v>
      </c>
      <c r="AB34" s="154">
        <v>2456</v>
      </c>
      <c r="AC34" s="130">
        <v>0</v>
      </c>
      <c r="AD34" s="130">
        <v>5186.5</v>
      </c>
      <c r="AE34" s="130">
        <v>10396</v>
      </c>
      <c r="AF34" s="130">
        <v>2830.5</v>
      </c>
      <c r="AG34" s="130">
        <v>72</v>
      </c>
      <c r="AH34" s="154">
        <v>1511</v>
      </c>
      <c r="AI34" s="130">
        <v>0</v>
      </c>
    </row>
    <row r="35" spans="1:35" ht="12" customHeight="1">
      <c r="A35" s="13" t="s">
        <v>33</v>
      </c>
      <c r="B35" s="20" t="s">
        <v>338</v>
      </c>
      <c r="C35" s="312">
        <v>80101</v>
      </c>
      <c r="D35" s="154">
        <v>1363</v>
      </c>
      <c r="E35" s="154">
        <v>11794</v>
      </c>
      <c r="F35" s="154">
        <v>4652</v>
      </c>
      <c r="G35" s="154">
        <v>50155</v>
      </c>
      <c r="H35" s="154">
        <v>80</v>
      </c>
      <c r="I35" s="154">
        <v>15</v>
      </c>
      <c r="J35" s="130">
        <v>30</v>
      </c>
      <c r="K35" s="130">
        <v>307</v>
      </c>
      <c r="L35" s="130">
        <v>415</v>
      </c>
      <c r="M35" s="13" t="s">
        <v>33</v>
      </c>
      <c r="N35" s="20" t="s">
        <v>338</v>
      </c>
      <c r="O35" s="130">
        <v>173</v>
      </c>
      <c r="P35" s="130">
        <v>53</v>
      </c>
      <c r="Q35" s="130">
        <v>73</v>
      </c>
      <c r="R35" s="130">
        <v>0</v>
      </c>
      <c r="S35" s="130">
        <v>487</v>
      </c>
      <c r="T35" s="154">
        <v>590</v>
      </c>
      <c r="U35" s="154">
        <v>785</v>
      </c>
      <c r="V35" s="130">
        <v>2029</v>
      </c>
      <c r="W35" s="154">
        <v>80</v>
      </c>
      <c r="X35" s="130">
        <v>227</v>
      </c>
      <c r="Y35" s="13" t="s">
        <v>33</v>
      </c>
      <c r="Z35" s="20" t="s">
        <v>338</v>
      </c>
      <c r="AA35" s="130">
        <v>150</v>
      </c>
      <c r="AB35" s="154">
        <v>328</v>
      </c>
      <c r="AC35" s="130">
        <v>2539</v>
      </c>
      <c r="AD35" s="130">
        <v>335</v>
      </c>
      <c r="AE35" s="130">
        <v>1200</v>
      </c>
      <c r="AF35" s="130">
        <v>1511</v>
      </c>
      <c r="AG35" s="130">
        <v>0</v>
      </c>
      <c r="AH35" s="154">
        <v>0</v>
      </c>
      <c r="AI35" s="130">
        <v>730</v>
      </c>
    </row>
    <row r="36" spans="1:35" ht="12" customHeight="1">
      <c r="A36" s="13"/>
      <c r="B36" s="20" t="s">
        <v>348</v>
      </c>
      <c r="C36" s="312">
        <v>74540</v>
      </c>
      <c r="D36" s="154">
        <v>1110</v>
      </c>
      <c r="E36" s="154">
        <v>13681</v>
      </c>
      <c r="F36" s="154">
        <v>2575</v>
      </c>
      <c r="G36" s="154">
        <v>50186</v>
      </c>
      <c r="H36" s="154">
        <v>60</v>
      </c>
      <c r="I36" s="154">
        <v>0</v>
      </c>
      <c r="J36" s="130">
        <v>0</v>
      </c>
      <c r="K36" s="130">
        <v>10</v>
      </c>
      <c r="L36" s="130">
        <v>7</v>
      </c>
      <c r="M36" s="13"/>
      <c r="N36" s="20" t="s">
        <v>348</v>
      </c>
      <c r="O36" s="130">
        <v>74</v>
      </c>
      <c r="P36" s="130">
        <v>38</v>
      </c>
      <c r="Q36" s="130">
        <v>57</v>
      </c>
      <c r="R36" s="130">
        <v>0</v>
      </c>
      <c r="S36" s="130">
        <v>219</v>
      </c>
      <c r="T36" s="154">
        <v>567</v>
      </c>
      <c r="U36" s="154">
        <v>551</v>
      </c>
      <c r="V36" s="130">
        <v>1446</v>
      </c>
      <c r="W36" s="154">
        <v>0</v>
      </c>
      <c r="X36" s="130">
        <v>380</v>
      </c>
      <c r="Y36" s="13"/>
      <c r="Z36" s="20" t="s">
        <v>348</v>
      </c>
      <c r="AA36" s="130">
        <v>7</v>
      </c>
      <c r="AB36" s="154">
        <v>496</v>
      </c>
      <c r="AC36" s="130">
        <v>374</v>
      </c>
      <c r="AD36" s="130">
        <v>155</v>
      </c>
      <c r="AE36" s="130">
        <v>826</v>
      </c>
      <c r="AF36" s="130">
        <v>1368</v>
      </c>
      <c r="AG36" s="130">
        <v>0</v>
      </c>
      <c r="AH36" s="154">
        <v>0</v>
      </c>
      <c r="AI36" s="130">
        <v>353</v>
      </c>
    </row>
    <row r="37" spans="1:35" ht="12" customHeight="1">
      <c r="A37" s="13" t="s">
        <v>34</v>
      </c>
      <c r="B37" s="20" t="s">
        <v>338</v>
      </c>
      <c r="C37" s="312">
        <v>44547.1</v>
      </c>
      <c r="D37" s="154">
        <v>199.3</v>
      </c>
      <c r="E37" s="154">
        <v>12519</v>
      </c>
      <c r="F37" s="154">
        <v>2526.8000000000002</v>
      </c>
      <c r="G37" s="154">
        <v>0</v>
      </c>
      <c r="H37" s="154">
        <v>151.5</v>
      </c>
      <c r="I37" s="154">
        <v>6</v>
      </c>
      <c r="J37" s="130">
        <v>706.5</v>
      </c>
      <c r="K37" s="130">
        <v>2</v>
      </c>
      <c r="L37" s="130">
        <v>412</v>
      </c>
      <c r="M37" s="13" t="s">
        <v>34</v>
      </c>
      <c r="N37" s="20" t="s">
        <v>338</v>
      </c>
      <c r="O37" s="130">
        <v>754.5</v>
      </c>
      <c r="P37" s="130">
        <v>357.5</v>
      </c>
      <c r="Q37" s="130">
        <v>1417</v>
      </c>
      <c r="R37" s="130">
        <v>941.5</v>
      </c>
      <c r="S37" s="130">
        <v>559.5</v>
      </c>
      <c r="T37" s="154">
        <v>3959.25</v>
      </c>
      <c r="U37" s="154">
        <v>843</v>
      </c>
      <c r="V37" s="130">
        <v>5150</v>
      </c>
      <c r="W37" s="154">
        <v>62.4</v>
      </c>
      <c r="X37" s="130">
        <v>179.85</v>
      </c>
      <c r="Y37" s="13" t="s">
        <v>34</v>
      </c>
      <c r="Z37" s="20" t="s">
        <v>338</v>
      </c>
      <c r="AA37" s="130">
        <v>1516</v>
      </c>
      <c r="AB37" s="154">
        <v>1341</v>
      </c>
      <c r="AC37" s="130">
        <v>256</v>
      </c>
      <c r="AD37" s="130">
        <v>499</v>
      </c>
      <c r="AE37" s="130">
        <v>639.5</v>
      </c>
      <c r="AF37" s="130">
        <v>9162</v>
      </c>
      <c r="AG37" s="130">
        <v>0</v>
      </c>
      <c r="AH37" s="154">
        <v>3</v>
      </c>
      <c r="AI37" s="130">
        <v>383</v>
      </c>
    </row>
    <row r="38" spans="1:35" ht="12" customHeight="1">
      <c r="A38" s="13"/>
      <c r="B38" s="20" t="s">
        <v>348</v>
      </c>
      <c r="C38" s="312">
        <v>48022.899999999994</v>
      </c>
      <c r="D38" s="154">
        <v>193</v>
      </c>
      <c r="E38" s="154">
        <v>15342</v>
      </c>
      <c r="F38" s="154">
        <v>2644.5</v>
      </c>
      <c r="G38" s="154">
        <v>1</v>
      </c>
      <c r="H38" s="154">
        <v>178.5</v>
      </c>
      <c r="I38" s="154">
        <v>0</v>
      </c>
      <c r="J38" s="130">
        <v>693.5</v>
      </c>
      <c r="K38" s="130">
        <v>0</v>
      </c>
      <c r="L38" s="130">
        <v>546.5</v>
      </c>
      <c r="M38" s="13"/>
      <c r="N38" s="20" t="s">
        <v>348</v>
      </c>
      <c r="O38" s="130">
        <v>902</v>
      </c>
      <c r="P38" s="130">
        <v>371.5</v>
      </c>
      <c r="Q38" s="130">
        <v>1800.2</v>
      </c>
      <c r="R38" s="130">
        <v>1155.5</v>
      </c>
      <c r="S38" s="130">
        <v>624</v>
      </c>
      <c r="T38" s="154">
        <v>4999</v>
      </c>
      <c r="U38" s="154">
        <v>716</v>
      </c>
      <c r="V38" s="130">
        <v>3123.5</v>
      </c>
      <c r="W38" s="154">
        <v>55</v>
      </c>
      <c r="X38" s="130">
        <v>194.7</v>
      </c>
      <c r="Y38" s="13"/>
      <c r="Z38" s="20" t="s">
        <v>348</v>
      </c>
      <c r="AA38" s="130">
        <v>1438</v>
      </c>
      <c r="AB38" s="154">
        <v>1334</v>
      </c>
      <c r="AC38" s="130">
        <v>231.5</v>
      </c>
      <c r="AD38" s="130">
        <v>558.29999999999995</v>
      </c>
      <c r="AE38" s="130">
        <v>635.20000000000005</v>
      </c>
      <c r="AF38" s="130">
        <v>10101.5</v>
      </c>
      <c r="AG38" s="130">
        <v>0</v>
      </c>
      <c r="AH38" s="154">
        <v>0</v>
      </c>
      <c r="AI38" s="130">
        <v>184</v>
      </c>
    </row>
    <row r="39" spans="1:35" ht="12" customHeight="1">
      <c r="A39" s="13" t="s">
        <v>292</v>
      </c>
      <c r="B39" s="20" t="s">
        <v>338</v>
      </c>
      <c r="C39" s="312">
        <v>2027</v>
      </c>
      <c r="D39" s="154">
        <v>0</v>
      </c>
      <c r="E39" s="154">
        <v>7</v>
      </c>
      <c r="F39" s="154">
        <v>57</v>
      </c>
      <c r="G39" s="154">
        <v>0</v>
      </c>
      <c r="H39" s="154">
        <v>4</v>
      </c>
      <c r="I39" s="154">
        <v>1</v>
      </c>
      <c r="J39" s="130">
        <v>216</v>
      </c>
      <c r="K39" s="130">
        <v>0</v>
      </c>
      <c r="L39" s="130">
        <v>94</v>
      </c>
      <c r="M39" s="13" t="s">
        <v>292</v>
      </c>
      <c r="N39" s="20" t="s">
        <v>338</v>
      </c>
      <c r="O39" s="130">
        <v>60</v>
      </c>
      <c r="P39" s="130">
        <v>15</v>
      </c>
      <c r="Q39" s="130">
        <v>1</v>
      </c>
      <c r="R39" s="130">
        <v>20</v>
      </c>
      <c r="S39" s="130">
        <v>175</v>
      </c>
      <c r="T39" s="154">
        <v>51</v>
      </c>
      <c r="U39" s="154">
        <v>17</v>
      </c>
      <c r="V39" s="130">
        <v>195</v>
      </c>
      <c r="W39" s="154">
        <v>0</v>
      </c>
      <c r="X39" s="130">
        <v>0</v>
      </c>
      <c r="Y39" s="13" t="s">
        <v>292</v>
      </c>
      <c r="Z39" s="20" t="s">
        <v>338</v>
      </c>
      <c r="AA39" s="130">
        <v>0</v>
      </c>
      <c r="AB39" s="154">
        <v>51</v>
      </c>
      <c r="AC39" s="130">
        <v>0</v>
      </c>
      <c r="AD39" s="130">
        <v>0</v>
      </c>
      <c r="AE39" s="130">
        <v>24</v>
      </c>
      <c r="AF39" s="130">
        <v>1036</v>
      </c>
      <c r="AG39" s="130">
        <v>0</v>
      </c>
      <c r="AH39" s="154">
        <v>0</v>
      </c>
      <c r="AI39" s="130">
        <v>3</v>
      </c>
    </row>
    <row r="40" spans="1:35" ht="12" customHeight="1">
      <c r="A40" s="13"/>
      <c r="B40" s="20" t="s">
        <v>348</v>
      </c>
      <c r="C40" s="312">
        <v>2071</v>
      </c>
      <c r="D40" s="154">
        <v>2</v>
      </c>
      <c r="E40" s="154">
        <v>21</v>
      </c>
      <c r="F40" s="154">
        <v>42</v>
      </c>
      <c r="G40" s="154">
        <v>0</v>
      </c>
      <c r="H40" s="154">
        <v>5</v>
      </c>
      <c r="I40" s="154">
        <v>3</v>
      </c>
      <c r="J40" s="130">
        <v>238</v>
      </c>
      <c r="K40" s="130">
        <v>0</v>
      </c>
      <c r="L40" s="130">
        <v>58</v>
      </c>
      <c r="M40" s="13"/>
      <c r="N40" s="20" t="s">
        <v>348</v>
      </c>
      <c r="O40" s="130">
        <v>58</v>
      </c>
      <c r="P40" s="130">
        <v>26</v>
      </c>
      <c r="Q40" s="130">
        <v>11</v>
      </c>
      <c r="R40" s="130">
        <v>18</v>
      </c>
      <c r="S40" s="130">
        <v>154</v>
      </c>
      <c r="T40" s="154">
        <v>38</v>
      </c>
      <c r="U40" s="154">
        <v>15</v>
      </c>
      <c r="V40" s="130">
        <v>259</v>
      </c>
      <c r="W40" s="154">
        <v>0</v>
      </c>
      <c r="X40" s="130">
        <v>0</v>
      </c>
      <c r="Y40" s="13"/>
      <c r="Z40" s="20" t="s">
        <v>348</v>
      </c>
      <c r="AA40" s="130">
        <v>0</v>
      </c>
      <c r="AB40" s="154">
        <v>30</v>
      </c>
      <c r="AC40" s="130">
        <v>0</v>
      </c>
      <c r="AD40" s="130">
        <v>1</v>
      </c>
      <c r="AE40" s="130">
        <v>35</v>
      </c>
      <c r="AF40" s="130">
        <v>1054</v>
      </c>
      <c r="AG40" s="130">
        <v>0</v>
      </c>
      <c r="AH40" s="154">
        <v>0</v>
      </c>
      <c r="AI40" s="130">
        <v>3</v>
      </c>
    </row>
    <row r="41" spans="1:35" ht="12" customHeight="1">
      <c r="A41" s="13" t="s">
        <v>35</v>
      </c>
      <c r="B41" s="20" t="s">
        <v>338</v>
      </c>
      <c r="C41" s="312">
        <v>107685</v>
      </c>
      <c r="D41" s="154">
        <v>0</v>
      </c>
      <c r="E41" s="154">
        <v>33733</v>
      </c>
      <c r="F41" s="154">
        <v>0</v>
      </c>
      <c r="G41" s="154">
        <v>27085</v>
      </c>
      <c r="H41" s="154">
        <v>0</v>
      </c>
      <c r="I41" s="154">
        <v>0</v>
      </c>
      <c r="J41" s="130">
        <v>361</v>
      </c>
      <c r="K41" s="130">
        <v>0</v>
      </c>
      <c r="L41" s="130">
        <v>0</v>
      </c>
      <c r="M41" s="13" t="s">
        <v>35</v>
      </c>
      <c r="N41" s="20" t="s">
        <v>338</v>
      </c>
      <c r="O41" s="130">
        <v>221</v>
      </c>
      <c r="P41" s="130">
        <v>178</v>
      </c>
      <c r="Q41" s="130">
        <v>0</v>
      </c>
      <c r="R41" s="130">
        <v>0</v>
      </c>
      <c r="S41" s="130">
        <v>0</v>
      </c>
      <c r="T41" s="154">
        <v>0</v>
      </c>
      <c r="U41" s="154">
        <v>42735</v>
      </c>
      <c r="V41" s="130">
        <v>0</v>
      </c>
      <c r="W41" s="154">
        <v>0</v>
      </c>
      <c r="X41" s="130">
        <v>0</v>
      </c>
      <c r="Y41" s="13" t="s">
        <v>35</v>
      </c>
      <c r="Z41" s="20" t="s">
        <v>338</v>
      </c>
      <c r="AA41" s="130">
        <v>0</v>
      </c>
      <c r="AB41" s="154">
        <v>3372</v>
      </c>
      <c r="AC41" s="130">
        <v>0</v>
      </c>
      <c r="AD41" s="130">
        <v>0</v>
      </c>
      <c r="AE41" s="130">
        <v>0</v>
      </c>
      <c r="AF41" s="130">
        <v>0</v>
      </c>
      <c r="AG41" s="130">
        <v>0</v>
      </c>
      <c r="AH41" s="154">
        <v>0</v>
      </c>
      <c r="AI41" s="130">
        <v>0</v>
      </c>
    </row>
    <row r="42" spans="1:35" ht="12" customHeight="1">
      <c r="A42" s="13"/>
      <c r="B42" s="20" t="s">
        <v>348</v>
      </c>
      <c r="C42" s="312">
        <v>109751</v>
      </c>
      <c r="D42" s="154">
        <v>0</v>
      </c>
      <c r="E42" s="154">
        <v>33682</v>
      </c>
      <c r="F42" s="154">
        <v>0</v>
      </c>
      <c r="G42" s="154">
        <v>27855</v>
      </c>
      <c r="H42" s="154">
        <v>0</v>
      </c>
      <c r="I42" s="154">
        <v>0</v>
      </c>
      <c r="J42" s="130">
        <v>357</v>
      </c>
      <c r="K42" s="130">
        <v>0</v>
      </c>
      <c r="L42" s="130">
        <v>0</v>
      </c>
      <c r="M42" s="13"/>
      <c r="N42" s="20" t="s">
        <v>348</v>
      </c>
      <c r="O42" s="130">
        <v>253</v>
      </c>
      <c r="P42" s="130">
        <v>196</v>
      </c>
      <c r="Q42" s="130">
        <v>0</v>
      </c>
      <c r="R42" s="130">
        <v>0</v>
      </c>
      <c r="S42" s="130">
        <v>0</v>
      </c>
      <c r="T42" s="154">
        <v>0</v>
      </c>
      <c r="U42" s="154">
        <v>43964</v>
      </c>
      <c r="V42" s="130">
        <v>0</v>
      </c>
      <c r="W42" s="154">
        <v>0</v>
      </c>
      <c r="X42" s="130">
        <v>0</v>
      </c>
      <c r="Y42" s="13"/>
      <c r="Z42" s="20" t="s">
        <v>348</v>
      </c>
      <c r="AA42" s="130">
        <v>0</v>
      </c>
      <c r="AB42" s="154">
        <v>3444</v>
      </c>
      <c r="AC42" s="130">
        <v>0</v>
      </c>
      <c r="AD42" s="130">
        <v>0</v>
      </c>
      <c r="AE42" s="130">
        <v>0</v>
      </c>
      <c r="AF42" s="130">
        <v>0</v>
      </c>
      <c r="AG42" s="130">
        <v>0</v>
      </c>
      <c r="AH42" s="154">
        <v>0</v>
      </c>
      <c r="AI42" s="130">
        <v>0</v>
      </c>
    </row>
    <row r="43" spans="1:35" ht="12" customHeight="1">
      <c r="A43" s="13" t="s">
        <v>54</v>
      </c>
      <c r="B43" s="20" t="s">
        <v>338</v>
      </c>
      <c r="C43" s="312">
        <v>10084.5</v>
      </c>
      <c r="D43" s="154">
        <v>0</v>
      </c>
      <c r="E43" s="154">
        <v>6768</v>
      </c>
      <c r="F43" s="154">
        <v>0</v>
      </c>
      <c r="G43" s="154">
        <v>1989</v>
      </c>
      <c r="H43" s="154">
        <v>0</v>
      </c>
      <c r="I43" s="154">
        <v>0</v>
      </c>
      <c r="J43" s="130">
        <v>0</v>
      </c>
      <c r="K43" s="130">
        <v>0</v>
      </c>
      <c r="L43" s="130">
        <v>0</v>
      </c>
      <c r="M43" s="13" t="s">
        <v>54</v>
      </c>
      <c r="N43" s="20" t="s">
        <v>338</v>
      </c>
      <c r="O43" s="130">
        <v>0</v>
      </c>
      <c r="P43" s="130">
        <v>0.5</v>
      </c>
      <c r="Q43" s="130">
        <v>0</v>
      </c>
      <c r="R43" s="130">
        <v>0</v>
      </c>
      <c r="S43" s="130">
        <v>0</v>
      </c>
      <c r="T43" s="154">
        <v>0</v>
      </c>
      <c r="U43" s="154">
        <v>1139</v>
      </c>
      <c r="V43" s="130">
        <v>58</v>
      </c>
      <c r="W43" s="154">
        <v>0</v>
      </c>
      <c r="X43" s="130">
        <v>0</v>
      </c>
      <c r="Y43" s="13" t="s">
        <v>54</v>
      </c>
      <c r="Z43" s="20" t="s">
        <v>338</v>
      </c>
      <c r="AA43" s="130">
        <v>0</v>
      </c>
      <c r="AB43" s="154">
        <v>130</v>
      </c>
      <c r="AC43" s="130">
        <v>0</v>
      </c>
      <c r="AD43" s="130">
        <v>0</v>
      </c>
      <c r="AE43" s="130">
        <v>0</v>
      </c>
      <c r="AF43" s="130">
        <v>0</v>
      </c>
      <c r="AG43" s="130">
        <v>0</v>
      </c>
      <c r="AH43" s="154">
        <v>0</v>
      </c>
      <c r="AI43" s="130">
        <v>0</v>
      </c>
    </row>
    <row r="44" spans="1:35" ht="12" customHeight="1">
      <c r="A44" s="13"/>
      <c r="B44" s="20" t="s">
        <v>348</v>
      </c>
      <c r="C44" s="312">
        <v>11806.5</v>
      </c>
      <c r="D44" s="154">
        <v>0</v>
      </c>
      <c r="E44" s="154">
        <v>7395</v>
      </c>
      <c r="F44" s="154">
        <v>0</v>
      </c>
      <c r="G44" s="154">
        <v>2416</v>
      </c>
      <c r="H44" s="154">
        <v>0</v>
      </c>
      <c r="I44" s="154">
        <v>0</v>
      </c>
      <c r="J44" s="130">
        <v>0</v>
      </c>
      <c r="K44" s="130">
        <v>0</v>
      </c>
      <c r="L44" s="130">
        <v>0</v>
      </c>
      <c r="M44" s="13"/>
      <c r="N44" s="20" t="s">
        <v>348</v>
      </c>
      <c r="O44" s="130">
        <v>1</v>
      </c>
      <c r="P44" s="130">
        <v>1</v>
      </c>
      <c r="Q44" s="130">
        <v>0</v>
      </c>
      <c r="R44" s="130">
        <v>0</v>
      </c>
      <c r="S44" s="130">
        <v>0</v>
      </c>
      <c r="T44" s="154">
        <v>0</v>
      </c>
      <c r="U44" s="154">
        <v>1824</v>
      </c>
      <c r="V44" s="130">
        <v>72.5</v>
      </c>
      <c r="W44" s="154">
        <v>0</v>
      </c>
      <c r="X44" s="130">
        <v>0</v>
      </c>
      <c r="Y44" s="13"/>
      <c r="Z44" s="20" t="s">
        <v>348</v>
      </c>
      <c r="AA44" s="130">
        <v>0</v>
      </c>
      <c r="AB44" s="154">
        <v>97</v>
      </c>
      <c r="AC44" s="130">
        <v>0</v>
      </c>
      <c r="AD44" s="130">
        <v>0</v>
      </c>
      <c r="AE44" s="130">
        <v>0</v>
      </c>
      <c r="AF44" s="130">
        <v>0</v>
      </c>
      <c r="AG44" s="130">
        <v>0</v>
      </c>
      <c r="AH44" s="154">
        <v>0</v>
      </c>
      <c r="AI44" s="130">
        <v>0</v>
      </c>
    </row>
    <row r="45" spans="1:35" ht="12" customHeight="1">
      <c r="A45" s="13" t="s">
        <v>64</v>
      </c>
      <c r="B45" s="20" t="s">
        <v>338</v>
      </c>
      <c r="C45" s="312">
        <v>1910</v>
      </c>
      <c r="D45" s="154">
        <v>49</v>
      </c>
      <c r="E45" s="154">
        <v>60</v>
      </c>
      <c r="F45" s="154">
        <v>649</v>
      </c>
      <c r="G45" s="154">
        <v>0</v>
      </c>
      <c r="H45" s="154">
        <v>107</v>
      </c>
      <c r="I45" s="154">
        <v>31</v>
      </c>
      <c r="J45" s="130">
        <v>1</v>
      </c>
      <c r="K45" s="130">
        <v>0</v>
      </c>
      <c r="L45" s="130">
        <v>0</v>
      </c>
      <c r="M45" s="13" t="s">
        <v>64</v>
      </c>
      <c r="N45" s="20" t="s">
        <v>338</v>
      </c>
      <c r="O45" s="130">
        <v>6</v>
      </c>
      <c r="P45" s="130">
        <v>59</v>
      </c>
      <c r="Q45" s="130">
        <v>13</v>
      </c>
      <c r="R45" s="130">
        <v>8</v>
      </c>
      <c r="S45" s="130">
        <v>55</v>
      </c>
      <c r="T45" s="154">
        <v>532</v>
      </c>
      <c r="U45" s="154">
        <v>0</v>
      </c>
      <c r="V45" s="130">
        <v>1</v>
      </c>
      <c r="W45" s="154">
        <v>20</v>
      </c>
      <c r="X45" s="130">
        <v>10</v>
      </c>
      <c r="Y45" s="13" t="s">
        <v>64</v>
      </c>
      <c r="Z45" s="20" t="s">
        <v>338</v>
      </c>
      <c r="AA45" s="130">
        <v>0</v>
      </c>
      <c r="AB45" s="154">
        <v>5</v>
      </c>
      <c r="AC45" s="130">
        <v>0</v>
      </c>
      <c r="AD45" s="130">
        <v>214</v>
      </c>
      <c r="AE45" s="130">
        <v>22</v>
      </c>
      <c r="AF45" s="130">
        <v>54</v>
      </c>
      <c r="AG45" s="130">
        <v>0</v>
      </c>
      <c r="AH45" s="154">
        <v>14</v>
      </c>
      <c r="AI45" s="130">
        <v>0</v>
      </c>
    </row>
    <row r="46" spans="1:35" ht="12" customHeight="1">
      <c r="A46" s="13"/>
      <c r="B46" s="20" t="s">
        <v>348</v>
      </c>
      <c r="C46" s="312">
        <v>2278</v>
      </c>
      <c r="D46" s="154">
        <v>67</v>
      </c>
      <c r="E46" s="154">
        <v>60</v>
      </c>
      <c r="F46" s="154">
        <v>713</v>
      </c>
      <c r="G46" s="154">
        <v>0</v>
      </c>
      <c r="H46" s="154">
        <v>165</v>
      </c>
      <c r="I46" s="154">
        <v>31</v>
      </c>
      <c r="J46" s="130">
        <v>2</v>
      </c>
      <c r="K46" s="130">
        <v>0</v>
      </c>
      <c r="L46" s="130">
        <v>0</v>
      </c>
      <c r="M46" s="13"/>
      <c r="N46" s="20" t="s">
        <v>348</v>
      </c>
      <c r="O46" s="130">
        <v>5</v>
      </c>
      <c r="P46" s="130">
        <v>69</v>
      </c>
      <c r="Q46" s="130">
        <v>13</v>
      </c>
      <c r="R46" s="130">
        <v>20</v>
      </c>
      <c r="S46" s="130">
        <v>79</v>
      </c>
      <c r="T46" s="154">
        <v>605</v>
      </c>
      <c r="U46" s="154">
        <v>0</v>
      </c>
      <c r="V46" s="130">
        <v>2</v>
      </c>
      <c r="W46" s="154">
        <v>21</v>
      </c>
      <c r="X46" s="130">
        <v>10</v>
      </c>
      <c r="Y46" s="13"/>
      <c r="Z46" s="20" t="s">
        <v>348</v>
      </c>
      <c r="AA46" s="130">
        <v>3</v>
      </c>
      <c r="AB46" s="154">
        <v>7</v>
      </c>
      <c r="AC46" s="130">
        <v>0</v>
      </c>
      <c r="AD46" s="130">
        <v>207</v>
      </c>
      <c r="AE46" s="130">
        <v>46</v>
      </c>
      <c r="AF46" s="130">
        <v>99</v>
      </c>
      <c r="AG46" s="130">
        <v>0</v>
      </c>
      <c r="AH46" s="154">
        <v>54</v>
      </c>
      <c r="AI46" s="130">
        <v>0</v>
      </c>
    </row>
    <row r="47" spans="1:35" ht="12" customHeight="1">
      <c r="A47" s="13" t="s">
        <v>36</v>
      </c>
      <c r="B47" s="20" t="s">
        <v>338</v>
      </c>
      <c r="C47" s="312">
        <v>23429.09</v>
      </c>
      <c r="D47" s="154">
        <v>160</v>
      </c>
      <c r="E47" s="154">
        <v>3020</v>
      </c>
      <c r="F47" s="154">
        <v>2316.33</v>
      </c>
      <c r="G47" s="154">
        <v>1053</v>
      </c>
      <c r="H47" s="154">
        <v>139</v>
      </c>
      <c r="I47" s="154">
        <v>0</v>
      </c>
      <c r="J47" s="130">
        <v>265</v>
      </c>
      <c r="K47" s="130">
        <v>0</v>
      </c>
      <c r="L47" s="130">
        <v>0</v>
      </c>
      <c r="M47" s="13" t="s">
        <v>36</v>
      </c>
      <c r="N47" s="20" t="s">
        <v>338</v>
      </c>
      <c r="O47" s="130">
        <v>0</v>
      </c>
      <c r="P47" s="130">
        <v>501</v>
      </c>
      <c r="Q47" s="130">
        <v>43</v>
      </c>
      <c r="R47" s="130">
        <v>8</v>
      </c>
      <c r="S47" s="130">
        <v>0</v>
      </c>
      <c r="T47" s="154">
        <v>8746.76</v>
      </c>
      <c r="U47" s="154">
        <v>3741</v>
      </c>
      <c r="V47" s="130">
        <v>0</v>
      </c>
      <c r="W47" s="154">
        <v>530</v>
      </c>
      <c r="X47" s="130">
        <v>675</v>
      </c>
      <c r="Y47" s="13" t="s">
        <v>36</v>
      </c>
      <c r="Z47" s="20" t="s">
        <v>338</v>
      </c>
      <c r="AA47" s="130">
        <v>0</v>
      </c>
      <c r="AB47" s="154">
        <v>540</v>
      </c>
      <c r="AC47" s="130">
        <v>0</v>
      </c>
      <c r="AD47" s="130">
        <v>750</v>
      </c>
      <c r="AE47" s="130">
        <v>812</v>
      </c>
      <c r="AF47" s="130">
        <v>0</v>
      </c>
      <c r="AG47" s="130">
        <v>0</v>
      </c>
      <c r="AH47" s="154">
        <v>129</v>
      </c>
      <c r="AI47" s="130">
        <v>0</v>
      </c>
    </row>
    <row r="48" spans="1:35" ht="12" customHeight="1">
      <c r="A48" s="13"/>
      <c r="B48" s="20" t="s">
        <v>348</v>
      </c>
      <c r="C48" s="312">
        <v>26084.5</v>
      </c>
      <c r="D48" s="154">
        <v>182</v>
      </c>
      <c r="E48" s="154">
        <v>3484</v>
      </c>
      <c r="F48" s="154">
        <v>2538</v>
      </c>
      <c r="G48" s="154">
        <v>1128</v>
      </c>
      <c r="H48" s="154">
        <v>160</v>
      </c>
      <c r="I48" s="154">
        <v>0</v>
      </c>
      <c r="J48" s="130">
        <v>313</v>
      </c>
      <c r="K48" s="130">
        <v>0</v>
      </c>
      <c r="L48" s="130">
        <v>0</v>
      </c>
      <c r="M48" s="13"/>
      <c r="N48" s="20" t="s">
        <v>348</v>
      </c>
      <c r="O48" s="130">
        <v>0</v>
      </c>
      <c r="P48" s="130">
        <v>521</v>
      </c>
      <c r="Q48" s="130">
        <v>52</v>
      </c>
      <c r="R48" s="130">
        <v>8</v>
      </c>
      <c r="S48" s="130">
        <v>0</v>
      </c>
      <c r="T48" s="154">
        <v>9610.5</v>
      </c>
      <c r="U48" s="154">
        <v>4005</v>
      </c>
      <c r="V48" s="130">
        <v>0</v>
      </c>
      <c r="W48" s="154">
        <v>674</v>
      </c>
      <c r="X48" s="130">
        <v>825</v>
      </c>
      <c r="Y48" s="13"/>
      <c r="Z48" s="20" t="s">
        <v>348</v>
      </c>
      <c r="AA48" s="130">
        <v>0</v>
      </c>
      <c r="AB48" s="154">
        <v>565</v>
      </c>
      <c r="AC48" s="130">
        <v>0</v>
      </c>
      <c r="AD48" s="130">
        <v>944</v>
      </c>
      <c r="AE48" s="130">
        <v>937</v>
      </c>
      <c r="AF48" s="130">
        <v>0</v>
      </c>
      <c r="AG48" s="130">
        <v>0</v>
      </c>
      <c r="AH48" s="154">
        <v>138</v>
      </c>
      <c r="AI48" s="130">
        <v>0</v>
      </c>
    </row>
    <row r="49" spans="1:35" ht="12" customHeight="1">
      <c r="A49" s="13" t="s">
        <v>37</v>
      </c>
      <c r="B49" s="20" t="s">
        <v>338</v>
      </c>
      <c r="C49" s="312">
        <v>107208</v>
      </c>
      <c r="D49" s="154">
        <v>10130</v>
      </c>
      <c r="E49" s="154">
        <v>11854</v>
      </c>
      <c r="F49" s="154">
        <v>14738</v>
      </c>
      <c r="G49" s="154">
        <v>53296</v>
      </c>
      <c r="H49" s="154">
        <v>392</v>
      </c>
      <c r="I49" s="154">
        <v>2</v>
      </c>
      <c r="J49" s="130">
        <v>0</v>
      </c>
      <c r="K49" s="130">
        <v>187</v>
      </c>
      <c r="L49" s="130">
        <v>0</v>
      </c>
      <c r="M49" s="13" t="s">
        <v>37</v>
      </c>
      <c r="N49" s="20" t="s">
        <v>338</v>
      </c>
      <c r="O49" s="130">
        <v>87</v>
      </c>
      <c r="P49" s="130">
        <v>0</v>
      </c>
      <c r="Q49" s="130">
        <v>145</v>
      </c>
      <c r="R49" s="130">
        <v>101</v>
      </c>
      <c r="S49" s="130">
        <v>196</v>
      </c>
      <c r="T49" s="154">
        <v>2406</v>
      </c>
      <c r="U49" s="154">
        <v>1177</v>
      </c>
      <c r="V49" s="130">
        <v>844</v>
      </c>
      <c r="W49" s="154">
        <v>492</v>
      </c>
      <c r="X49" s="130">
        <v>373</v>
      </c>
      <c r="Y49" s="13" t="s">
        <v>37</v>
      </c>
      <c r="Z49" s="20" t="s">
        <v>338</v>
      </c>
      <c r="AA49" s="130">
        <v>990</v>
      </c>
      <c r="AB49" s="154">
        <v>4005</v>
      </c>
      <c r="AC49" s="130">
        <v>0</v>
      </c>
      <c r="AD49" s="130">
        <v>493</v>
      </c>
      <c r="AE49" s="130">
        <v>4782</v>
      </c>
      <c r="AF49" s="130">
        <v>0</v>
      </c>
      <c r="AG49" s="130">
        <v>0</v>
      </c>
      <c r="AH49" s="154">
        <v>0</v>
      </c>
      <c r="AI49" s="130">
        <v>518</v>
      </c>
    </row>
    <row r="50" spans="1:35" ht="12" customHeight="1">
      <c r="A50" s="13"/>
      <c r="B50" s="20" t="s">
        <v>348</v>
      </c>
      <c r="C50" s="312">
        <v>112833</v>
      </c>
      <c r="D50" s="154">
        <v>10375</v>
      </c>
      <c r="E50" s="154">
        <v>16293</v>
      </c>
      <c r="F50" s="154">
        <v>14697</v>
      </c>
      <c r="G50" s="154">
        <v>52907</v>
      </c>
      <c r="H50" s="154">
        <v>397</v>
      </c>
      <c r="I50" s="154">
        <v>0</v>
      </c>
      <c r="J50" s="130">
        <v>0</v>
      </c>
      <c r="K50" s="130">
        <v>868</v>
      </c>
      <c r="L50" s="130">
        <v>0</v>
      </c>
      <c r="M50" s="13"/>
      <c r="N50" s="20" t="s">
        <v>348</v>
      </c>
      <c r="O50" s="130">
        <v>88</v>
      </c>
      <c r="P50" s="130">
        <v>40</v>
      </c>
      <c r="Q50" s="130">
        <v>154</v>
      </c>
      <c r="R50" s="130">
        <v>75</v>
      </c>
      <c r="S50" s="130">
        <v>207</v>
      </c>
      <c r="T50" s="154">
        <v>2117</v>
      </c>
      <c r="U50" s="154">
        <v>868</v>
      </c>
      <c r="V50" s="130">
        <v>595</v>
      </c>
      <c r="W50" s="154">
        <v>469</v>
      </c>
      <c r="X50" s="130">
        <v>409</v>
      </c>
      <c r="Y50" s="13"/>
      <c r="Z50" s="20" t="s">
        <v>348</v>
      </c>
      <c r="AA50" s="130">
        <v>683</v>
      </c>
      <c r="AB50" s="154">
        <v>5377</v>
      </c>
      <c r="AC50" s="130">
        <v>0</v>
      </c>
      <c r="AD50" s="130">
        <v>651</v>
      </c>
      <c r="AE50" s="130">
        <v>4958</v>
      </c>
      <c r="AF50" s="130">
        <v>0</v>
      </c>
      <c r="AG50" s="130">
        <v>0</v>
      </c>
      <c r="AH50" s="154">
        <v>0</v>
      </c>
      <c r="AI50" s="130">
        <v>605</v>
      </c>
    </row>
    <row r="51" spans="1:35" ht="12" customHeight="1">
      <c r="A51" s="13" t="s">
        <v>38</v>
      </c>
      <c r="B51" s="20" t="s">
        <v>338</v>
      </c>
      <c r="C51" s="312">
        <v>244278</v>
      </c>
      <c r="D51" s="154">
        <v>1363</v>
      </c>
      <c r="E51" s="154">
        <v>2659</v>
      </c>
      <c r="F51" s="154">
        <v>4056</v>
      </c>
      <c r="G51" s="154">
        <v>84</v>
      </c>
      <c r="H51" s="154">
        <v>24790</v>
      </c>
      <c r="I51" s="154">
        <v>36134</v>
      </c>
      <c r="J51" s="130">
        <v>0</v>
      </c>
      <c r="K51" s="130">
        <v>0</v>
      </c>
      <c r="L51" s="130">
        <v>0</v>
      </c>
      <c r="M51" s="13" t="s">
        <v>38</v>
      </c>
      <c r="N51" s="20" t="s">
        <v>338</v>
      </c>
      <c r="O51" s="130">
        <v>0</v>
      </c>
      <c r="P51" s="130">
        <v>112</v>
      </c>
      <c r="Q51" s="130">
        <v>20</v>
      </c>
      <c r="R51" s="130">
        <v>0</v>
      </c>
      <c r="S51" s="130">
        <v>395</v>
      </c>
      <c r="T51" s="154">
        <v>60864</v>
      </c>
      <c r="U51" s="154">
        <v>2259</v>
      </c>
      <c r="V51" s="130">
        <v>244</v>
      </c>
      <c r="W51" s="154">
        <v>3571</v>
      </c>
      <c r="X51" s="130">
        <v>2807</v>
      </c>
      <c r="Y51" s="13" t="s">
        <v>38</v>
      </c>
      <c r="Z51" s="20" t="s">
        <v>338</v>
      </c>
      <c r="AA51" s="130">
        <v>0</v>
      </c>
      <c r="AB51" s="154">
        <v>571</v>
      </c>
      <c r="AC51" s="130">
        <v>0</v>
      </c>
      <c r="AD51" s="130">
        <v>10622</v>
      </c>
      <c r="AE51" s="130">
        <v>1075</v>
      </c>
      <c r="AF51" s="130">
        <v>0</v>
      </c>
      <c r="AG51" s="130">
        <v>16506</v>
      </c>
      <c r="AH51" s="154">
        <v>76146</v>
      </c>
      <c r="AI51" s="130">
        <v>0</v>
      </c>
    </row>
    <row r="52" spans="1:35" ht="12" customHeight="1">
      <c r="A52" s="13"/>
      <c r="B52" s="20" t="s">
        <v>348</v>
      </c>
      <c r="C52" s="312">
        <v>242509</v>
      </c>
      <c r="D52" s="154">
        <v>1353</v>
      </c>
      <c r="E52" s="154">
        <v>2555</v>
      </c>
      <c r="F52" s="154">
        <v>3914</v>
      </c>
      <c r="G52" s="154">
        <v>80</v>
      </c>
      <c r="H52" s="154">
        <v>23849</v>
      </c>
      <c r="I52" s="154">
        <v>36868</v>
      </c>
      <c r="J52" s="130">
        <v>0</v>
      </c>
      <c r="K52" s="130">
        <v>0</v>
      </c>
      <c r="L52" s="130">
        <v>0</v>
      </c>
      <c r="M52" s="13"/>
      <c r="N52" s="20" t="s">
        <v>348</v>
      </c>
      <c r="O52" s="130">
        <v>0</v>
      </c>
      <c r="P52" s="130">
        <v>108</v>
      </c>
      <c r="Q52" s="130">
        <v>19</v>
      </c>
      <c r="R52" s="130">
        <v>0</v>
      </c>
      <c r="S52" s="130">
        <v>379</v>
      </c>
      <c r="T52" s="154">
        <v>61181</v>
      </c>
      <c r="U52" s="154">
        <v>2223</v>
      </c>
      <c r="V52" s="130">
        <v>238</v>
      </c>
      <c r="W52" s="154">
        <v>3505</v>
      </c>
      <c r="X52" s="130">
        <v>2832</v>
      </c>
      <c r="Y52" s="13"/>
      <c r="Z52" s="20" t="s">
        <v>348</v>
      </c>
      <c r="AA52" s="130">
        <v>0</v>
      </c>
      <c r="AB52" s="154">
        <v>550</v>
      </c>
      <c r="AC52" s="130">
        <v>0</v>
      </c>
      <c r="AD52" s="130">
        <v>10500</v>
      </c>
      <c r="AE52" s="130">
        <v>1051</v>
      </c>
      <c r="AF52" s="130">
        <v>0</v>
      </c>
      <c r="AG52" s="130">
        <v>14421</v>
      </c>
      <c r="AH52" s="154">
        <v>76883</v>
      </c>
      <c r="AI52" s="130">
        <v>0</v>
      </c>
    </row>
    <row r="53" spans="1:35" ht="12" customHeight="1">
      <c r="A53" s="13" t="s">
        <v>198</v>
      </c>
      <c r="B53" s="20" t="s">
        <v>338</v>
      </c>
      <c r="C53" s="312">
        <v>154976</v>
      </c>
      <c r="D53" s="154">
        <v>0</v>
      </c>
      <c r="E53" s="154">
        <v>44893</v>
      </c>
      <c r="F53" s="154">
        <v>0</v>
      </c>
      <c r="G53" s="154">
        <v>102045</v>
      </c>
      <c r="H53" s="154">
        <v>0</v>
      </c>
      <c r="I53" s="154">
        <v>0</v>
      </c>
      <c r="J53" s="130">
        <v>6</v>
      </c>
      <c r="K53" s="130">
        <v>0</v>
      </c>
      <c r="L53" s="130">
        <v>0</v>
      </c>
      <c r="M53" s="13" t="s">
        <v>67</v>
      </c>
      <c r="N53" s="20" t="s">
        <v>338</v>
      </c>
      <c r="O53" s="130">
        <v>214</v>
      </c>
      <c r="P53" s="130">
        <v>0</v>
      </c>
      <c r="Q53" s="130">
        <v>0</v>
      </c>
      <c r="R53" s="130">
        <v>0</v>
      </c>
      <c r="S53" s="130">
        <v>0</v>
      </c>
      <c r="T53" s="154">
        <v>0</v>
      </c>
      <c r="U53" s="154">
        <v>5286.25</v>
      </c>
      <c r="V53" s="130">
        <v>0</v>
      </c>
      <c r="W53" s="154">
        <v>0</v>
      </c>
      <c r="X53" s="130">
        <v>0</v>
      </c>
      <c r="Y53" s="13" t="s">
        <v>67</v>
      </c>
      <c r="Z53" s="20" t="s">
        <v>338</v>
      </c>
      <c r="AA53" s="130">
        <v>0</v>
      </c>
      <c r="AB53" s="154">
        <v>2531.75</v>
      </c>
      <c r="AC53" s="130">
        <v>0</v>
      </c>
      <c r="AD53" s="130">
        <v>0</v>
      </c>
      <c r="AE53" s="130">
        <v>0</v>
      </c>
      <c r="AF53" s="130">
        <v>0</v>
      </c>
      <c r="AG53" s="130">
        <v>0</v>
      </c>
      <c r="AH53" s="154">
        <v>0</v>
      </c>
      <c r="AI53" s="130">
        <v>0</v>
      </c>
    </row>
    <row r="54" spans="1:35" ht="12" customHeight="1">
      <c r="A54" s="13"/>
      <c r="B54" s="20" t="s">
        <v>348</v>
      </c>
      <c r="C54" s="312">
        <v>151148.1</v>
      </c>
      <c r="D54" s="154">
        <v>0</v>
      </c>
      <c r="E54" s="154">
        <v>44133.599999999999</v>
      </c>
      <c r="F54" s="154">
        <v>0</v>
      </c>
      <c r="G54" s="154">
        <v>98147.5</v>
      </c>
      <c r="H54" s="154">
        <v>0</v>
      </c>
      <c r="I54" s="154">
        <v>0</v>
      </c>
      <c r="J54" s="130">
        <v>20</v>
      </c>
      <c r="K54" s="130">
        <v>0</v>
      </c>
      <c r="L54" s="130">
        <v>0</v>
      </c>
      <c r="M54" s="13"/>
      <c r="N54" s="20" t="s">
        <v>348</v>
      </c>
      <c r="O54" s="130">
        <v>194</v>
      </c>
      <c r="P54" s="130">
        <v>0</v>
      </c>
      <c r="Q54" s="130">
        <v>0</v>
      </c>
      <c r="R54" s="130">
        <v>0</v>
      </c>
      <c r="S54" s="130">
        <v>0</v>
      </c>
      <c r="T54" s="154">
        <v>0</v>
      </c>
      <c r="U54" s="154">
        <v>5565</v>
      </c>
      <c r="V54" s="130">
        <v>0</v>
      </c>
      <c r="W54" s="154">
        <v>0</v>
      </c>
      <c r="X54" s="130">
        <v>0</v>
      </c>
      <c r="Y54" s="13"/>
      <c r="Z54" s="20" t="s">
        <v>348</v>
      </c>
      <c r="AA54" s="130">
        <v>0</v>
      </c>
      <c r="AB54" s="154">
        <v>3071</v>
      </c>
      <c r="AC54" s="130">
        <v>0</v>
      </c>
      <c r="AD54" s="130">
        <v>0</v>
      </c>
      <c r="AE54" s="130">
        <v>0</v>
      </c>
      <c r="AF54" s="130">
        <v>0</v>
      </c>
      <c r="AG54" s="130">
        <v>0</v>
      </c>
      <c r="AH54" s="154">
        <v>0</v>
      </c>
      <c r="AI54" s="130">
        <v>17</v>
      </c>
    </row>
    <row r="55" spans="1:35" ht="12" customHeight="1">
      <c r="A55" s="13" t="s">
        <v>65</v>
      </c>
      <c r="B55" s="20" t="s">
        <v>338</v>
      </c>
      <c r="C55" s="312">
        <v>6113</v>
      </c>
      <c r="D55" s="154">
        <v>0</v>
      </c>
      <c r="E55" s="154">
        <v>0</v>
      </c>
      <c r="F55" s="154">
        <v>740</v>
      </c>
      <c r="G55" s="154">
        <v>0</v>
      </c>
      <c r="H55" s="154">
        <v>0</v>
      </c>
      <c r="I55" s="154">
        <v>433</v>
      </c>
      <c r="J55" s="130">
        <v>786</v>
      </c>
      <c r="K55" s="130">
        <v>0</v>
      </c>
      <c r="L55" s="130">
        <v>84</v>
      </c>
      <c r="M55" s="13" t="s">
        <v>65</v>
      </c>
      <c r="N55" s="20" t="s">
        <v>338</v>
      </c>
      <c r="O55" s="130">
        <v>185</v>
      </c>
      <c r="P55" s="130">
        <v>352</v>
      </c>
      <c r="Q55" s="130">
        <v>0</v>
      </c>
      <c r="R55" s="130">
        <v>17</v>
      </c>
      <c r="S55" s="130">
        <v>353</v>
      </c>
      <c r="T55" s="154">
        <v>375</v>
      </c>
      <c r="U55" s="154">
        <v>0</v>
      </c>
      <c r="V55" s="130">
        <v>207</v>
      </c>
      <c r="W55" s="154">
        <v>0</v>
      </c>
      <c r="X55" s="130">
        <v>0</v>
      </c>
      <c r="Y55" s="13" t="s">
        <v>65</v>
      </c>
      <c r="Z55" s="20" t="s">
        <v>338</v>
      </c>
      <c r="AA55" s="130">
        <v>13</v>
      </c>
      <c r="AB55" s="154">
        <v>0</v>
      </c>
      <c r="AC55" s="130">
        <v>0</v>
      </c>
      <c r="AD55" s="130">
        <v>75</v>
      </c>
      <c r="AE55" s="130">
        <v>19</v>
      </c>
      <c r="AF55" s="130">
        <v>2474</v>
      </c>
      <c r="AG55" s="130">
        <v>0</v>
      </c>
      <c r="AH55" s="154">
        <v>0</v>
      </c>
      <c r="AI55" s="130">
        <v>0</v>
      </c>
    </row>
    <row r="56" spans="1:35" ht="12" customHeight="1">
      <c r="A56" s="13"/>
      <c r="B56" s="20" t="s">
        <v>348</v>
      </c>
      <c r="C56" s="312">
        <v>6337</v>
      </c>
      <c r="D56" s="154">
        <v>0</v>
      </c>
      <c r="E56" s="154">
        <v>0</v>
      </c>
      <c r="F56" s="154">
        <v>800</v>
      </c>
      <c r="G56" s="154">
        <v>0</v>
      </c>
      <c r="H56" s="154">
        <v>0</v>
      </c>
      <c r="I56" s="154">
        <v>356</v>
      </c>
      <c r="J56" s="130">
        <v>1044</v>
      </c>
      <c r="K56" s="130">
        <v>0</v>
      </c>
      <c r="L56" s="130">
        <v>130</v>
      </c>
      <c r="M56" s="13"/>
      <c r="N56" s="20" t="s">
        <v>348</v>
      </c>
      <c r="O56" s="130">
        <v>215</v>
      </c>
      <c r="P56" s="130">
        <v>386</v>
      </c>
      <c r="Q56" s="130">
        <v>0</v>
      </c>
      <c r="R56" s="130">
        <v>16</v>
      </c>
      <c r="S56" s="130">
        <v>338</v>
      </c>
      <c r="T56" s="154">
        <v>453</v>
      </c>
      <c r="U56" s="154">
        <v>0</v>
      </c>
      <c r="V56" s="130">
        <v>254</v>
      </c>
      <c r="W56" s="154">
        <v>0</v>
      </c>
      <c r="X56" s="130">
        <v>0</v>
      </c>
      <c r="Y56" s="13"/>
      <c r="Z56" s="20" t="s">
        <v>348</v>
      </c>
      <c r="AA56" s="130">
        <v>19</v>
      </c>
      <c r="AB56" s="154">
        <v>0</v>
      </c>
      <c r="AC56" s="130">
        <v>0</v>
      </c>
      <c r="AD56" s="130">
        <v>99</v>
      </c>
      <c r="AE56" s="130">
        <v>31</v>
      </c>
      <c r="AF56" s="130">
        <v>2196</v>
      </c>
      <c r="AG56" s="130">
        <v>0</v>
      </c>
      <c r="AH56" s="154">
        <v>0</v>
      </c>
      <c r="AI56" s="130">
        <v>0</v>
      </c>
    </row>
    <row r="57" spans="1:35" ht="12" customHeight="1">
      <c r="A57" s="13" t="s">
        <v>66</v>
      </c>
      <c r="B57" s="20" t="s">
        <v>338</v>
      </c>
      <c r="C57" s="312">
        <v>12369.150000000001</v>
      </c>
      <c r="D57" s="154">
        <v>0</v>
      </c>
      <c r="E57" s="154">
        <v>545.04999999999995</v>
      </c>
      <c r="F57" s="154">
        <v>0</v>
      </c>
      <c r="G57" s="154">
        <v>11600.400000000001</v>
      </c>
      <c r="H57" s="154">
        <v>0</v>
      </c>
      <c r="I57" s="154">
        <v>0</v>
      </c>
      <c r="J57" s="130">
        <v>1.65</v>
      </c>
      <c r="K57" s="130">
        <v>0</v>
      </c>
      <c r="L57" s="130">
        <v>13.7</v>
      </c>
      <c r="M57" s="13" t="s">
        <v>66</v>
      </c>
      <c r="N57" s="20" t="s">
        <v>338</v>
      </c>
      <c r="O57" s="130">
        <v>1.85</v>
      </c>
      <c r="P57" s="130">
        <v>6.6</v>
      </c>
      <c r="Q57" s="130">
        <v>0</v>
      </c>
      <c r="R57" s="130">
        <v>0</v>
      </c>
      <c r="S57" s="130">
        <v>1.7</v>
      </c>
      <c r="T57" s="154">
        <v>0</v>
      </c>
      <c r="U57" s="154">
        <v>196.15</v>
      </c>
      <c r="V57" s="130">
        <v>2.0500000000000003</v>
      </c>
      <c r="W57" s="154">
        <v>0</v>
      </c>
      <c r="X57" s="130">
        <v>0</v>
      </c>
      <c r="Y57" s="13" t="s">
        <v>66</v>
      </c>
      <c r="Z57" s="20" t="s">
        <v>338</v>
      </c>
      <c r="AA57" s="130">
        <v>0</v>
      </c>
      <c r="AB57" s="154">
        <v>0</v>
      </c>
      <c r="AC57" s="130">
        <v>0</v>
      </c>
      <c r="AD57" s="130">
        <v>0</v>
      </c>
      <c r="AE57" s="130">
        <v>0</v>
      </c>
      <c r="AF57" s="130">
        <v>0</v>
      </c>
      <c r="AG57" s="130">
        <v>0</v>
      </c>
      <c r="AH57" s="154">
        <v>0</v>
      </c>
      <c r="AI57" s="130">
        <v>0</v>
      </c>
    </row>
    <row r="58" spans="1:35" ht="12" customHeight="1">
      <c r="A58" s="13"/>
      <c r="B58" s="20" t="s">
        <v>348</v>
      </c>
      <c r="C58" s="312">
        <v>15872.999999999998</v>
      </c>
      <c r="D58" s="154">
        <v>0</v>
      </c>
      <c r="E58" s="154">
        <v>986.15</v>
      </c>
      <c r="F58" s="154">
        <v>0</v>
      </c>
      <c r="G58" s="154">
        <v>14500.1</v>
      </c>
      <c r="H58" s="154">
        <v>0</v>
      </c>
      <c r="I58" s="154">
        <v>0</v>
      </c>
      <c r="J58" s="130">
        <v>1.75</v>
      </c>
      <c r="K58" s="130">
        <v>0</v>
      </c>
      <c r="L58" s="130">
        <v>10.3</v>
      </c>
      <c r="M58" s="13"/>
      <c r="N58" s="20" t="s">
        <v>348</v>
      </c>
      <c r="O58" s="130">
        <v>4.55</v>
      </c>
      <c r="P58" s="130">
        <v>11.299999999999999</v>
      </c>
      <c r="Q58" s="130">
        <v>0</v>
      </c>
      <c r="R58" s="130">
        <v>0</v>
      </c>
      <c r="S58" s="130">
        <v>0</v>
      </c>
      <c r="T58" s="154">
        <v>0</v>
      </c>
      <c r="U58" s="154">
        <v>351.9</v>
      </c>
      <c r="V58" s="130">
        <v>5.95</v>
      </c>
      <c r="W58" s="154">
        <v>0</v>
      </c>
      <c r="X58" s="130">
        <v>0</v>
      </c>
      <c r="Y58" s="13"/>
      <c r="Z58" s="20" t="s">
        <v>348</v>
      </c>
      <c r="AA58" s="130">
        <v>0</v>
      </c>
      <c r="AB58" s="154">
        <v>1</v>
      </c>
      <c r="AC58" s="130">
        <v>0</v>
      </c>
      <c r="AD58" s="130">
        <v>0</v>
      </c>
      <c r="AE58" s="130">
        <v>0</v>
      </c>
      <c r="AF58" s="130">
        <v>0</v>
      </c>
      <c r="AG58" s="130">
        <v>0</v>
      </c>
      <c r="AH58" s="154">
        <v>0</v>
      </c>
      <c r="AI58" s="130">
        <v>0</v>
      </c>
    </row>
    <row r="59" spans="1:35" ht="12" customHeight="1">
      <c r="A59" s="13" t="s">
        <v>68</v>
      </c>
      <c r="B59" s="20" t="s">
        <v>338</v>
      </c>
      <c r="C59" s="312">
        <v>31956.25</v>
      </c>
      <c r="D59" s="154">
        <v>0</v>
      </c>
      <c r="E59" s="154">
        <v>9925</v>
      </c>
      <c r="F59" s="154">
        <v>0</v>
      </c>
      <c r="G59" s="154">
        <v>13936</v>
      </c>
      <c r="H59" s="154">
        <v>0</v>
      </c>
      <c r="I59" s="154">
        <v>0</v>
      </c>
      <c r="J59" s="130">
        <v>0</v>
      </c>
      <c r="K59" s="130">
        <v>0</v>
      </c>
      <c r="L59" s="130">
        <v>0</v>
      </c>
      <c r="M59" s="13" t="s">
        <v>68</v>
      </c>
      <c r="N59" s="20" t="s">
        <v>338</v>
      </c>
      <c r="O59" s="130">
        <v>62</v>
      </c>
      <c r="P59" s="130">
        <v>17</v>
      </c>
      <c r="Q59" s="130">
        <v>0</v>
      </c>
      <c r="R59" s="130">
        <v>0</v>
      </c>
      <c r="S59" s="130">
        <v>0</v>
      </c>
      <c r="T59" s="154">
        <v>0</v>
      </c>
      <c r="U59" s="154">
        <v>7294</v>
      </c>
      <c r="V59" s="130">
        <v>71</v>
      </c>
      <c r="W59" s="154">
        <v>0</v>
      </c>
      <c r="X59" s="130">
        <v>0</v>
      </c>
      <c r="Y59" s="13" t="s">
        <v>68</v>
      </c>
      <c r="Z59" s="20" t="s">
        <v>338</v>
      </c>
      <c r="AA59" s="130">
        <v>0</v>
      </c>
      <c r="AB59" s="154">
        <v>581</v>
      </c>
      <c r="AC59" s="130">
        <v>0</v>
      </c>
      <c r="AD59" s="130">
        <v>0</v>
      </c>
      <c r="AE59" s="130">
        <v>0</v>
      </c>
      <c r="AF59" s="130">
        <v>0</v>
      </c>
      <c r="AG59" s="130">
        <v>0</v>
      </c>
      <c r="AH59" s="154">
        <v>0</v>
      </c>
      <c r="AI59" s="130">
        <v>70.25</v>
      </c>
    </row>
    <row r="60" spans="1:35" ht="12" customHeight="1">
      <c r="A60" s="14"/>
      <c r="B60" s="21" t="s">
        <v>348</v>
      </c>
      <c r="C60" s="314">
        <v>26683</v>
      </c>
      <c r="D60" s="155">
        <v>0</v>
      </c>
      <c r="E60" s="155">
        <v>6725</v>
      </c>
      <c r="F60" s="155">
        <v>0</v>
      </c>
      <c r="G60" s="155">
        <v>11578</v>
      </c>
      <c r="H60" s="155">
        <v>0</v>
      </c>
      <c r="I60" s="155">
        <v>0</v>
      </c>
      <c r="J60" s="131">
        <v>10</v>
      </c>
      <c r="K60" s="131">
        <v>0</v>
      </c>
      <c r="L60" s="131">
        <v>0</v>
      </c>
      <c r="M60" s="14"/>
      <c r="N60" s="21" t="s">
        <v>348</v>
      </c>
      <c r="O60" s="131">
        <v>43</v>
      </c>
      <c r="P60" s="131">
        <v>11</v>
      </c>
      <c r="Q60" s="131">
        <v>0</v>
      </c>
      <c r="R60" s="131">
        <v>0</v>
      </c>
      <c r="S60" s="131">
        <v>0</v>
      </c>
      <c r="T60" s="155">
        <v>0</v>
      </c>
      <c r="U60" s="155">
        <v>7177</v>
      </c>
      <c r="V60" s="131">
        <v>69</v>
      </c>
      <c r="W60" s="155">
        <v>0</v>
      </c>
      <c r="X60" s="131">
        <v>0</v>
      </c>
      <c r="Y60" s="14"/>
      <c r="Z60" s="21" t="s">
        <v>348</v>
      </c>
      <c r="AA60" s="131">
        <v>0</v>
      </c>
      <c r="AB60" s="155">
        <v>703</v>
      </c>
      <c r="AC60" s="131">
        <v>0</v>
      </c>
      <c r="AD60" s="131">
        <v>0</v>
      </c>
      <c r="AE60" s="131">
        <v>0</v>
      </c>
      <c r="AF60" s="131">
        <v>0</v>
      </c>
      <c r="AG60" s="131">
        <v>0</v>
      </c>
      <c r="AH60" s="155">
        <v>0</v>
      </c>
      <c r="AI60" s="131">
        <v>367</v>
      </c>
    </row>
    <row r="61" spans="1:35" ht="9" customHeight="1">
      <c r="L61" s="110" t="s">
        <v>135</v>
      </c>
      <c r="W61" s="110"/>
      <c r="X61" s="110" t="s">
        <v>135</v>
      </c>
      <c r="Y61" s="165" t="s">
        <v>91</v>
      </c>
      <c r="Z61" s="123"/>
      <c r="AA61" s="123"/>
      <c r="AB61" s="123"/>
      <c r="AC61" s="123"/>
      <c r="AD61" s="123"/>
    </row>
    <row r="62" spans="1:35" ht="9" customHeight="1">
      <c r="Y62" s="165" t="s">
        <v>98</v>
      </c>
      <c r="Z62" s="123"/>
      <c r="AA62" s="123"/>
      <c r="AB62" s="123"/>
      <c r="AC62" s="123"/>
      <c r="AD62" s="123"/>
    </row>
    <row r="63" spans="1:35" ht="9" customHeight="1">
      <c r="Y63" s="509" t="s">
        <v>360</v>
      </c>
      <c r="Z63" s="509"/>
      <c r="AA63" s="509"/>
      <c r="AB63" s="509"/>
      <c r="AC63" s="509"/>
      <c r="AD63" s="509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O34" sqref="O34"/>
    </sheetView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179" t="s">
        <v>429</v>
      </c>
      <c r="B1" s="180"/>
      <c r="C1" s="180"/>
      <c r="D1" s="44"/>
    </row>
    <row r="2" spans="1:18" ht="11.25" customHeight="1">
      <c r="A2" s="92" t="s">
        <v>454</v>
      </c>
      <c r="B2" s="94"/>
      <c r="C2" s="94"/>
    </row>
    <row r="3" spans="1:18" ht="13.5">
      <c r="A3" s="17" t="s">
        <v>134</v>
      </c>
      <c r="B3" s="95"/>
      <c r="C3" s="95"/>
    </row>
    <row r="4" spans="1:18" ht="3" customHeight="1"/>
    <row r="5" spans="1:18" ht="18" customHeight="1">
      <c r="A5" s="317" t="s">
        <v>49</v>
      </c>
      <c r="B5" s="318" t="s">
        <v>199</v>
      </c>
      <c r="C5" s="317" t="s">
        <v>469</v>
      </c>
      <c r="D5" s="317" t="s">
        <v>296</v>
      </c>
      <c r="E5" s="317" t="s">
        <v>297</v>
      </c>
      <c r="F5" s="317" t="s">
        <v>298</v>
      </c>
      <c r="G5" s="317" t="s">
        <v>173</v>
      </c>
      <c r="H5" s="317" t="s">
        <v>174</v>
      </c>
      <c r="I5" s="317" t="s">
        <v>175</v>
      </c>
      <c r="J5" s="317" t="s">
        <v>176</v>
      </c>
      <c r="K5" s="317" t="s">
        <v>177</v>
      </c>
      <c r="L5" s="317" t="s">
        <v>178</v>
      </c>
      <c r="M5" s="317" t="s">
        <v>179</v>
      </c>
      <c r="N5" s="317" t="s">
        <v>180</v>
      </c>
      <c r="O5" s="317" t="s">
        <v>181</v>
      </c>
      <c r="P5" s="243" t="s">
        <v>480</v>
      </c>
    </row>
    <row r="6" spans="1:18" ht="14.1" customHeight="1">
      <c r="A6" s="515" t="s">
        <v>182</v>
      </c>
      <c r="B6" s="307" t="s">
        <v>339</v>
      </c>
      <c r="C6" s="320">
        <v>2080195.5500000005</v>
      </c>
      <c r="D6" s="321">
        <v>149476.5</v>
      </c>
      <c r="E6" s="321">
        <v>226518.65</v>
      </c>
      <c r="F6" s="321">
        <v>397664.41</v>
      </c>
      <c r="G6" s="321">
        <v>371736.3</v>
      </c>
      <c r="H6" s="321">
        <v>256899.85</v>
      </c>
      <c r="I6" s="321">
        <v>177004.05</v>
      </c>
      <c r="J6" s="321">
        <v>151871.30000000002</v>
      </c>
      <c r="K6" s="321">
        <v>102249.55</v>
      </c>
      <c r="L6" s="321">
        <v>78055.100000000006</v>
      </c>
      <c r="M6" s="321">
        <v>78197.050000000017</v>
      </c>
      <c r="N6" s="321">
        <v>90522.790000000008</v>
      </c>
      <c r="O6" s="322">
        <v>92098.539000000004</v>
      </c>
      <c r="P6" s="234">
        <v>2194096.4890000005</v>
      </c>
    </row>
    <row r="7" spans="1:18" ht="14.1" customHeight="1">
      <c r="A7" s="516"/>
      <c r="B7" s="310" t="s">
        <v>347</v>
      </c>
      <c r="C7" s="323">
        <v>2091901.2120000003</v>
      </c>
      <c r="D7" s="323">
        <v>153046.44999999998</v>
      </c>
      <c r="E7" s="323">
        <v>232428.51</v>
      </c>
      <c r="F7" s="323">
        <v>394098.55</v>
      </c>
      <c r="G7" s="323">
        <v>303656.15000000002</v>
      </c>
      <c r="H7" s="323">
        <v>281940.25</v>
      </c>
      <c r="I7" s="323">
        <v>186419.35</v>
      </c>
      <c r="J7" s="323">
        <v>192554.8</v>
      </c>
      <c r="K7" s="323">
        <v>118130.852</v>
      </c>
      <c r="L7" s="323">
        <v>74246.95</v>
      </c>
      <c r="M7" s="323">
        <v>72004.55</v>
      </c>
      <c r="N7" s="323">
        <v>83374.8</v>
      </c>
      <c r="O7" s="323"/>
      <c r="P7" s="188"/>
    </row>
    <row r="8" spans="1:18" ht="13.5" customHeight="1">
      <c r="A8" s="96" t="s">
        <v>23</v>
      </c>
      <c r="B8" s="99" t="s">
        <v>338</v>
      </c>
      <c r="C8" s="190">
        <v>90007.7</v>
      </c>
      <c r="D8" s="235">
        <v>5362</v>
      </c>
      <c r="E8" s="235">
        <v>7180</v>
      </c>
      <c r="F8" s="235">
        <v>7901</v>
      </c>
      <c r="G8" s="235">
        <v>11154.5</v>
      </c>
      <c r="H8" s="235">
        <v>15078.5</v>
      </c>
      <c r="I8" s="235">
        <v>7602</v>
      </c>
      <c r="J8" s="235">
        <v>8310</v>
      </c>
      <c r="K8" s="235">
        <v>7526.5</v>
      </c>
      <c r="L8" s="235">
        <v>6525.5</v>
      </c>
      <c r="M8" s="235">
        <v>6950.3</v>
      </c>
      <c r="N8" s="235">
        <v>6417.4000000000005</v>
      </c>
      <c r="O8" s="235">
        <v>4168.3</v>
      </c>
      <c r="P8" s="198">
        <v>94535.900000000009</v>
      </c>
      <c r="R8" s="129"/>
    </row>
    <row r="9" spans="1:18" ht="13.5" customHeight="1">
      <c r="A9" s="96"/>
      <c r="B9" s="99" t="s">
        <v>348</v>
      </c>
      <c r="C9" s="190">
        <v>83960.902000000002</v>
      </c>
      <c r="D9" s="235">
        <v>8488</v>
      </c>
      <c r="E9" s="235">
        <v>7963.7</v>
      </c>
      <c r="F9" s="235">
        <v>10227.200000000001</v>
      </c>
      <c r="G9" s="235">
        <v>9979</v>
      </c>
      <c r="H9" s="235">
        <v>11138.5</v>
      </c>
      <c r="I9" s="235">
        <v>4875.5</v>
      </c>
      <c r="J9" s="235">
        <v>7586.5</v>
      </c>
      <c r="K9" s="235">
        <v>7047.0020000000004</v>
      </c>
      <c r="L9" s="235">
        <v>6896</v>
      </c>
      <c r="M9" s="235">
        <v>5739</v>
      </c>
      <c r="N9" s="235">
        <v>4020.5</v>
      </c>
      <c r="O9" s="235"/>
      <c r="P9" s="198"/>
      <c r="R9" s="129"/>
    </row>
    <row r="10" spans="1:18" ht="13.5" customHeight="1">
      <c r="A10" s="96" t="s">
        <v>24</v>
      </c>
      <c r="B10" s="99" t="s">
        <v>338</v>
      </c>
      <c r="C10" s="190">
        <v>57823</v>
      </c>
      <c r="D10" s="235">
        <v>3884</v>
      </c>
      <c r="E10" s="235">
        <v>3914</v>
      </c>
      <c r="F10" s="235">
        <v>8344</v>
      </c>
      <c r="G10" s="235">
        <v>7985</v>
      </c>
      <c r="H10" s="235">
        <v>9983</v>
      </c>
      <c r="I10" s="235">
        <v>10268</v>
      </c>
      <c r="J10" s="235">
        <v>4332</v>
      </c>
      <c r="K10" s="235">
        <v>1192</v>
      </c>
      <c r="L10" s="235">
        <v>1052</v>
      </c>
      <c r="M10" s="235">
        <v>2940</v>
      </c>
      <c r="N10" s="235">
        <v>3929</v>
      </c>
      <c r="O10" s="235">
        <v>3731</v>
      </c>
      <c r="P10" s="198">
        <v>61554</v>
      </c>
      <c r="R10" s="129"/>
    </row>
    <row r="11" spans="1:18" ht="13.5" customHeight="1">
      <c r="A11" s="96"/>
      <c r="B11" s="99" t="s">
        <v>348</v>
      </c>
      <c r="C11" s="190">
        <v>64089</v>
      </c>
      <c r="D11" s="235">
        <v>3519</v>
      </c>
      <c r="E11" s="235">
        <v>4737</v>
      </c>
      <c r="F11" s="235">
        <v>8202</v>
      </c>
      <c r="G11" s="235">
        <v>9876</v>
      </c>
      <c r="H11" s="235">
        <v>10134</v>
      </c>
      <c r="I11" s="235">
        <v>10860</v>
      </c>
      <c r="J11" s="235">
        <v>6266</v>
      </c>
      <c r="K11" s="235">
        <v>1928</v>
      </c>
      <c r="L11" s="235">
        <v>2142</v>
      </c>
      <c r="M11" s="235">
        <v>3006</v>
      </c>
      <c r="N11" s="235">
        <v>3419</v>
      </c>
      <c r="O11" s="235"/>
      <c r="P11" s="198"/>
      <c r="R11" s="129"/>
    </row>
    <row r="12" spans="1:18" ht="13.5" customHeight="1">
      <c r="A12" s="96" t="s">
        <v>25</v>
      </c>
      <c r="B12" s="99" t="s">
        <v>338</v>
      </c>
      <c r="C12" s="190">
        <v>86920.749999999985</v>
      </c>
      <c r="D12" s="235">
        <v>2100.5</v>
      </c>
      <c r="E12" s="235">
        <v>8127.6</v>
      </c>
      <c r="F12" s="235">
        <v>31118.699999999997</v>
      </c>
      <c r="G12" s="235">
        <v>25140.05</v>
      </c>
      <c r="H12" s="235">
        <v>12826.2</v>
      </c>
      <c r="I12" s="235">
        <v>6561.7</v>
      </c>
      <c r="J12" s="235">
        <v>279</v>
      </c>
      <c r="K12" s="235">
        <v>87</v>
      </c>
      <c r="L12" s="235">
        <v>197</v>
      </c>
      <c r="M12" s="235">
        <v>213</v>
      </c>
      <c r="N12" s="235">
        <v>270</v>
      </c>
      <c r="O12" s="235">
        <v>787</v>
      </c>
      <c r="P12" s="198">
        <v>112628.24999999999</v>
      </c>
      <c r="R12" s="129"/>
    </row>
    <row r="13" spans="1:18" ht="13.5" customHeight="1">
      <c r="A13" s="96"/>
      <c r="B13" s="99" t="s">
        <v>348</v>
      </c>
      <c r="C13" s="190">
        <v>88453.049999999988</v>
      </c>
      <c r="D13" s="235">
        <v>2109.4</v>
      </c>
      <c r="E13" s="235">
        <v>8374.4500000000007</v>
      </c>
      <c r="F13" s="235">
        <v>36105.300000000003</v>
      </c>
      <c r="G13" s="235">
        <v>13071.8</v>
      </c>
      <c r="H13" s="235">
        <v>20459.5</v>
      </c>
      <c r="I13" s="235">
        <v>6941.2</v>
      </c>
      <c r="J13" s="235">
        <v>782.9</v>
      </c>
      <c r="K13" s="235">
        <v>70</v>
      </c>
      <c r="L13" s="235">
        <v>27</v>
      </c>
      <c r="M13" s="235">
        <v>38</v>
      </c>
      <c r="N13" s="235">
        <v>473.5</v>
      </c>
      <c r="O13" s="235"/>
      <c r="P13" s="198"/>
      <c r="R13" s="129"/>
    </row>
    <row r="14" spans="1:18" ht="13.5" customHeight="1">
      <c r="A14" s="96" t="s">
        <v>26</v>
      </c>
      <c r="B14" s="99" t="s">
        <v>338</v>
      </c>
      <c r="C14" s="190">
        <v>77952</v>
      </c>
      <c r="D14" s="235">
        <v>4258</v>
      </c>
      <c r="E14" s="235">
        <v>6629</v>
      </c>
      <c r="F14" s="235">
        <v>10200</v>
      </c>
      <c r="G14" s="235">
        <v>9506</v>
      </c>
      <c r="H14" s="235">
        <v>8688</v>
      </c>
      <c r="I14" s="235">
        <v>5545</v>
      </c>
      <c r="J14" s="235">
        <v>4108</v>
      </c>
      <c r="K14" s="235">
        <v>9050</v>
      </c>
      <c r="L14" s="235">
        <v>6666</v>
      </c>
      <c r="M14" s="235">
        <v>6250</v>
      </c>
      <c r="N14" s="235">
        <v>7052</v>
      </c>
      <c r="O14" s="235">
        <v>4452</v>
      </c>
      <c r="P14" s="198">
        <v>82386</v>
      </c>
      <c r="R14" s="129"/>
    </row>
    <row r="15" spans="1:18" ht="13.5" customHeight="1">
      <c r="A15" s="96"/>
      <c r="B15" s="99" t="s">
        <v>348</v>
      </c>
      <c r="C15" s="190">
        <v>73916</v>
      </c>
      <c r="D15" s="235">
        <v>4364</v>
      </c>
      <c r="E15" s="235">
        <v>7994</v>
      </c>
      <c r="F15" s="235">
        <v>11815</v>
      </c>
      <c r="G15" s="235">
        <v>9760</v>
      </c>
      <c r="H15" s="235">
        <v>6356</v>
      </c>
      <c r="I15" s="235">
        <v>6487</v>
      </c>
      <c r="J15" s="235">
        <v>4607</v>
      </c>
      <c r="K15" s="235">
        <v>7723</v>
      </c>
      <c r="L15" s="235">
        <v>6377</v>
      </c>
      <c r="M15" s="235">
        <v>3860</v>
      </c>
      <c r="N15" s="235">
        <v>4573</v>
      </c>
      <c r="O15" s="235"/>
      <c r="P15" s="198"/>
      <c r="R15" s="129"/>
    </row>
    <row r="16" spans="1:18" ht="13.5" customHeight="1">
      <c r="A16" s="96" t="s">
        <v>27</v>
      </c>
      <c r="B16" s="99" t="s">
        <v>338</v>
      </c>
      <c r="C16" s="190">
        <v>112292</v>
      </c>
      <c r="D16" s="235">
        <v>3461</v>
      </c>
      <c r="E16" s="235">
        <v>10559</v>
      </c>
      <c r="F16" s="235">
        <v>27749</v>
      </c>
      <c r="G16" s="235">
        <v>40227</v>
      </c>
      <c r="H16" s="235">
        <v>23884</v>
      </c>
      <c r="I16" s="235">
        <v>4819</v>
      </c>
      <c r="J16" s="235">
        <v>356</v>
      </c>
      <c r="K16" s="235">
        <v>10</v>
      </c>
      <c r="L16" s="235">
        <v>73</v>
      </c>
      <c r="M16" s="235">
        <v>137</v>
      </c>
      <c r="N16" s="235">
        <v>1017</v>
      </c>
      <c r="O16" s="235">
        <v>1402</v>
      </c>
      <c r="P16" s="198">
        <v>113680</v>
      </c>
      <c r="Q16" s="189"/>
      <c r="R16" s="129"/>
    </row>
    <row r="17" spans="1:18" ht="13.5" customHeight="1">
      <c r="A17" s="96"/>
      <c r="B17" s="99" t="s">
        <v>348</v>
      </c>
      <c r="C17" s="190">
        <v>113361</v>
      </c>
      <c r="D17" s="235">
        <v>5580</v>
      </c>
      <c r="E17" s="235">
        <v>11404</v>
      </c>
      <c r="F17" s="235">
        <v>28669</v>
      </c>
      <c r="G17" s="235">
        <v>28022</v>
      </c>
      <c r="H17" s="235">
        <v>29664</v>
      </c>
      <c r="I17" s="235">
        <v>8525</v>
      </c>
      <c r="J17" s="235">
        <v>332</v>
      </c>
      <c r="K17" s="235">
        <v>143</v>
      </c>
      <c r="L17" s="235">
        <v>106</v>
      </c>
      <c r="M17" s="235">
        <v>255</v>
      </c>
      <c r="N17" s="235">
        <v>661</v>
      </c>
      <c r="O17" s="235"/>
      <c r="P17" s="198"/>
      <c r="R17" s="129"/>
    </row>
    <row r="18" spans="1:18" ht="13.5" customHeight="1">
      <c r="A18" s="96" t="s">
        <v>28</v>
      </c>
      <c r="B18" s="99" t="s">
        <v>338</v>
      </c>
      <c r="C18" s="190">
        <v>202773.05</v>
      </c>
      <c r="D18" s="235">
        <v>4127</v>
      </c>
      <c r="E18" s="235">
        <v>12327.5</v>
      </c>
      <c r="F18" s="235">
        <v>40372.6</v>
      </c>
      <c r="G18" s="235">
        <v>37066</v>
      </c>
      <c r="H18" s="235">
        <v>24047.699999999997</v>
      </c>
      <c r="I18" s="235">
        <v>20813.05</v>
      </c>
      <c r="J18" s="235">
        <v>20844.199999999997</v>
      </c>
      <c r="K18" s="235">
        <v>14267.5</v>
      </c>
      <c r="L18" s="235">
        <v>12755.1</v>
      </c>
      <c r="M18" s="235">
        <v>8696</v>
      </c>
      <c r="N18" s="235">
        <v>7456.4</v>
      </c>
      <c r="O18" s="235">
        <v>6794.5</v>
      </c>
      <c r="P18" s="198">
        <v>210623.55</v>
      </c>
      <c r="R18" s="129"/>
    </row>
    <row r="19" spans="1:18" ht="13.5" customHeight="1">
      <c r="A19" s="96"/>
      <c r="B19" s="99" t="s">
        <v>348</v>
      </c>
      <c r="C19" s="190">
        <v>213982.89999999997</v>
      </c>
      <c r="D19" s="235">
        <v>5749</v>
      </c>
      <c r="E19" s="235">
        <v>17165</v>
      </c>
      <c r="F19" s="235">
        <v>36271.300000000003</v>
      </c>
      <c r="G19" s="235">
        <v>35918.5</v>
      </c>
      <c r="H19" s="235">
        <v>28679.4</v>
      </c>
      <c r="I19" s="235">
        <v>20416.3</v>
      </c>
      <c r="J19" s="235">
        <v>21418.55</v>
      </c>
      <c r="K19" s="235">
        <v>19835</v>
      </c>
      <c r="L19" s="235">
        <v>12029.05</v>
      </c>
      <c r="M19" s="235">
        <v>9324.9</v>
      </c>
      <c r="N19" s="235">
        <v>7175.9</v>
      </c>
      <c r="O19" s="235"/>
      <c r="P19" s="198"/>
      <c r="R19" s="129"/>
    </row>
    <row r="20" spans="1:18" ht="13.5" customHeight="1">
      <c r="A20" s="96" t="s">
        <v>293</v>
      </c>
      <c r="B20" s="99" t="s">
        <v>338</v>
      </c>
      <c r="C20" s="190">
        <v>0</v>
      </c>
      <c r="D20" s="235">
        <v>0</v>
      </c>
      <c r="E20" s="235">
        <v>0</v>
      </c>
      <c r="F20" s="235">
        <v>0</v>
      </c>
      <c r="G20" s="235">
        <v>0</v>
      </c>
      <c r="H20" s="235">
        <v>0</v>
      </c>
      <c r="I20" s="235">
        <v>0</v>
      </c>
      <c r="J20" s="235">
        <v>0</v>
      </c>
      <c r="K20" s="235">
        <v>0</v>
      </c>
      <c r="L20" s="235">
        <v>0</v>
      </c>
      <c r="M20" s="235">
        <v>0</v>
      </c>
      <c r="N20" s="235">
        <v>0</v>
      </c>
      <c r="O20" s="235">
        <v>0</v>
      </c>
      <c r="P20" s="198">
        <v>0</v>
      </c>
      <c r="R20" s="129"/>
    </row>
    <row r="21" spans="1:18" ht="13.5" customHeight="1">
      <c r="A21" s="96"/>
      <c r="B21" s="99" t="s">
        <v>348</v>
      </c>
      <c r="C21" s="190">
        <v>0</v>
      </c>
      <c r="D21" s="235">
        <v>0</v>
      </c>
      <c r="E21" s="235">
        <v>0</v>
      </c>
      <c r="F21" s="235">
        <v>0</v>
      </c>
      <c r="G21" s="235">
        <v>0</v>
      </c>
      <c r="H21" s="235">
        <v>0</v>
      </c>
      <c r="I21" s="235">
        <v>0</v>
      </c>
      <c r="J21" s="235">
        <v>0</v>
      </c>
      <c r="K21" s="235">
        <v>0</v>
      </c>
      <c r="L21" s="235">
        <v>0</v>
      </c>
      <c r="M21" s="235">
        <v>0</v>
      </c>
      <c r="N21" s="235">
        <v>0</v>
      </c>
      <c r="O21" s="235"/>
      <c r="P21" s="198"/>
      <c r="R21" s="129"/>
    </row>
    <row r="22" spans="1:18" ht="13.5" customHeight="1">
      <c r="A22" s="96" t="s">
        <v>29</v>
      </c>
      <c r="B22" s="99" t="s">
        <v>338</v>
      </c>
      <c r="C22" s="190">
        <v>123881.01</v>
      </c>
      <c r="D22" s="235">
        <v>15563</v>
      </c>
      <c r="E22" s="235">
        <v>22174</v>
      </c>
      <c r="F22" s="235">
        <v>32398.01</v>
      </c>
      <c r="G22" s="235">
        <v>33402</v>
      </c>
      <c r="H22" s="235">
        <v>16484</v>
      </c>
      <c r="I22" s="235">
        <v>2873</v>
      </c>
      <c r="J22" s="235">
        <v>224</v>
      </c>
      <c r="K22" s="235">
        <v>126</v>
      </c>
      <c r="L22" s="235">
        <v>113</v>
      </c>
      <c r="M22" s="235">
        <v>143</v>
      </c>
      <c r="N22" s="235">
        <v>381</v>
      </c>
      <c r="O22" s="235">
        <v>1061</v>
      </c>
      <c r="P22" s="198">
        <v>123929.01</v>
      </c>
      <c r="R22" s="129"/>
    </row>
    <row r="23" spans="1:18" ht="13.5" customHeight="1">
      <c r="A23" s="96"/>
      <c r="B23" s="99" t="s">
        <v>348</v>
      </c>
      <c r="C23" s="190">
        <v>126260.01000000001</v>
      </c>
      <c r="D23" s="235">
        <v>14023</v>
      </c>
      <c r="E23" s="235">
        <v>23681.010000000002</v>
      </c>
      <c r="F23" s="235">
        <v>35106</v>
      </c>
      <c r="G23" s="235">
        <v>33537</v>
      </c>
      <c r="H23" s="235">
        <v>15465</v>
      </c>
      <c r="I23" s="235">
        <v>3389</v>
      </c>
      <c r="J23" s="235">
        <v>172</v>
      </c>
      <c r="K23" s="235">
        <v>176</v>
      </c>
      <c r="L23" s="235">
        <v>192</v>
      </c>
      <c r="M23" s="235">
        <v>164</v>
      </c>
      <c r="N23" s="235">
        <v>355</v>
      </c>
      <c r="O23" s="235"/>
      <c r="P23" s="198"/>
      <c r="R23" s="129"/>
    </row>
    <row r="24" spans="1:18" ht="13.5" customHeight="1">
      <c r="A24" s="96" t="s">
        <v>30</v>
      </c>
      <c r="B24" s="99" t="s">
        <v>338</v>
      </c>
      <c r="C24" s="190">
        <v>99036</v>
      </c>
      <c r="D24" s="235">
        <v>3849</v>
      </c>
      <c r="E24" s="235">
        <v>11164</v>
      </c>
      <c r="F24" s="235">
        <v>27139</v>
      </c>
      <c r="G24" s="235">
        <v>33176</v>
      </c>
      <c r="H24" s="235">
        <v>16273</v>
      </c>
      <c r="I24" s="235">
        <v>3458</v>
      </c>
      <c r="J24" s="235">
        <v>944</v>
      </c>
      <c r="K24" s="235">
        <v>537</v>
      </c>
      <c r="L24" s="235">
        <v>744</v>
      </c>
      <c r="M24" s="235">
        <v>926</v>
      </c>
      <c r="N24" s="235">
        <v>826</v>
      </c>
      <c r="O24" s="235">
        <v>624</v>
      </c>
      <c r="P24" s="198">
        <v>99616</v>
      </c>
      <c r="R24" s="129"/>
    </row>
    <row r="25" spans="1:18" ht="13.5" customHeight="1">
      <c r="A25" s="96"/>
      <c r="B25" s="99" t="s">
        <v>348</v>
      </c>
      <c r="C25" s="190">
        <v>96543</v>
      </c>
      <c r="D25" s="235">
        <v>2495</v>
      </c>
      <c r="E25" s="235">
        <v>7351</v>
      </c>
      <c r="F25" s="235">
        <v>24718</v>
      </c>
      <c r="G25" s="235">
        <v>26797</v>
      </c>
      <c r="H25" s="235">
        <v>25335</v>
      </c>
      <c r="I25" s="235">
        <v>5771</v>
      </c>
      <c r="J25" s="235">
        <v>1075</v>
      </c>
      <c r="K25" s="235">
        <v>390</v>
      </c>
      <c r="L25" s="235">
        <v>1076</v>
      </c>
      <c r="M25" s="235">
        <v>1201</v>
      </c>
      <c r="N25" s="235">
        <v>334</v>
      </c>
      <c r="O25" s="235"/>
      <c r="P25" s="198"/>
      <c r="R25" s="129"/>
    </row>
    <row r="26" spans="1:18" ht="13.5" customHeight="1">
      <c r="A26" s="96" t="s">
        <v>155</v>
      </c>
      <c r="B26" s="99" t="s">
        <v>338</v>
      </c>
      <c r="C26" s="190">
        <v>109101.5</v>
      </c>
      <c r="D26" s="235">
        <v>8576</v>
      </c>
      <c r="E26" s="235">
        <v>16010.75</v>
      </c>
      <c r="F26" s="235">
        <v>21106</v>
      </c>
      <c r="G26" s="235">
        <v>14863</v>
      </c>
      <c r="H26" s="235">
        <v>10359</v>
      </c>
      <c r="I26" s="235">
        <v>9300.5</v>
      </c>
      <c r="J26" s="235">
        <v>2717.5</v>
      </c>
      <c r="K26" s="235">
        <v>2486.25</v>
      </c>
      <c r="L26" s="235">
        <v>4822</v>
      </c>
      <c r="M26" s="235">
        <v>9330.25</v>
      </c>
      <c r="N26" s="235">
        <v>9530.25</v>
      </c>
      <c r="O26" s="235">
        <v>6317.5</v>
      </c>
      <c r="P26" s="198">
        <v>115362</v>
      </c>
      <c r="R26" s="129"/>
    </row>
    <row r="27" spans="1:18" ht="13.5" customHeight="1">
      <c r="A27" s="96"/>
      <c r="B27" s="99" t="s">
        <v>348</v>
      </c>
      <c r="C27" s="190">
        <v>106961.25</v>
      </c>
      <c r="D27" s="235">
        <v>8213.75</v>
      </c>
      <c r="E27" s="235">
        <v>16615</v>
      </c>
      <c r="F27" s="235">
        <v>19055.5</v>
      </c>
      <c r="G27" s="235">
        <v>12201.5</v>
      </c>
      <c r="H27" s="235">
        <v>12795.75</v>
      </c>
      <c r="I27" s="235">
        <v>9933.75</v>
      </c>
      <c r="J27" s="235">
        <v>2980.25</v>
      </c>
      <c r="K27" s="235">
        <v>2767</v>
      </c>
      <c r="L27" s="235">
        <v>4636</v>
      </c>
      <c r="M27" s="235">
        <v>8280.5</v>
      </c>
      <c r="N27" s="235">
        <v>9482.25</v>
      </c>
      <c r="O27" s="235"/>
      <c r="P27" s="198"/>
      <c r="R27" s="129"/>
    </row>
    <row r="28" spans="1:18" ht="13.5" customHeight="1">
      <c r="A28" s="96" t="s">
        <v>31</v>
      </c>
      <c r="B28" s="99" t="s">
        <v>338</v>
      </c>
      <c r="C28" s="190">
        <v>30971.25</v>
      </c>
      <c r="D28" s="235">
        <v>2256.5</v>
      </c>
      <c r="E28" s="235">
        <v>2800.25</v>
      </c>
      <c r="F28" s="235">
        <v>1514</v>
      </c>
      <c r="G28" s="235">
        <v>1372</v>
      </c>
      <c r="H28" s="235">
        <v>3665.5</v>
      </c>
      <c r="I28" s="235">
        <v>2831.5</v>
      </c>
      <c r="J28" s="235">
        <v>2751.5</v>
      </c>
      <c r="K28" s="235">
        <v>2683.5</v>
      </c>
      <c r="L28" s="235">
        <v>4173.5</v>
      </c>
      <c r="M28" s="235">
        <v>4415</v>
      </c>
      <c r="N28" s="235">
        <v>2508</v>
      </c>
      <c r="O28" s="235">
        <v>1749.5</v>
      </c>
      <c r="P28" s="198">
        <v>32702.75</v>
      </c>
      <c r="R28" s="129"/>
    </row>
    <row r="29" spans="1:18" ht="13.5" customHeight="1">
      <c r="A29" s="96"/>
      <c r="B29" s="99" t="s">
        <v>348</v>
      </c>
      <c r="C29" s="190">
        <v>36682.5</v>
      </c>
      <c r="D29" s="235">
        <v>1413.5</v>
      </c>
      <c r="E29" s="235">
        <v>2814.5</v>
      </c>
      <c r="F29" s="235">
        <v>1852.5</v>
      </c>
      <c r="G29" s="235">
        <v>2634.5</v>
      </c>
      <c r="H29" s="235">
        <v>3625</v>
      </c>
      <c r="I29" s="235">
        <v>6464</v>
      </c>
      <c r="J29" s="235">
        <v>3752.5</v>
      </c>
      <c r="K29" s="235">
        <v>5158</v>
      </c>
      <c r="L29" s="235">
        <v>3341</v>
      </c>
      <c r="M29" s="235">
        <v>3291</v>
      </c>
      <c r="N29" s="235">
        <v>2336</v>
      </c>
      <c r="O29" s="235"/>
      <c r="P29" s="198"/>
      <c r="R29" s="129"/>
    </row>
    <row r="30" spans="1:18" ht="13.5" customHeight="1">
      <c r="A30" s="96" t="s">
        <v>156</v>
      </c>
      <c r="B30" s="99" t="s">
        <v>338</v>
      </c>
      <c r="C30" s="190">
        <v>93032</v>
      </c>
      <c r="D30" s="235">
        <v>8010</v>
      </c>
      <c r="E30" s="235">
        <v>16830</v>
      </c>
      <c r="F30" s="235">
        <v>26035</v>
      </c>
      <c r="G30" s="235">
        <v>22596</v>
      </c>
      <c r="H30" s="235">
        <v>9230</v>
      </c>
      <c r="I30" s="235">
        <v>1266</v>
      </c>
      <c r="J30" s="235">
        <v>530</v>
      </c>
      <c r="K30" s="235">
        <v>1485</v>
      </c>
      <c r="L30" s="235">
        <v>1805</v>
      </c>
      <c r="M30" s="235">
        <v>2311</v>
      </c>
      <c r="N30" s="235">
        <v>2934</v>
      </c>
      <c r="O30" s="235">
        <v>3690</v>
      </c>
      <c r="P30" s="198">
        <v>96697</v>
      </c>
      <c r="R30" s="129"/>
    </row>
    <row r="31" spans="1:18" ht="13.5" customHeight="1">
      <c r="A31" s="96"/>
      <c r="B31" s="99" t="s">
        <v>348</v>
      </c>
      <c r="C31" s="190">
        <v>90236</v>
      </c>
      <c r="D31" s="235">
        <v>8399</v>
      </c>
      <c r="E31" s="235">
        <v>16724</v>
      </c>
      <c r="F31" s="235">
        <v>25799</v>
      </c>
      <c r="G31" s="235">
        <v>16054</v>
      </c>
      <c r="H31" s="235">
        <v>13342</v>
      </c>
      <c r="I31" s="235">
        <v>1699</v>
      </c>
      <c r="J31" s="235">
        <v>620</v>
      </c>
      <c r="K31" s="235">
        <v>1302</v>
      </c>
      <c r="L31" s="235">
        <v>1810</v>
      </c>
      <c r="M31" s="235">
        <v>1991</v>
      </c>
      <c r="N31" s="235">
        <v>2496</v>
      </c>
      <c r="O31" s="235"/>
      <c r="P31" s="198"/>
      <c r="R31" s="129"/>
    </row>
    <row r="32" spans="1:18" ht="13.5" customHeight="1">
      <c r="A32" s="96" t="s">
        <v>32</v>
      </c>
      <c r="B32" s="99" t="s">
        <v>338</v>
      </c>
      <c r="C32" s="190">
        <v>169721.2</v>
      </c>
      <c r="D32" s="235">
        <v>3422.7</v>
      </c>
      <c r="E32" s="235">
        <v>7638</v>
      </c>
      <c r="F32" s="235">
        <v>18059.5</v>
      </c>
      <c r="G32" s="235">
        <v>29711</v>
      </c>
      <c r="H32" s="235">
        <v>35801.5</v>
      </c>
      <c r="I32" s="235">
        <v>35147.5</v>
      </c>
      <c r="J32" s="235">
        <v>22231.5</v>
      </c>
      <c r="K32" s="235">
        <v>5799</v>
      </c>
      <c r="L32" s="235">
        <v>4363.5</v>
      </c>
      <c r="M32" s="235">
        <v>3147.5</v>
      </c>
      <c r="N32" s="235">
        <v>4399.5</v>
      </c>
      <c r="O32" s="235">
        <v>1946.5</v>
      </c>
      <c r="P32" s="198">
        <v>171616.7</v>
      </c>
      <c r="R32" s="129"/>
    </row>
    <row r="33" spans="1:18" ht="13.5" customHeight="1">
      <c r="A33" s="96"/>
      <c r="B33" s="99" t="s">
        <v>348</v>
      </c>
      <c r="C33" s="190">
        <v>167518.6</v>
      </c>
      <c r="D33" s="235">
        <v>3602.5</v>
      </c>
      <c r="E33" s="235">
        <v>6299</v>
      </c>
      <c r="F33" s="235">
        <v>16200.1</v>
      </c>
      <c r="G33" s="235">
        <v>18210</v>
      </c>
      <c r="H33" s="235">
        <v>26999</v>
      </c>
      <c r="I33" s="235">
        <v>45000</v>
      </c>
      <c r="J33" s="235">
        <v>32605</v>
      </c>
      <c r="K33" s="235">
        <v>9966.5</v>
      </c>
      <c r="L33" s="235">
        <v>2521</v>
      </c>
      <c r="M33" s="235">
        <v>3186</v>
      </c>
      <c r="N33" s="235">
        <v>2929.5</v>
      </c>
      <c r="O33" s="235"/>
      <c r="P33" s="198"/>
      <c r="R33" s="129"/>
    </row>
    <row r="34" spans="1:18" ht="12.75">
      <c r="A34" s="133"/>
      <c r="B34" s="97"/>
      <c r="C34" s="97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135" t="s">
        <v>0</v>
      </c>
      <c r="P34" s="135" t="s">
        <v>340</v>
      </c>
      <c r="R34" s="231"/>
    </row>
    <row r="35" spans="1:18" ht="14.25" customHeight="1">
      <c r="A35" s="67" t="s">
        <v>245</v>
      </c>
      <c r="B35" s="99"/>
      <c r="C35" s="99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98"/>
      <c r="R35" s="231"/>
    </row>
    <row r="36" spans="1:18" ht="18" customHeight="1">
      <c r="A36" s="317" t="s">
        <v>49</v>
      </c>
      <c r="B36" s="318" t="s">
        <v>199</v>
      </c>
      <c r="C36" s="317" t="s">
        <v>469</v>
      </c>
      <c r="D36" s="319" t="s">
        <v>296</v>
      </c>
      <c r="E36" s="319" t="s">
        <v>297</v>
      </c>
      <c r="F36" s="319" t="s">
        <v>298</v>
      </c>
      <c r="G36" s="319" t="s">
        <v>173</v>
      </c>
      <c r="H36" s="319" t="s">
        <v>174</v>
      </c>
      <c r="I36" s="319" t="s">
        <v>175</v>
      </c>
      <c r="J36" s="319" t="s">
        <v>176</v>
      </c>
      <c r="K36" s="319" t="s">
        <v>177</v>
      </c>
      <c r="L36" s="317" t="s">
        <v>178</v>
      </c>
      <c r="M36" s="319" t="s">
        <v>179</v>
      </c>
      <c r="N36" s="319" t="s">
        <v>180</v>
      </c>
      <c r="O36" s="319" t="s">
        <v>181</v>
      </c>
      <c r="P36" s="243" t="s">
        <v>480</v>
      </c>
      <c r="R36" s="232"/>
    </row>
    <row r="37" spans="1:18" ht="13.5" customHeight="1">
      <c r="A37" s="96" t="s">
        <v>33</v>
      </c>
      <c r="B37" s="99" t="s">
        <v>338</v>
      </c>
      <c r="C37" s="190">
        <v>80101</v>
      </c>
      <c r="D37" s="235">
        <v>3598</v>
      </c>
      <c r="E37" s="235">
        <v>4076</v>
      </c>
      <c r="F37" s="235">
        <v>1198</v>
      </c>
      <c r="G37" s="235">
        <v>3623</v>
      </c>
      <c r="H37" s="235">
        <v>1605</v>
      </c>
      <c r="I37" s="235">
        <v>24433</v>
      </c>
      <c r="J37" s="235">
        <v>25218</v>
      </c>
      <c r="K37" s="235">
        <v>3896</v>
      </c>
      <c r="L37" s="235">
        <v>3677</v>
      </c>
      <c r="M37" s="235">
        <v>3941</v>
      </c>
      <c r="N37" s="235">
        <v>4836</v>
      </c>
      <c r="O37" s="235">
        <v>3448</v>
      </c>
      <c r="P37" s="198">
        <v>83180</v>
      </c>
      <c r="R37" s="129"/>
    </row>
    <row r="38" spans="1:18" ht="13.5" customHeight="1">
      <c r="A38" s="96"/>
      <c r="B38" s="99" t="s">
        <v>348</v>
      </c>
      <c r="C38" s="190">
        <v>74540</v>
      </c>
      <c r="D38" s="235">
        <v>2532</v>
      </c>
      <c r="E38" s="235">
        <v>3469</v>
      </c>
      <c r="F38" s="235">
        <v>1014</v>
      </c>
      <c r="G38" s="235">
        <v>2268</v>
      </c>
      <c r="H38" s="235">
        <v>2468</v>
      </c>
      <c r="I38" s="235">
        <v>9969</v>
      </c>
      <c r="J38" s="235">
        <v>35540</v>
      </c>
      <c r="K38" s="235">
        <v>8406</v>
      </c>
      <c r="L38" s="235">
        <v>4087</v>
      </c>
      <c r="M38" s="235">
        <v>866</v>
      </c>
      <c r="N38" s="235">
        <v>3921</v>
      </c>
      <c r="O38" s="235"/>
      <c r="P38" s="198"/>
      <c r="R38" s="129"/>
    </row>
    <row r="39" spans="1:18" ht="13.5" customHeight="1">
      <c r="A39" s="96" t="s">
        <v>34</v>
      </c>
      <c r="B39" s="99" t="s">
        <v>338</v>
      </c>
      <c r="C39" s="190">
        <v>44547.1</v>
      </c>
      <c r="D39" s="235">
        <v>5969.5</v>
      </c>
      <c r="E39" s="235">
        <v>4426.5</v>
      </c>
      <c r="F39" s="235">
        <v>4428</v>
      </c>
      <c r="G39" s="235">
        <v>3533.3</v>
      </c>
      <c r="H39" s="235">
        <v>3419</v>
      </c>
      <c r="I39" s="235">
        <v>5241.3</v>
      </c>
      <c r="J39" s="235">
        <v>3960</v>
      </c>
      <c r="K39" s="235">
        <v>2571</v>
      </c>
      <c r="L39" s="235">
        <v>3004</v>
      </c>
      <c r="M39" s="235">
        <v>3170.5</v>
      </c>
      <c r="N39" s="235">
        <v>4824</v>
      </c>
      <c r="O39" s="235">
        <v>4986.3</v>
      </c>
      <c r="P39" s="198">
        <v>49556.9</v>
      </c>
      <c r="R39" s="129"/>
    </row>
    <row r="40" spans="1:18" ht="13.5" customHeight="1">
      <c r="A40" s="96"/>
      <c r="B40" s="99" t="s">
        <v>348</v>
      </c>
      <c r="C40" s="190">
        <v>48022.9</v>
      </c>
      <c r="D40" s="235">
        <v>5136.5</v>
      </c>
      <c r="E40" s="235">
        <v>5469</v>
      </c>
      <c r="F40" s="235">
        <v>3572.5</v>
      </c>
      <c r="G40" s="235">
        <v>2838</v>
      </c>
      <c r="H40" s="235">
        <v>2707.2</v>
      </c>
      <c r="I40" s="235">
        <v>4992</v>
      </c>
      <c r="J40" s="235">
        <v>6039.2999999999993</v>
      </c>
      <c r="K40" s="235">
        <v>4518.8999999999996</v>
      </c>
      <c r="L40" s="235">
        <v>3525</v>
      </c>
      <c r="M40" s="235">
        <v>3810</v>
      </c>
      <c r="N40" s="235">
        <v>5414.5</v>
      </c>
      <c r="O40" s="235"/>
      <c r="P40" s="198"/>
      <c r="R40" s="129"/>
    </row>
    <row r="41" spans="1:18" ht="13.5" customHeight="1">
      <c r="A41" s="96" t="s">
        <v>292</v>
      </c>
      <c r="B41" s="99" t="s">
        <v>338</v>
      </c>
      <c r="C41" s="190">
        <v>2027</v>
      </c>
      <c r="D41" s="235">
        <v>280</v>
      </c>
      <c r="E41" s="235">
        <v>236</v>
      </c>
      <c r="F41" s="235">
        <v>228</v>
      </c>
      <c r="G41" s="235">
        <v>116</v>
      </c>
      <c r="H41" s="235">
        <v>126</v>
      </c>
      <c r="I41" s="235">
        <v>198</v>
      </c>
      <c r="J41" s="235">
        <v>219</v>
      </c>
      <c r="K41" s="235">
        <v>150</v>
      </c>
      <c r="L41" s="235">
        <v>99</v>
      </c>
      <c r="M41" s="235">
        <v>181</v>
      </c>
      <c r="N41" s="235">
        <v>194</v>
      </c>
      <c r="O41" s="235">
        <v>124</v>
      </c>
      <c r="P41" s="198">
        <v>2151</v>
      </c>
      <c r="R41" s="129"/>
    </row>
    <row r="42" spans="1:18" ht="13.5" customHeight="1">
      <c r="A42" s="96"/>
      <c r="B42" s="99" t="s">
        <v>348</v>
      </c>
      <c r="C42" s="190">
        <v>2071</v>
      </c>
      <c r="D42" s="235">
        <v>200</v>
      </c>
      <c r="E42" s="235">
        <v>253</v>
      </c>
      <c r="F42" s="235">
        <v>230</v>
      </c>
      <c r="G42" s="235">
        <v>64</v>
      </c>
      <c r="H42" s="235">
        <v>138</v>
      </c>
      <c r="I42" s="235">
        <v>234</v>
      </c>
      <c r="J42" s="235">
        <v>250</v>
      </c>
      <c r="K42" s="235">
        <v>211</v>
      </c>
      <c r="L42" s="235">
        <v>133</v>
      </c>
      <c r="M42" s="235">
        <v>170</v>
      </c>
      <c r="N42" s="235">
        <v>188</v>
      </c>
      <c r="O42" s="235"/>
      <c r="P42" s="198"/>
      <c r="R42" s="129"/>
    </row>
    <row r="43" spans="1:18" ht="13.5" customHeight="1">
      <c r="A43" s="96" t="s">
        <v>35</v>
      </c>
      <c r="B43" s="99" t="s">
        <v>338</v>
      </c>
      <c r="C43" s="190">
        <v>107685</v>
      </c>
      <c r="D43" s="235">
        <v>20599</v>
      </c>
      <c r="E43" s="235">
        <v>17869</v>
      </c>
      <c r="F43" s="235">
        <v>13127</v>
      </c>
      <c r="G43" s="235">
        <v>7729</v>
      </c>
      <c r="H43" s="235">
        <v>6261</v>
      </c>
      <c r="I43" s="235">
        <v>4156</v>
      </c>
      <c r="J43" s="235">
        <v>4066</v>
      </c>
      <c r="K43" s="235">
        <v>2785</v>
      </c>
      <c r="L43" s="235">
        <v>4528</v>
      </c>
      <c r="M43" s="235">
        <v>8990</v>
      </c>
      <c r="N43" s="235">
        <v>17575</v>
      </c>
      <c r="O43" s="235">
        <v>24189</v>
      </c>
      <c r="P43" s="198">
        <v>129835</v>
      </c>
      <c r="R43" s="129"/>
    </row>
    <row r="44" spans="1:18" ht="13.5" customHeight="1">
      <c r="A44" s="96"/>
      <c r="B44" s="99" t="s">
        <v>348</v>
      </c>
      <c r="C44" s="190">
        <v>109751</v>
      </c>
      <c r="D44" s="235">
        <v>21012</v>
      </c>
      <c r="E44" s="235">
        <v>17957</v>
      </c>
      <c r="F44" s="235">
        <v>13288</v>
      </c>
      <c r="G44" s="235">
        <v>7146</v>
      </c>
      <c r="H44" s="235">
        <v>6697</v>
      </c>
      <c r="I44" s="235">
        <v>4259</v>
      </c>
      <c r="J44" s="235">
        <v>4651</v>
      </c>
      <c r="K44" s="235">
        <v>2859</v>
      </c>
      <c r="L44" s="235">
        <v>4652</v>
      </c>
      <c r="M44" s="235">
        <v>9208</v>
      </c>
      <c r="N44" s="235">
        <v>18022</v>
      </c>
      <c r="O44" s="235"/>
      <c r="P44" s="198"/>
      <c r="R44" s="129"/>
    </row>
    <row r="45" spans="1:18" ht="13.5" customHeight="1">
      <c r="A45" s="100" t="s">
        <v>54</v>
      </c>
      <c r="B45" s="99" t="s">
        <v>338</v>
      </c>
      <c r="C45" s="190">
        <v>10084.5</v>
      </c>
      <c r="D45" s="235">
        <v>292.5</v>
      </c>
      <c r="E45" s="235">
        <v>2340.25</v>
      </c>
      <c r="F45" s="235">
        <v>4777.5</v>
      </c>
      <c r="G45" s="235">
        <v>1243.5</v>
      </c>
      <c r="H45" s="235">
        <v>191</v>
      </c>
      <c r="I45" s="235">
        <v>135</v>
      </c>
      <c r="J45" s="235">
        <v>144</v>
      </c>
      <c r="K45" s="235">
        <v>113.5</v>
      </c>
      <c r="L45" s="235">
        <v>319</v>
      </c>
      <c r="M45" s="235">
        <v>419.75</v>
      </c>
      <c r="N45" s="235">
        <v>108.5</v>
      </c>
      <c r="O45" s="235">
        <v>106.5</v>
      </c>
      <c r="P45" s="198">
        <v>10191</v>
      </c>
      <c r="R45" s="129"/>
    </row>
    <row r="46" spans="1:18" ht="13.5" customHeight="1">
      <c r="A46" s="100"/>
      <c r="B46" s="99" t="s">
        <v>348</v>
      </c>
      <c r="C46" s="190">
        <v>11806.5</v>
      </c>
      <c r="D46" s="235">
        <v>453</v>
      </c>
      <c r="E46" s="235">
        <v>3490</v>
      </c>
      <c r="F46" s="235">
        <v>3851</v>
      </c>
      <c r="G46" s="235">
        <v>1735.5</v>
      </c>
      <c r="H46" s="235">
        <v>520.5</v>
      </c>
      <c r="I46" s="235">
        <v>226</v>
      </c>
      <c r="J46" s="235">
        <v>210.5</v>
      </c>
      <c r="K46" s="235">
        <v>186</v>
      </c>
      <c r="L46" s="235">
        <v>299</v>
      </c>
      <c r="M46" s="235">
        <v>519.5</v>
      </c>
      <c r="N46" s="235">
        <v>315.5</v>
      </c>
      <c r="O46" s="235"/>
      <c r="P46" s="198"/>
      <c r="R46" s="129"/>
    </row>
    <row r="47" spans="1:18" ht="13.5" customHeight="1">
      <c r="A47" s="96" t="s">
        <v>64</v>
      </c>
      <c r="B47" s="99" t="s">
        <v>338</v>
      </c>
      <c r="C47" s="190">
        <v>1910</v>
      </c>
      <c r="D47" s="235">
        <v>276</v>
      </c>
      <c r="E47" s="235">
        <v>681</v>
      </c>
      <c r="F47" s="235">
        <v>446</v>
      </c>
      <c r="G47" s="235">
        <v>110</v>
      </c>
      <c r="H47" s="235">
        <v>58</v>
      </c>
      <c r="I47" s="235">
        <v>109</v>
      </c>
      <c r="J47" s="235">
        <v>112</v>
      </c>
      <c r="K47" s="235">
        <v>16</v>
      </c>
      <c r="L47" s="235">
        <v>27</v>
      </c>
      <c r="M47" s="235">
        <v>20</v>
      </c>
      <c r="N47" s="235">
        <v>55</v>
      </c>
      <c r="O47" s="235">
        <v>9</v>
      </c>
      <c r="P47" s="198">
        <v>1913</v>
      </c>
      <c r="R47" s="129"/>
    </row>
    <row r="48" spans="1:18" ht="13.5" customHeight="1">
      <c r="A48" s="96"/>
      <c r="B48" s="99" t="s">
        <v>348</v>
      </c>
      <c r="C48" s="190">
        <v>2278</v>
      </c>
      <c r="D48" s="235">
        <v>362</v>
      </c>
      <c r="E48" s="235">
        <v>668</v>
      </c>
      <c r="F48" s="235">
        <v>429</v>
      </c>
      <c r="G48" s="235">
        <v>216</v>
      </c>
      <c r="H48" s="235">
        <v>126</v>
      </c>
      <c r="I48" s="235">
        <v>215</v>
      </c>
      <c r="J48" s="235">
        <v>98</v>
      </c>
      <c r="K48" s="235">
        <v>52</v>
      </c>
      <c r="L48" s="235">
        <v>52</v>
      </c>
      <c r="M48" s="235">
        <v>24</v>
      </c>
      <c r="N48" s="235">
        <v>36</v>
      </c>
      <c r="O48" s="235"/>
      <c r="P48" s="198"/>
      <c r="R48" s="129"/>
    </row>
    <row r="49" spans="1:18" ht="13.5" customHeight="1">
      <c r="A49" s="96" t="s">
        <v>36</v>
      </c>
      <c r="B49" s="99" t="s">
        <v>338</v>
      </c>
      <c r="C49" s="190">
        <v>23429.09</v>
      </c>
      <c r="D49" s="235">
        <v>3739</v>
      </c>
      <c r="E49" s="235">
        <v>6263.5</v>
      </c>
      <c r="F49" s="235">
        <v>5807</v>
      </c>
      <c r="G49" s="235">
        <v>2201.5</v>
      </c>
      <c r="H49" s="235">
        <v>287.5</v>
      </c>
      <c r="I49" s="235">
        <v>305</v>
      </c>
      <c r="J49" s="235">
        <v>680</v>
      </c>
      <c r="K49" s="235">
        <v>1100</v>
      </c>
      <c r="L49" s="235">
        <v>1091</v>
      </c>
      <c r="M49" s="235">
        <v>875.12</v>
      </c>
      <c r="N49" s="235">
        <v>1079.47</v>
      </c>
      <c r="O49" s="235">
        <v>1103.97</v>
      </c>
      <c r="P49" s="198">
        <v>24533.06</v>
      </c>
      <c r="R49" s="129"/>
    </row>
    <row r="50" spans="1:18" ht="13.5" customHeight="1">
      <c r="A50" s="96"/>
      <c r="B50" s="99" t="s">
        <v>348</v>
      </c>
      <c r="C50" s="190">
        <v>26084.5</v>
      </c>
      <c r="D50" s="235">
        <v>5181</v>
      </c>
      <c r="E50" s="235">
        <v>7130.5</v>
      </c>
      <c r="F50" s="235">
        <v>6543</v>
      </c>
      <c r="G50" s="235">
        <v>1518</v>
      </c>
      <c r="H50" s="235">
        <v>437</v>
      </c>
      <c r="I50" s="235">
        <v>358</v>
      </c>
      <c r="J50" s="235">
        <v>515</v>
      </c>
      <c r="K50" s="235">
        <v>1225</v>
      </c>
      <c r="L50" s="235">
        <v>1113</v>
      </c>
      <c r="M50" s="235">
        <v>960</v>
      </c>
      <c r="N50" s="235">
        <v>1104</v>
      </c>
      <c r="O50" s="235"/>
      <c r="P50" s="198"/>
      <c r="R50" s="129"/>
    </row>
    <row r="51" spans="1:18" ht="13.5" customHeight="1">
      <c r="A51" s="96" t="s">
        <v>37</v>
      </c>
      <c r="B51" s="99" t="s">
        <v>338</v>
      </c>
      <c r="C51" s="190">
        <v>107208</v>
      </c>
      <c r="D51" s="235">
        <v>16195</v>
      </c>
      <c r="E51" s="235">
        <v>9701</v>
      </c>
      <c r="F51" s="235">
        <v>973</v>
      </c>
      <c r="G51" s="235">
        <v>3580</v>
      </c>
      <c r="H51" s="235">
        <v>3077</v>
      </c>
      <c r="I51" s="235">
        <v>14159</v>
      </c>
      <c r="J51" s="235">
        <v>22512</v>
      </c>
      <c r="K51" s="235">
        <v>26330</v>
      </c>
      <c r="L51" s="235">
        <v>7459</v>
      </c>
      <c r="M51" s="235">
        <v>2214</v>
      </c>
      <c r="N51" s="235">
        <v>1008</v>
      </c>
      <c r="O51" s="235">
        <v>4561</v>
      </c>
      <c r="P51" s="198">
        <v>111769</v>
      </c>
      <c r="R51" s="129"/>
    </row>
    <row r="52" spans="1:18" ht="13.5" customHeight="1">
      <c r="A52" s="96"/>
      <c r="B52" s="99" t="s">
        <v>348</v>
      </c>
      <c r="C52" s="190">
        <v>112833</v>
      </c>
      <c r="D52" s="235">
        <v>19799</v>
      </c>
      <c r="E52" s="235">
        <v>2323</v>
      </c>
      <c r="F52" s="235">
        <v>2243</v>
      </c>
      <c r="G52" s="235">
        <v>988</v>
      </c>
      <c r="H52" s="235">
        <v>3933</v>
      </c>
      <c r="I52" s="235">
        <v>16445</v>
      </c>
      <c r="J52" s="235">
        <v>36300</v>
      </c>
      <c r="K52" s="235">
        <v>22103</v>
      </c>
      <c r="L52" s="235">
        <v>6454</v>
      </c>
      <c r="M52" s="235">
        <v>1306</v>
      </c>
      <c r="N52" s="235">
        <v>939</v>
      </c>
      <c r="O52" s="235"/>
      <c r="P52" s="198"/>
      <c r="R52" s="129"/>
    </row>
    <row r="53" spans="1:18" ht="13.5" customHeight="1">
      <c r="A53" s="96" t="s">
        <v>38</v>
      </c>
      <c r="B53" s="99" t="s">
        <v>338</v>
      </c>
      <c r="C53" s="190">
        <v>244278</v>
      </c>
      <c r="D53" s="235">
        <v>8089</v>
      </c>
      <c r="E53" s="235">
        <v>29944</v>
      </c>
      <c r="F53" s="235">
        <v>93813</v>
      </c>
      <c r="G53" s="235">
        <v>69062</v>
      </c>
      <c r="H53" s="235">
        <v>41280</v>
      </c>
      <c r="I53" s="235">
        <v>1230</v>
      </c>
      <c r="J53" s="235">
        <v>0</v>
      </c>
      <c r="K53" s="235">
        <v>0</v>
      </c>
      <c r="L53" s="235">
        <v>0</v>
      </c>
      <c r="M53" s="235">
        <v>0</v>
      </c>
      <c r="N53" s="235">
        <v>860</v>
      </c>
      <c r="O53" s="235">
        <v>1107</v>
      </c>
      <c r="P53" s="198">
        <v>245385</v>
      </c>
      <c r="R53" s="129"/>
    </row>
    <row r="54" spans="1:18" ht="13.5" customHeight="1">
      <c r="A54" s="96"/>
      <c r="B54" s="99" t="s">
        <v>348</v>
      </c>
      <c r="C54" s="190">
        <v>242509</v>
      </c>
      <c r="D54" s="235">
        <v>8323</v>
      </c>
      <c r="E54" s="235">
        <v>34753</v>
      </c>
      <c r="F54" s="235">
        <v>90613</v>
      </c>
      <c r="G54" s="235">
        <v>58154</v>
      </c>
      <c r="H54" s="235">
        <v>47346</v>
      </c>
      <c r="I54" s="235">
        <v>2820</v>
      </c>
      <c r="J54" s="235">
        <v>0</v>
      </c>
      <c r="K54" s="235">
        <v>0</v>
      </c>
      <c r="L54" s="235">
        <v>0</v>
      </c>
      <c r="M54" s="235">
        <v>0</v>
      </c>
      <c r="N54" s="235">
        <v>500</v>
      </c>
      <c r="O54" s="235"/>
      <c r="P54" s="198"/>
      <c r="R54" s="129"/>
    </row>
    <row r="55" spans="1:18" ht="13.5" customHeight="1">
      <c r="A55" s="96" t="s">
        <v>67</v>
      </c>
      <c r="B55" s="99" t="s">
        <v>338</v>
      </c>
      <c r="C55" s="190">
        <v>154976</v>
      </c>
      <c r="D55" s="235">
        <v>15742</v>
      </c>
      <c r="E55" s="235">
        <v>20310.5</v>
      </c>
      <c r="F55" s="235">
        <v>16409</v>
      </c>
      <c r="G55" s="235">
        <v>11024</v>
      </c>
      <c r="H55" s="235">
        <v>10639</v>
      </c>
      <c r="I55" s="235">
        <v>13356</v>
      </c>
      <c r="J55" s="235">
        <v>20070.75</v>
      </c>
      <c r="K55" s="235">
        <v>17477.5</v>
      </c>
      <c r="L55" s="235">
        <v>11006.75</v>
      </c>
      <c r="M55" s="235">
        <v>9101.5</v>
      </c>
      <c r="N55" s="235">
        <v>9839</v>
      </c>
      <c r="O55" s="235">
        <v>12569.5</v>
      </c>
      <c r="P55" s="198">
        <v>166642</v>
      </c>
      <c r="R55" s="129"/>
    </row>
    <row r="56" spans="1:18" ht="13.5" customHeight="1">
      <c r="A56" s="96"/>
      <c r="B56" s="99" t="s">
        <v>348</v>
      </c>
      <c r="C56" s="190">
        <v>151148.1</v>
      </c>
      <c r="D56" s="235">
        <v>12357</v>
      </c>
      <c r="E56" s="235">
        <v>20375</v>
      </c>
      <c r="F56" s="235">
        <v>13410</v>
      </c>
      <c r="G56" s="235">
        <v>8465</v>
      </c>
      <c r="H56" s="235">
        <v>10806.1</v>
      </c>
      <c r="I56" s="235">
        <v>13411.5</v>
      </c>
      <c r="J56" s="235">
        <v>20195.5</v>
      </c>
      <c r="K56" s="235">
        <v>18670</v>
      </c>
      <c r="L56" s="235">
        <v>10205.5</v>
      </c>
      <c r="M56" s="235">
        <v>11488</v>
      </c>
      <c r="N56" s="235">
        <v>11764.5</v>
      </c>
      <c r="O56" s="235"/>
      <c r="P56" s="198"/>
      <c r="R56" s="129"/>
    </row>
    <row r="57" spans="1:18" ht="13.5" customHeight="1">
      <c r="A57" s="96" t="s">
        <v>65</v>
      </c>
      <c r="B57" s="99" t="s">
        <v>338</v>
      </c>
      <c r="C57" s="190">
        <v>6113</v>
      </c>
      <c r="D57" s="235">
        <v>625</v>
      </c>
      <c r="E57" s="235">
        <v>842</v>
      </c>
      <c r="F57" s="235">
        <v>1033</v>
      </c>
      <c r="G57" s="235">
        <v>759</v>
      </c>
      <c r="H57" s="235">
        <v>439</v>
      </c>
      <c r="I57" s="235">
        <v>373</v>
      </c>
      <c r="J57" s="235">
        <v>358</v>
      </c>
      <c r="K57" s="235">
        <v>442</v>
      </c>
      <c r="L57" s="235">
        <v>502</v>
      </c>
      <c r="M57" s="235">
        <v>424</v>
      </c>
      <c r="N57" s="235">
        <v>316</v>
      </c>
      <c r="O57" s="235">
        <v>425</v>
      </c>
      <c r="P57" s="198">
        <v>6538</v>
      </c>
      <c r="R57" s="129"/>
    </row>
    <row r="58" spans="1:18" ht="13.5" customHeight="1">
      <c r="A58" s="96"/>
      <c r="B58" s="99" t="s">
        <v>348</v>
      </c>
      <c r="C58" s="190">
        <v>6337</v>
      </c>
      <c r="D58" s="235">
        <v>686</v>
      </c>
      <c r="E58" s="235">
        <v>915</v>
      </c>
      <c r="F58" s="235">
        <v>985</v>
      </c>
      <c r="G58" s="235">
        <v>825</v>
      </c>
      <c r="H58" s="235">
        <v>456</v>
      </c>
      <c r="I58" s="235">
        <v>387</v>
      </c>
      <c r="J58" s="235">
        <v>341</v>
      </c>
      <c r="K58" s="235">
        <v>412</v>
      </c>
      <c r="L58" s="235">
        <v>564</v>
      </c>
      <c r="M58" s="235">
        <v>383</v>
      </c>
      <c r="N58" s="235">
        <v>383</v>
      </c>
      <c r="O58" s="235"/>
      <c r="P58" s="198"/>
      <c r="R58" s="129"/>
    </row>
    <row r="59" spans="1:18" ht="13.5" customHeight="1">
      <c r="A59" s="96" t="s">
        <v>66</v>
      </c>
      <c r="B59" s="99" t="s">
        <v>338</v>
      </c>
      <c r="C59" s="190">
        <v>12369.150000000001</v>
      </c>
      <c r="D59" s="235">
        <v>5331.300000000002</v>
      </c>
      <c r="E59" s="235">
        <v>263.79999999999995</v>
      </c>
      <c r="F59" s="235">
        <v>67.099999999999994</v>
      </c>
      <c r="G59" s="235">
        <v>76.45</v>
      </c>
      <c r="H59" s="235">
        <v>52.95</v>
      </c>
      <c r="I59" s="235">
        <v>727.5</v>
      </c>
      <c r="J59" s="235">
        <v>5069.8500000000004</v>
      </c>
      <c r="K59" s="235">
        <v>599.79999999999995</v>
      </c>
      <c r="L59" s="235">
        <v>47.25</v>
      </c>
      <c r="M59" s="235">
        <v>57.8</v>
      </c>
      <c r="N59" s="235">
        <v>75.350000000000009</v>
      </c>
      <c r="O59" s="235">
        <v>478.70000000000005</v>
      </c>
      <c r="P59" s="198">
        <v>12847.85</v>
      </c>
      <c r="R59" s="129"/>
    </row>
    <row r="60" spans="1:18" ht="13.5" customHeight="1">
      <c r="A60" s="96"/>
      <c r="B60" s="99" t="s">
        <v>348</v>
      </c>
      <c r="C60" s="190">
        <v>15872.999999999998</v>
      </c>
      <c r="D60" s="235">
        <v>6307.8</v>
      </c>
      <c r="E60" s="235">
        <v>522.34999999999991</v>
      </c>
      <c r="F60" s="235">
        <v>99.149999999999977</v>
      </c>
      <c r="G60" s="235">
        <v>73.350000000000009</v>
      </c>
      <c r="H60" s="235">
        <v>74.3</v>
      </c>
      <c r="I60" s="235">
        <v>1686.1000000000001</v>
      </c>
      <c r="J60" s="235">
        <v>5425.8</v>
      </c>
      <c r="K60" s="235">
        <v>1294.45</v>
      </c>
      <c r="L60" s="235">
        <v>125.39999999999999</v>
      </c>
      <c r="M60" s="235">
        <v>133.64999999999998</v>
      </c>
      <c r="N60" s="235">
        <v>130.65</v>
      </c>
      <c r="O60" s="235"/>
      <c r="P60" s="198"/>
      <c r="R60" s="129"/>
    </row>
    <row r="61" spans="1:18" ht="13.5" customHeight="1">
      <c r="A61" s="96" t="s">
        <v>68</v>
      </c>
      <c r="B61" s="99" t="s">
        <v>338</v>
      </c>
      <c r="C61" s="190">
        <v>31956.25</v>
      </c>
      <c r="D61" s="235">
        <v>3870.5</v>
      </c>
      <c r="E61" s="235">
        <v>4211</v>
      </c>
      <c r="F61" s="235">
        <v>3421</v>
      </c>
      <c r="G61" s="235">
        <v>2480</v>
      </c>
      <c r="H61" s="235">
        <v>3144</v>
      </c>
      <c r="I61" s="235">
        <v>2096</v>
      </c>
      <c r="J61" s="235">
        <v>1834</v>
      </c>
      <c r="K61" s="235">
        <v>1519</v>
      </c>
      <c r="L61" s="235">
        <v>3005.5</v>
      </c>
      <c r="M61" s="235">
        <v>3343.33</v>
      </c>
      <c r="N61" s="235">
        <v>3031.92</v>
      </c>
      <c r="O61" s="235">
        <v>2267.2689999999998</v>
      </c>
      <c r="P61" s="198">
        <v>34223.519</v>
      </c>
      <c r="R61" s="129"/>
    </row>
    <row r="62" spans="1:18" ht="13.5" customHeight="1">
      <c r="A62" s="96"/>
      <c r="B62" s="99" t="s">
        <v>348</v>
      </c>
      <c r="C62" s="190">
        <v>26683</v>
      </c>
      <c r="D62" s="235">
        <v>2741</v>
      </c>
      <c r="E62" s="235">
        <v>3981</v>
      </c>
      <c r="F62" s="235">
        <v>3800</v>
      </c>
      <c r="G62" s="235">
        <v>3304</v>
      </c>
      <c r="H62" s="235">
        <v>2238</v>
      </c>
      <c r="I62" s="235">
        <v>1055</v>
      </c>
      <c r="J62" s="235">
        <v>791</v>
      </c>
      <c r="K62" s="235">
        <v>1688</v>
      </c>
      <c r="L62" s="235">
        <v>1884</v>
      </c>
      <c r="M62" s="235">
        <v>2800</v>
      </c>
      <c r="N62" s="235">
        <v>2401</v>
      </c>
      <c r="O62" s="235"/>
      <c r="P62" s="198"/>
      <c r="R62" s="129"/>
    </row>
    <row r="63" spans="1:18" ht="9" customHeight="1">
      <c r="A63" s="233" t="s">
        <v>91</v>
      </c>
      <c r="B63" s="97"/>
      <c r="C63" s="97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5"/>
      <c r="R63" s="49"/>
    </row>
    <row r="64" spans="1:18" ht="9" customHeight="1">
      <c r="A64" s="137" t="s">
        <v>98</v>
      </c>
      <c r="B64" s="136"/>
      <c r="C64" s="136"/>
      <c r="D64" s="123"/>
      <c r="E64" s="123"/>
      <c r="F64" s="123"/>
      <c r="G64" s="123"/>
      <c r="R64" s="49"/>
    </row>
    <row r="65" spans="1:18" ht="9" customHeight="1">
      <c r="A65" s="366" t="s">
        <v>360</v>
      </c>
      <c r="B65" s="366"/>
      <c r="C65" s="366"/>
      <c r="D65" s="366"/>
      <c r="E65" s="366"/>
      <c r="F65" s="366"/>
      <c r="G65" s="366"/>
      <c r="R65" s="49"/>
    </row>
    <row r="66" spans="1:18" ht="17.25" customHeight="1">
      <c r="R66" s="49"/>
    </row>
    <row r="67" spans="1:18" ht="17.25" customHeight="1">
      <c r="R67" s="49"/>
    </row>
    <row r="68" spans="1:18" ht="17.25" customHeight="1">
      <c r="R68" s="49"/>
    </row>
    <row r="69" spans="1:18" ht="17.25" customHeight="1">
      <c r="R69" s="49"/>
    </row>
    <row r="70" spans="1:18" ht="17.25" customHeight="1">
      <c r="R70" s="49"/>
    </row>
    <row r="71" spans="1:18" ht="17.25" customHeight="1">
      <c r="R71" s="49"/>
    </row>
    <row r="72" spans="1:18" ht="17.25" customHeight="1">
      <c r="R72" s="49"/>
    </row>
    <row r="73" spans="1:18" ht="17.25" customHeight="1">
      <c r="R73" s="49"/>
    </row>
    <row r="74" spans="1:18" ht="17.25" customHeight="1">
      <c r="R74" s="49"/>
    </row>
    <row r="75" spans="1:18" ht="17.25" customHeight="1">
      <c r="R75" s="49"/>
    </row>
    <row r="76" spans="1:18" ht="17.25" customHeight="1">
      <c r="R76" s="49"/>
    </row>
    <row r="77" spans="1:18" ht="17.25" customHeight="1">
      <c r="R77" s="49"/>
    </row>
    <row r="78" spans="1:18" ht="17.25" customHeight="1">
      <c r="R78" s="49"/>
    </row>
    <row r="79" spans="1:18" ht="17.25" customHeight="1">
      <c r="R79" s="49"/>
    </row>
    <row r="80" spans="1:18" ht="17.25" customHeight="1">
      <c r="R80" s="49"/>
    </row>
    <row r="81" spans="18:18" ht="17.25" customHeight="1">
      <c r="R81" s="49"/>
    </row>
    <row r="82" spans="18:18" ht="17.25" customHeight="1">
      <c r="R82" s="49"/>
    </row>
    <row r="83" spans="18:18" ht="17.25" customHeight="1">
      <c r="R83" s="49"/>
    </row>
    <row r="84" spans="18:18" ht="17.25" customHeight="1">
      <c r="R84" s="49"/>
    </row>
    <row r="85" spans="18:18" ht="17.25" customHeight="1">
      <c r="R85" s="49"/>
    </row>
    <row r="86" spans="18:18" ht="17.25" customHeight="1">
      <c r="R86" s="49"/>
    </row>
    <row r="87" spans="18:18" ht="17.25" customHeight="1">
      <c r="R87" s="49"/>
    </row>
    <row r="88" spans="18:18" ht="17.25" customHeight="1">
      <c r="R88" s="49"/>
    </row>
    <row r="89" spans="18:18" ht="17.25" customHeight="1">
      <c r="R89" s="49"/>
    </row>
    <row r="90" spans="18:18" ht="17.25" customHeight="1">
      <c r="R90" s="49"/>
    </row>
    <row r="91" spans="18:18" ht="17.25" customHeight="1">
      <c r="R91" s="49"/>
    </row>
    <row r="108" spans="18:18" ht="17.25" customHeight="1">
      <c r="R108" s="189"/>
    </row>
    <row r="197" spans="18:18" ht="17.25" customHeight="1">
      <c r="R197" s="189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G5" sqref="G5"/>
    </sheetView>
  </sheetViews>
  <sheetFormatPr baseColWidth="10" defaultColWidth="10.7109375" defaultRowHeight="17.25" customHeight="1"/>
  <cols>
    <col min="1" max="1" width="11" style="162" customWidth="1"/>
    <col min="2" max="2" width="6.42578125" style="162" customWidth="1"/>
    <col min="3" max="3" width="8.7109375" style="162" customWidth="1"/>
    <col min="4" max="15" width="6.85546875" style="162" customWidth="1"/>
    <col min="16" max="16" width="7.140625" style="162" hidden="1" customWidth="1"/>
    <col min="17" max="17" width="7.140625" style="162" customWidth="1"/>
    <col min="18" max="16384" width="10.7109375" style="162"/>
  </cols>
  <sheetData>
    <row r="1" spans="1:17" ht="16.5" customHeight="1">
      <c r="A1" s="179" t="s">
        <v>490</v>
      </c>
      <c r="B1" s="176"/>
      <c r="C1" s="44"/>
      <c r="D1" s="44"/>
    </row>
    <row r="2" spans="1:17" ht="12" customHeight="1">
      <c r="A2" s="92" t="s">
        <v>491</v>
      </c>
      <c r="B2" s="24"/>
    </row>
    <row r="3" spans="1:17" ht="13.5">
      <c r="A3" s="305" t="s">
        <v>190</v>
      </c>
      <c r="B3" s="24"/>
    </row>
    <row r="4" spans="1:17" ht="5.25" customHeight="1">
      <c r="A4" s="86"/>
    </row>
    <row r="5" spans="1:17" ht="21.95" customHeight="1">
      <c r="A5" s="317" t="s">
        <v>57</v>
      </c>
      <c r="B5" s="318" t="s">
        <v>199</v>
      </c>
      <c r="C5" s="317" t="s">
        <v>469</v>
      </c>
      <c r="D5" s="317" t="s">
        <v>296</v>
      </c>
      <c r="E5" s="317" t="s">
        <v>297</v>
      </c>
      <c r="F5" s="317" t="s">
        <v>298</v>
      </c>
      <c r="G5" s="317" t="s">
        <v>173</v>
      </c>
      <c r="H5" s="317" t="s">
        <v>174</v>
      </c>
      <c r="I5" s="317" t="s">
        <v>175</v>
      </c>
      <c r="J5" s="317" t="s">
        <v>434</v>
      </c>
      <c r="K5" s="317" t="s">
        <v>177</v>
      </c>
      <c r="L5" s="317" t="s">
        <v>178</v>
      </c>
      <c r="M5" s="317" t="s">
        <v>179</v>
      </c>
      <c r="N5" s="317" t="s">
        <v>180</v>
      </c>
      <c r="O5" s="317" t="s">
        <v>181</v>
      </c>
      <c r="P5" s="132"/>
    </row>
    <row r="6" spans="1:17" ht="13.5" customHeight="1">
      <c r="A6" s="517" t="s">
        <v>182</v>
      </c>
      <c r="B6" s="307" t="s">
        <v>339</v>
      </c>
      <c r="C6" s="324">
        <v>2080195.5500000005</v>
      </c>
      <c r="D6" s="325">
        <v>149476.50000000003</v>
      </c>
      <c r="E6" s="325">
        <v>226518.65000000002</v>
      </c>
      <c r="F6" s="325">
        <v>397664.41</v>
      </c>
      <c r="G6" s="325">
        <v>371736.30000000005</v>
      </c>
      <c r="H6" s="325">
        <v>256899.85</v>
      </c>
      <c r="I6" s="325">
        <v>177004.05000000002</v>
      </c>
      <c r="J6" s="325">
        <v>151871.30000000002</v>
      </c>
      <c r="K6" s="325">
        <v>102249.55</v>
      </c>
      <c r="L6" s="325">
        <v>78055.099999999991</v>
      </c>
      <c r="M6" s="325">
        <v>78197.05</v>
      </c>
      <c r="N6" s="325">
        <v>90522.790000000008</v>
      </c>
      <c r="O6" s="325">
        <v>92098.539000000019</v>
      </c>
      <c r="P6" s="151"/>
      <c r="Q6" s="42"/>
    </row>
    <row r="7" spans="1:17" ht="13.5" customHeight="1">
      <c r="A7" s="518"/>
      <c r="B7" s="310" t="s">
        <v>347</v>
      </c>
      <c r="C7" s="326">
        <v>2091901.2119999998</v>
      </c>
      <c r="D7" s="326">
        <v>153046.44999999998</v>
      </c>
      <c r="E7" s="326">
        <v>232428.50999999998</v>
      </c>
      <c r="F7" s="326">
        <v>394098.55</v>
      </c>
      <c r="G7" s="326">
        <v>303656.15000000002</v>
      </c>
      <c r="H7" s="326">
        <v>281940.25</v>
      </c>
      <c r="I7" s="326">
        <v>186419.34999999998</v>
      </c>
      <c r="J7" s="326">
        <v>192554.8</v>
      </c>
      <c r="K7" s="326">
        <v>118130.85199999998</v>
      </c>
      <c r="L7" s="326">
        <v>74246.95</v>
      </c>
      <c r="M7" s="326">
        <v>72004.549999999988</v>
      </c>
      <c r="N7" s="326">
        <v>83374.8</v>
      </c>
      <c r="O7" s="326"/>
      <c r="P7" s="191"/>
      <c r="Q7" s="42"/>
    </row>
    <row r="8" spans="1:17" ht="13.5" customHeight="1">
      <c r="A8" s="138" t="s">
        <v>256</v>
      </c>
      <c r="B8" s="99" t="s">
        <v>338</v>
      </c>
      <c r="C8" s="327">
        <v>113284.8</v>
      </c>
      <c r="D8" s="238">
        <v>12.5</v>
      </c>
      <c r="E8" s="238">
        <v>905</v>
      </c>
      <c r="F8" s="238">
        <v>6371</v>
      </c>
      <c r="G8" s="238">
        <v>11436</v>
      </c>
      <c r="H8" s="238">
        <v>24555.5</v>
      </c>
      <c r="I8" s="238">
        <v>31522.799999999999</v>
      </c>
      <c r="J8" s="238">
        <v>20868.5</v>
      </c>
      <c r="K8" s="238">
        <v>10260.5</v>
      </c>
      <c r="L8" s="238">
        <v>5497</v>
      </c>
      <c r="M8" s="238">
        <v>911</v>
      </c>
      <c r="N8" s="238">
        <v>945</v>
      </c>
      <c r="O8" s="238">
        <v>127</v>
      </c>
      <c r="P8" s="199"/>
    </row>
    <row r="9" spans="1:17" ht="13.5" customHeight="1">
      <c r="A9" s="22"/>
      <c r="B9" s="99" t="s">
        <v>348</v>
      </c>
      <c r="C9" s="327">
        <v>117315.01000000001</v>
      </c>
      <c r="D9" s="238">
        <v>12</v>
      </c>
      <c r="E9" s="238">
        <v>996.01</v>
      </c>
      <c r="F9" s="238">
        <v>5346</v>
      </c>
      <c r="G9" s="238">
        <v>7896</v>
      </c>
      <c r="H9" s="238">
        <v>26146</v>
      </c>
      <c r="I9" s="238">
        <v>36005.5</v>
      </c>
      <c r="J9" s="238">
        <v>22261</v>
      </c>
      <c r="K9" s="238">
        <v>14620.5</v>
      </c>
      <c r="L9" s="238">
        <v>2825</v>
      </c>
      <c r="M9" s="238">
        <v>455</v>
      </c>
      <c r="N9" s="238">
        <v>752</v>
      </c>
      <c r="O9" s="238"/>
      <c r="P9" s="199"/>
    </row>
    <row r="10" spans="1:17" ht="13.5" customHeight="1">
      <c r="A10" s="138" t="s">
        <v>229</v>
      </c>
      <c r="B10" s="99" t="s">
        <v>338</v>
      </c>
      <c r="C10" s="327">
        <v>226814.74999999997</v>
      </c>
      <c r="D10" s="238">
        <v>30170</v>
      </c>
      <c r="E10" s="238">
        <v>38405.65</v>
      </c>
      <c r="F10" s="238">
        <v>30330</v>
      </c>
      <c r="G10" s="238">
        <v>15706.5</v>
      </c>
      <c r="H10" s="238">
        <v>13737.4</v>
      </c>
      <c r="I10" s="238">
        <v>18947.3</v>
      </c>
      <c r="J10" s="238">
        <v>20998.55</v>
      </c>
      <c r="K10" s="238">
        <v>19135.650000000001</v>
      </c>
      <c r="L10" s="238">
        <v>12005</v>
      </c>
      <c r="M10" s="238">
        <v>11618</v>
      </c>
      <c r="N10" s="238">
        <v>15760.7</v>
      </c>
      <c r="O10" s="238">
        <v>15820</v>
      </c>
      <c r="P10" s="199"/>
    </row>
    <row r="11" spans="1:17" ht="13.5" customHeight="1">
      <c r="A11" s="138"/>
      <c r="B11" s="99" t="s">
        <v>348</v>
      </c>
      <c r="C11" s="327">
        <v>239229.85</v>
      </c>
      <c r="D11" s="238">
        <v>26892</v>
      </c>
      <c r="E11" s="238">
        <v>40299</v>
      </c>
      <c r="F11" s="238">
        <v>27958.3</v>
      </c>
      <c r="G11" s="238">
        <v>15264.2</v>
      </c>
      <c r="H11" s="238">
        <v>15966.6</v>
      </c>
      <c r="I11" s="238">
        <v>20800.95</v>
      </c>
      <c r="J11" s="238">
        <v>28713.4</v>
      </c>
      <c r="K11" s="238">
        <v>24416.2</v>
      </c>
      <c r="L11" s="238">
        <v>13175.15</v>
      </c>
      <c r="M11" s="238">
        <v>10753.8</v>
      </c>
      <c r="N11" s="238">
        <v>14990.25</v>
      </c>
      <c r="O11" s="238"/>
      <c r="P11" s="199"/>
    </row>
    <row r="12" spans="1:17" ht="13.5" customHeight="1">
      <c r="A12" s="138" t="s">
        <v>197</v>
      </c>
      <c r="B12" s="99" t="s">
        <v>338</v>
      </c>
      <c r="C12" s="327">
        <v>241471.12999999998</v>
      </c>
      <c r="D12" s="238">
        <v>17488</v>
      </c>
      <c r="E12" s="238">
        <v>35740.800000000003</v>
      </c>
      <c r="F12" s="238">
        <v>77258.5</v>
      </c>
      <c r="G12" s="238">
        <v>60549.5</v>
      </c>
      <c r="H12" s="238">
        <v>23395</v>
      </c>
      <c r="I12" s="238">
        <v>15885</v>
      </c>
      <c r="J12" s="238">
        <v>3915</v>
      </c>
      <c r="K12" s="238">
        <v>635.5</v>
      </c>
      <c r="L12" s="238">
        <v>1643.5</v>
      </c>
      <c r="M12" s="238">
        <v>3018.33</v>
      </c>
      <c r="N12" s="238">
        <v>1942</v>
      </c>
      <c r="O12" s="238">
        <v>2317</v>
      </c>
      <c r="P12" s="199"/>
    </row>
    <row r="13" spans="1:17" ht="13.5" customHeight="1">
      <c r="A13" s="22"/>
      <c r="B13" s="99" t="s">
        <v>348</v>
      </c>
      <c r="C13" s="327">
        <v>236153.50200000001</v>
      </c>
      <c r="D13" s="238">
        <v>16631.25</v>
      </c>
      <c r="E13" s="238">
        <v>41413.25</v>
      </c>
      <c r="F13" s="238">
        <v>75422</v>
      </c>
      <c r="G13" s="238">
        <v>45361.5</v>
      </c>
      <c r="H13" s="238">
        <v>31333</v>
      </c>
      <c r="I13" s="238">
        <v>15417.5</v>
      </c>
      <c r="J13" s="238">
        <v>3937</v>
      </c>
      <c r="K13" s="238">
        <v>1899.752</v>
      </c>
      <c r="L13" s="238">
        <v>1161.75</v>
      </c>
      <c r="M13" s="238">
        <v>1932</v>
      </c>
      <c r="N13" s="238">
        <v>1644.5</v>
      </c>
      <c r="O13" s="238"/>
      <c r="P13" s="199"/>
    </row>
    <row r="14" spans="1:17" ht="13.5" customHeight="1">
      <c r="A14" s="138" t="s">
        <v>280</v>
      </c>
      <c r="B14" s="99" t="s">
        <v>338</v>
      </c>
      <c r="C14" s="327">
        <v>394446.9</v>
      </c>
      <c r="D14" s="238">
        <v>39401.1</v>
      </c>
      <c r="E14" s="238">
        <v>35923</v>
      </c>
      <c r="F14" s="238">
        <v>30776.6</v>
      </c>
      <c r="G14" s="238">
        <v>37781.5</v>
      </c>
      <c r="H14" s="238">
        <v>40534.400000000001</v>
      </c>
      <c r="I14" s="238">
        <v>51913</v>
      </c>
      <c r="J14" s="238">
        <v>65279.8</v>
      </c>
      <c r="K14" s="238">
        <v>34007</v>
      </c>
      <c r="L14" s="238">
        <v>17502.599999999999</v>
      </c>
      <c r="M14" s="238">
        <v>18584.5</v>
      </c>
      <c r="N14" s="238">
        <v>22743.4</v>
      </c>
      <c r="O14" s="238">
        <v>31513.599999999999</v>
      </c>
      <c r="P14" s="199"/>
    </row>
    <row r="15" spans="1:17" ht="13.5" customHeight="1">
      <c r="A15" s="22"/>
      <c r="B15" s="99" t="s">
        <v>348</v>
      </c>
      <c r="C15" s="327">
        <v>387502.9</v>
      </c>
      <c r="D15" s="238">
        <v>43949</v>
      </c>
      <c r="E15" s="238">
        <v>27167</v>
      </c>
      <c r="F15" s="238">
        <v>28669</v>
      </c>
      <c r="G15" s="238">
        <v>29304</v>
      </c>
      <c r="H15" s="238">
        <v>26605.4</v>
      </c>
      <c r="I15" s="238">
        <v>45837.5</v>
      </c>
      <c r="J15" s="238">
        <v>94705.1</v>
      </c>
      <c r="K15" s="238">
        <v>32591</v>
      </c>
      <c r="L15" s="238">
        <v>17356.5</v>
      </c>
      <c r="M15" s="238">
        <v>19484</v>
      </c>
      <c r="N15" s="238">
        <v>21834.400000000001</v>
      </c>
      <c r="O15" s="238"/>
      <c r="P15" s="199"/>
    </row>
    <row r="16" spans="1:17" ht="13.5" customHeight="1">
      <c r="A16" s="138" t="s">
        <v>147</v>
      </c>
      <c r="B16" s="99" t="s">
        <v>338</v>
      </c>
      <c r="C16" s="327">
        <v>125697.5</v>
      </c>
      <c r="D16" s="238">
        <v>31</v>
      </c>
      <c r="E16" s="238">
        <v>1091</v>
      </c>
      <c r="F16" s="238">
        <v>21852</v>
      </c>
      <c r="G16" s="238">
        <v>33038.5</v>
      </c>
      <c r="H16" s="238">
        <v>34053.5</v>
      </c>
      <c r="I16" s="238">
        <v>22387</v>
      </c>
      <c r="J16" s="238">
        <v>10447.5</v>
      </c>
      <c r="K16" s="238">
        <v>2101</v>
      </c>
      <c r="L16" s="238">
        <v>595</v>
      </c>
      <c r="M16" s="238">
        <v>67</v>
      </c>
      <c r="N16" s="238">
        <v>34</v>
      </c>
      <c r="O16" s="238">
        <v>83</v>
      </c>
      <c r="P16" s="199"/>
    </row>
    <row r="17" spans="1:16" ht="13.5" customHeight="1">
      <c r="A17" s="22"/>
      <c r="B17" s="99" t="s">
        <v>348</v>
      </c>
      <c r="C17" s="327">
        <v>127278.74999999999</v>
      </c>
      <c r="D17" s="238">
        <v>15</v>
      </c>
      <c r="E17" s="238">
        <v>966</v>
      </c>
      <c r="F17" s="238">
        <v>21294</v>
      </c>
      <c r="G17" s="238">
        <v>23383</v>
      </c>
      <c r="H17" s="238">
        <v>39958</v>
      </c>
      <c r="I17" s="238">
        <v>26352.95</v>
      </c>
      <c r="J17" s="238">
        <v>12357.4</v>
      </c>
      <c r="K17" s="238">
        <v>2551.4</v>
      </c>
      <c r="L17" s="238">
        <v>297</v>
      </c>
      <c r="M17" s="238">
        <v>58.5</v>
      </c>
      <c r="N17" s="238">
        <v>45.5</v>
      </c>
      <c r="O17" s="238"/>
      <c r="P17" s="199"/>
    </row>
    <row r="18" spans="1:16" ht="13.5" customHeight="1">
      <c r="A18" s="138" t="s">
        <v>62</v>
      </c>
      <c r="B18" s="99" t="s">
        <v>338</v>
      </c>
      <c r="C18" s="327">
        <v>67465.100000000006</v>
      </c>
      <c r="D18" s="238">
        <v>1270</v>
      </c>
      <c r="E18" s="238">
        <v>8118</v>
      </c>
      <c r="F18" s="238">
        <v>35136.1</v>
      </c>
      <c r="G18" s="238">
        <v>15134.5</v>
      </c>
      <c r="H18" s="238">
        <v>4397.5</v>
      </c>
      <c r="I18" s="238">
        <v>1033</v>
      </c>
      <c r="J18" s="238">
        <v>657</v>
      </c>
      <c r="K18" s="238">
        <v>256</v>
      </c>
      <c r="L18" s="238">
        <v>320</v>
      </c>
      <c r="M18" s="238">
        <v>567</v>
      </c>
      <c r="N18" s="238">
        <v>576</v>
      </c>
      <c r="O18" s="238">
        <v>455</v>
      </c>
      <c r="P18" s="199"/>
    </row>
    <row r="19" spans="1:16" ht="13.5" customHeight="1">
      <c r="A19" s="22"/>
      <c r="B19" s="99" t="s">
        <v>348</v>
      </c>
      <c r="C19" s="327">
        <v>71316</v>
      </c>
      <c r="D19" s="238">
        <v>1342.5</v>
      </c>
      <c r="E19" s="238">
        <v>12204</v>
      </c>
      <c r="F19" s="238">
        <v>31720.5</v>
      </c>
      <c r="G19" s="238">
        <v>14136</v>
      </c>
      <c r="H19" s="238">
        <v>7762.5</v>
      </c>
      <c r="I19" s="238">
        <v>1953.5</v>
      </c>
      <c r="J19" s="238">
        <v>745</v>
      </c>
      <c r="K19" s="238">
        <v>189</v>
      </c>
      <c r="L19" s="238">
        <v>223</v>
      </c>
      <c r="M19" s="238">
        <v>523</v>
      </c>
      <c r="N19" s="238">
        <v>517</v>
      </c>
      <c r="O19" s="238"/>
      <c r="P19" s="199"/>
    </row>
    <row r="20" spans="1:16" ht="13.5" customHeight="1">
      <c r="A20" s="138" t="s">
        <v>215</v>
      </c>
      <c r="B20" s="99" t="s">
        <v>338</v>
      </c>
      <c r="C20" s="327">
        <v>3769.05</v>
      </c>
      <c r="D20" s="238">
        <v>486.3</v>
      </c>
      <c r="E20" s="238">
        <v>493.95</v>
      </c>
      <c r="F20" s="238">
        <v>522.04999999999995</v>
      </c>
      <c r="G20" s="238">
        <v>523.85</v>
      </c>
      <c r="H20" s="238">
        <v>243.2</v>
      </c>
      <c r="I20" s="238">
        <v>358.2</v>
      </c>
      <c r="J20" s="238">
        <v>327.3</v>
      </c>
      <c r="K20" s="238">
        <v>194.5</v>
      </c>
      <c r="L20" s="238">
        <v>177.5</v>
      </c>
      <c r="M20" s="238">
        <v>261.8</v>
      </c>
      <c r="N20" s="238">
        <v>180.4</v>
      </c>
      <c r="O20" s="238">
        <v>254.05</v>
      </c>
      <c r="P20" s="199"/>
    </row>
    <row r="21" spans="1:16" ht="13.5" customHeight="1">
      <c r="A21" s="22"/>
      <c r="B21" s="99" t="s">
        <v>348</v>
      </c>
      <c r="C21" s="327">
        <v>4124.1499999999996</v>
      </c>
      <c r="D21" s="238">
        <v>535.75</v>
      </c>
      <c r="E21" s="238">
        <v>601.70000000000005</v>
      </c>
      <c r="F21" s="238">
        <v>745.7</v>
      </c>
      <c r="G21" s="238">
        <v>580</v>
      </c>
      <c r="H21" s="238">
        <v>311</v>
      </c>
      <c r="I21" s="238">
        <v>257.7</v>
      </c>
      <c r="J21" s="238">
        <v>324.5</v>
      </c>
      <c r="K21" s="238">
        <v>248</v>
      </c>
      <c r="L21" s="238">
        <v>163.1</v>
      </c>
      <c r="M21" s="238">
        <v>174.5</v>
      </c>
      <c r="N21" s="238">
        <v>182.2</v>
      </c>
      <c r="O21" s="238"/>
      <c r="P21" s="199"/>
    </row>
    <row r="22" spans="1:16" ht="13.5" customHeight="1">
      <c r="A22" s="138" t="s">
        <v>268</v>
      </c>
      <c r="B22" s="99" t="s">
        <v>338</v>
      </c>
      <c r="C22" s="327">
        <v>496</v>
      </c>
      <c r="D22" s="238">
        <v>156</v>
      </c>
      <c r="E22" s="238">
        <v>11</v>
      </c>
      <c r="F22" s="238">
        <v>0</v>
      </c>
      <c r="G22" s="331">
        <v>0</v>
      </c>
      <c r="H22" s="331">
        <v>0</v>
      </c>
      <c r="I22" s="331">
        <v>0</v>
      </c>
      <c r="J22" s="331">
        <v>0</v>
      </c>
      <c r="K22" s="238">
        <v>11</v>
      </c>
      <c r="L22" s="238">
        <v>11</v>
      </c>
      <c r="M22" s="238">
        <v>118</v>
      </c>
      <c r="N22" s="238">
        <v>189</v>
      </c>
      <c r="O22" s="238">
        <v>187</v>
      </c>
      <c r="P22" s="199"/>
    </row>
    <row r="23" spans="1:16" ht="13.5" customHeight="1">
      <c r="A23" s="22"/>
      <c r="B23" s="99" t="s">
        <v>348</v>
      </c>
      <c r="C23" s="327">
        <v>893</v>
      </c>
      <c r="D23" s="238">
        <v>10</v>
      </c>
      <c r="E23" s="238">
        <v>70</v>
      </c>
      <c r="F23" s="238">
        <v>429</v>
      </c>
      <c r="G23" s="331">
        <v>0</v>
      </c>
      <c r="H23" s="331">
        <v>0</v>
      </c>
      <c r="I23" s="238">
        <v>15</v>
      </c>
      <c r="J23" s="331">
        <v>0</v>
      </c>
      <c r="K23" s="238">
        <v>58</v>
      </c>
      <c r="L23" s="238">
        <v>192</v>
      </c>
      <c r="M23" s="238">
        <v>0</v>
      </c>
      <c r="N23" s="238">
        <v>119</v>
      </c>
      <c r="O23" s="238"/>
      <c r="P23" s="199"/>
    </row>
    <row r="24" spans="1:16" ht="13.5" customHeight="1">
      <c r="A24" s="138" t="s">
        <v>216</v>
      </c>
      <c r="B24" s="99" t="s">
        <v>338</v>
      </c>
      <c r="C24" s="327">
        <v>1421.2</v>
      </c>
      <c r="D24" s="238">
        <v>43.6</v>
      </c>
      <c r="E24" s="238">
        <v>41.8</v>
      </c>
      <c r="F24" s="238">
        <v>114</v>
      </c>
      <c r="G24" s="238">
        <v>234.85</v>
      </c>
      <c r="H24" s="238">
        <v>208</v>
      </c>
      <c r="I24" s="238">
        <v>123.5</v>
      </c>
      <c r="J24" s="238">
        <v>77.400000000000006</v>
      </c>
      <c r="K24" s="238">
        <v>42.6</v>
      </c>
      <c r="L24" s="238">
        <v>166.2</v>
      </c>
      <c r="M24" s="238">
        <v>225.55</v>
      </c>
      <c r="N24" s="238">
        <v>143.69999999999999</v>
      </c>
      <c r="O24" s="238">
        <v>39.4</v>
      </c>
      <c r="P24" s="199"/>
    </row>
    <row r="25" spans="1:16" ht="13.5" customHeight="1">
      <c r="A25" s="22"/>
      <c r="B25" s="99" t="s">
        <v>348</v>
      </c>
      <c r="C25" s="327">
        <v>837.8</v>
      </c>
      <c r="D25" s="238">
        <v>43.2</v>
      </c>
      <c r="E25" s="238">
        <v>98.2</v>
      </c>
      <c r="F25" s="238">
        <v>97.5</v>
      </c>
      <c r="G25" s="238">
        <v>60.2</v>
      </c>
      <c r="H25" s="238">
        <v>86</v>
      </c>
      <c r="I25" s="238">
        <v>139</v>
      </c>
      <c r="J25" s="238">
        <v>94.05</v>
      </c>
      <c r="K25" s="238">
        <v>79</v>
      </c>
      <c r="L25" s="238">
        <v>57.85</v>
      </c>
      <c r="M25" s="238">
        <v>35.75</v>
      </c>
      <c r="N25" s="238">
        <v>47.05</v>
      </c>
      <c r="O25" s="238"/>
      <c r="P25" s="199"/>
    </row>
    <row r="26" spans="1:16" ht="13.5" customHeight="1">
      <c r="A26" s="138" t="s">
        <v>145</v>
      </c>
      <c r="B26" s="99" t="s">
        <v>338</v>
      </c>
      <c r="C26" s="327">
        <v>4340.3500000000004</v>
      </c>
      <c r="D26" s="238">
        <v>505</v>
      </c>
      <c r="E26" s="238">
        <v>440.25</v>
      </c>
      <c r="F26" s="238">
        <v>374.8</v>
      </c>
      <c r="G26" s="238">
        <v>343.5</v>
      </c>
      <c r="H26" s="238">
        <v>306.5</v>
      </c>
      <c r="I26" s="238">
        <v>314.5</v>
      </c>
      <c r="J26" s="238">
        <v>423</v>
      </c>
      <c r="K26" s="238">
        <v>255</v>
      </c>
      <c r="L26" s="238">
        <v>457.2</v>
      </c>
      <c r="M26" s="238">
        <v>358.5</v>
      </c>
      <c r="N26" s="238">
        <v>562.1</v>
      </c>
      <c r="O26" s="238">
        <v>574.5</v>
      </c>
      <c r="P26" s="199"/>
    </row>
    <row r="27" spans="1:16" ht="13.5" customHeight="1">
      <c r="A27" s="22"/>
      <c r="B27" s="99" t="s">
        <v>348</v>
      </c>
      <c r="C27" s="327">
        <v>4830.05</v>
      </c>
      <c r="D27" s="238">
        <v>481.75</v>
      </c>
      <c r="E27" s="238">
        <v>476.95</v>
      </c>
      <c r="F27" s="238">
        <v>465.3</v>
      </c>
      <c r="G27" s="238">
        <v>409</v>
      </c>
      <c r="H27" s="238">
        <v>342</v>
      </c>
      <c r="I27" s="238">
        <v>451.8</v>
      </c>
      <c r="J27" s="238">
        <v>466</v>
      </c>
      <c r="K27" s="238">
        <v>432.75</v>
      </c>
      <c r="L27" s="238">
        <v>330.25</v>
      </c>
      <c r="M27" s="238">
        <v>390</v>
      </c>
      <c r="N27" s="238">
        <v>584.25</v>
      </c>
      <c r="O27" s="238"/>
      <c r="P27" s="199"/>
    </row>
    <row r="28" spans="1:16" ht="13.5" customHeight="1">
      <c r="A28" s="138" t="s">
        <v>266</v>
      </c>
      <c r="B28" s="99" t="s">
        <v>338</v>
      </c>
      <c r="C28" s="327">
        <v>6390.1</v>
      </c>
      <c r="D28" s="238">
        <v>727.6</v>
      </c>
      <c r="E28" s="238">
        <v>911.25</v>
      </c>
      <c r="F28" s="238">
        <v>1156.5</v>
      </c>
      <c r="G28" s="238">
        <v>912.9</v>
      </c>
      <c r="H28" s="238">
        <v>622.79999999999995</v>
      </c>
      <c r="I28" s="238">
        <v>223.4</v>
      </c>
      <c r="J28" s="238">
        <v>290.3</v>
      </c>
      <c r="K28" s="238">
        <v>357.25</v>
      </c>
      <c r="L28" s="238">
        <v>492</v>
      </c>
      <c r="M28" s="238">
        <v>350.6</v>
      </c>
      <c r="N28" s="238">
        <v>345.5</v>
      </c>
      <c r="O28" s="238">
        <v>579.5</v>
      </c>
      <c r="P28" s="199"/>
    </row>
    <row r="29" spans="1:16" ht="13.5" customHeight="1">
      <c r="A29" s="22"/>
      <c r="B29" s="99" t="s">
        <v>348</v>
      </c>
      <c r="C29" s="327">
        <v>7090.05</v>
      </c>
      <c r="D29" s="238">
        <v>879.5</v>
      </c>
      <c r="E29" s="238">
        <v>1134</v>
      </c>
      <c r="F29" s="238">
        <v>1087.5</v>
      </c>
      <c r="G29" s="238">
        <v>795</v>
      </c>
      <c r="H29" s="238">
        <v>558.29999999999995</v>
      </c>
      <c r="I29" s="238">
        <v>372.35</v>
      </c>
      <c r="J29" s="238">
        <v>424.7</v>
      </c>
      <c r="K29" s="238">
        <v>814.5</v>
      </c>
      <c r="L29" s="238">
        <v>481</v>
      </c>
      <c r="M29" s="238">
        <v>275.2</v>
      </c>
      <c r="N29" s="238">
        <v>268</v>
      </c>
      <c r="O29" s="238"/>
      <c r="P29" s="199"/>
    </row>
    <row r="30" spans="1:16" ht="13.5" customHeight="1">
      <c r="A30" s="138" t="s">
        <v>265</v>
      </c>
      <c r="B30" s="99" t="s">
        <v>338</v>
      </c>
      <c r="C30" s="327">
        <v>6972.85</v>
      </c>
      <c r="D30" s="238">
        <v>583</v>
      </c>
      <c r="E30" s="238">
        <v>705.75</v>
      </c>
      <c r="F30" s="238">
        <v>1004.75</v>
      </c>
      <c r="G30" s="238">
        <v>977</v>
      </c>
      <c r="H30" s="238">
        <v>580.75</v>
      </c>
      <c r="I30" s="238">
        <v>415.75</v>
      </c>
      <c r="J30" s="238">
        <v>290.10000000000002</v>
      </c>
      <c r="K30" s="238">
        <v>448.5</v>
      </c>
      <c r="L30" s="238">
        <v>753.5</v>
      </c>
      <c r="M30" s="238">
        <v>698.75</v>
      </c>
      <c r="N30" s="238">
        <v>515</v>
      </c>
      <c r="O30" s="238">
        <v>572.25</v>
      </c>
      <c r="P30" s="199"/>
    </row>
    <row r="31" spans="1:16" ht="13.5" customHeight="1">
      <c r="A31" s="22"/>
      <c r="B31" s="99" t="s">
        <v>348</v>
      </c>
      <c r="C31" s="327">
        <v>7670.45</v>
      </c>
      <c r="D31" s="238">
        <v>705.7</v>
      </c>
      <c r="E31" s="238">
        <v>889.5</v>
      </c>
      <c r="F31" s="238">
        <v>869.75</v>
      </c>
      <c r="G31" s="238">
        <v>807.25</v>
      </c>
      <c r="H31" s="238">
        <v>746.75</v>
      </c>
      <c r="I31" s="238">
        <v>478.3</v>
      </c>
      <c r="J31" s="238">
        <v>416.45</v>
      </c>
      <c r="K31" s="238">
        <v>539</v>
      </c>
      <c r="L31" s="238">
        <v>705</v>
      </c>
      <c r="M31" s="238">
        <v>855</v>
      </c>
      <c r="N31" s="238">
        <v>657.75</v>
      </c>
      <c r="O31" s="238"/>
      <c r="P31" s="199"/>
    </row>
    <row r="32" spans="1:16" ht="13.5" customHeight="1">
      <c r="A32" s="138" t="s">
        <v>262</v>
      </c>
      <c r="B32" s="99" t="s">
        <v>338</v>
      </c>
      <c r="C32" s="327">
        <v>6907.8</v>
      </c>
      <c r="D32" s="238">
        <v>218</v>
      </c>
      <c r="E32" s="238">
        <v>398</v>
      </c>
      <c r="F32" s="238">
        <v>670.3</v>
      </c>
      <c r="G32" s="238">
        <v>562</v>
      </c>
      <c r="H32" s="238">
        <v>213</v>
      </c>
      <c r="I32" s="238">
        <v>139</v>
      </c>
      <c r="J32" s="238">
        <v>370.5</v>
      </c>
      <c r="K32" s="238">
        <v>788</v>
      </c>
      <c r="L32" s="238">
        <v>1062</v>
      </c>
      <c r="M32" s="238">
        <v>957.5</v>
      </c>
      <c r="N32" s="238">
        <v>1529.5</v>
      </c>
      <c r="O32" s="238">
        <v>819.8</v>
      </c>
      <c r="P32" s="199"/>
    </row>
    <row r="33" spans="1:16" ht="13.5" customHeight="1">
      <c r="A33" s="22"/>
      <c r="B33" s="99" t="s">
        <v>348</v>
      </c>
      <c r="C33" s="327">
        <v>8074.2000000000007</v>
      </c>
      <c r="D33" s="238">
        <v>241.4</v>
      </c>
      <c r="E33" s="238">
        <v>410</v>
      </c>
      <c r="F33" s="238">
        <v>671</v>
      </c>
      <c r="G33" s="238">
        <v>449.5</v>
      </c>
      <c r="H33" s="238">
        <v>576</v>
      </c>
      <c r="I33" s="238">
        <v>536.9</v>
      </c>
      <c r="J33" s="238">
        <v>563.9</v>
      </c>
      <c r="K33" s="238">
        <v>1146</v>
      </c>
      <c r="L33" s="238">
        <v>934</v>
      </c>
      <c r="M33" s="238">
        <v>1068.5</v>
      </c>
      <c r="N33" s="238">
        <v>1477</v>
      </c>
      <c r="O33" s="238"/>
      <c r="P33" s="199"/>
    </row>
    <row r="34" spans="1:16" ht="12.75">
      <c r="A34" s="133"/>
      <c r="B34" s="97"/>
      <c r="C34" s="134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135" t="s">
        <v>0</v>
      </c>
      <c r="P34" s="135"/>
    </row>
    <row r="35" spans="1:16" ht="12.75">
      <c r="A35" s="67" t="s">
        <v>244</v>
      </c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6" ht="21.95" customHeight="1">
      <c r="A36" s="317" t="s">
        <v>57</v>
      </c>
      <c r="B36" s="318" t="s">
        <v>199</v>
      </c>
      <c r="C36" s="317" t="s">
        <v>469</v>
      </c>
      <c r="D36" s="319" t="s">
        <v>296</v>
      </c>
      <c r="E36" s="319" t="s">
        <v>297</v>
      </c>
      <c r="F36" s="319" t="s">
        <v>298</v>
      </c>
      <c r="G36" s="319" t="s">
        <v>173</v>
      </c>
      <c r="H36" s="319" t="s">
        <v>174</v>
      </c>
      <c r="I36" s="319" t="s">
        <v>175</v>
      </c>
      <c r="J36" s="319" t="s">
        <v>176</v>
      </c>
      <c r="K36" s="319" t="s">
        <v>177</v>
      </c>
      <c r="L36" s="319" t="s">
        <v>178</v>
      </c>
      <c r="M36" s="319" t="s">
        <v>179</v>
      </c>
      <c r="N36" s="319" t="s">
        <v>180</v>
      </c>
      <c r="O36" s="319" t="s">
        <v>181</v>
      </c>
      <c r="P36" s="132"/>
    </row>
    <row r="37" spans="1:16" ht="13.5" customHeight="1">
      <c r="A37" s="138" t="s">
        <v>51</v>
      </c>
      <c r="B37" s="99" t="s">
        <v>338</v>
      </c>
      <c r="C37" s="328">
        <v>13994.75</v>
      </c>
      <c r="D37" s="238">
        <v>1837</v>
      </c>
      <c r="E37" s="238">
        <v>1491.2</v>
      </c>
      <c r="F37" s="238">
        <v>1339.5</v>
      </c>
      <c r="G37" s="238">
        <v>816.25</v>
      </c>
      <c r="H37" s="238">
        <v>654.20000000000005</v>
      </c>
      <c r="I37" s="238">
        <v>902.9</v>
      </c>
      <c r="J37" s="238">
        <v>1538.7</v>
      </c>
      <c r="K37" s="238">
        <v>2489.5</v>
      </c>
      <c r="L37" s="238">
        <v>1189</v>
      </c>
      <c r="M37" s="238">
        <v>728</v>
      </c>
      <c r="N37" s="238">
        <v>1008.5</v>
      </c>
      <c r="O37" s="238">
        <v>1147.5</v>
      </c>
      <c r="P37" s="199"/>
    </row>
    <row r="38" spans="1:16" ht="13.5" customHeight="1">
      <c r="A38" s="22"/>
      <c r="B38" s="99" t="s">
        <v>348</v>
      </c>
      <c r="C38" s="329">
        <v>14162</v>
      </c>
      <c r="D38" s="238">
        <v>1825.9</v>
      </c>
      <c r="E38" s="238">
        <v>1864.5</v>
      </c>
      <c r="F38" s="238">
        <v>1399.5</v>
      </c>
      <c r="G38" s="238">
        <v>732.5</v>
      </c>
      <c r="H38" s="238">
        <v>844.5</v>
      </c>
      <c r="I38" s="238">
        <v>834.8</v>
      </c>
      <c r="J38" s="238">
        <v>1701.3</v>
      </c>
      <c r="K38" s="238">
        <v>1950.5</v>
      </c>
      <c r="L38" s="238">
        <v>1723</v>
      </c>
      <c r="M38" s="238">
        <v>559</v>
      </c>
      <c r="N38" s="238">
        <v>726.5</v>
      </c>
      <c r="O38" s="238"/>
      <c r="P38" s="199"/>
    </row>
    <row r="39" spans="1:16" ht="13.5" customHeight="1">
      <c r="A39" s="138" t="s">
        <v>281</v>
      </c>
      <c r="B39" s="99" t="s">
        <v>338</v>
      </c>
      <c r="C39" s="329">
        <v>323776.90999999992</v>
      </c>
      <c r="D39" s="238">
        <v>25118</v>
      </c>
      <c r="E39" s="238">
        <v>48792.5</v>
      </c>
      <c r="F39" s="238">
        <v>102904.55</v>
      </c>
      <c r="G39" s="238">
        <v>73651.5</v>
      </c>
      <c r="H39" s="238">
        <v>17748</v>
      </c>
      <c r="I39" s="238">
        <v>3828.5</v>
      </c>
      <c r="J39" s="238">
        <v>2580.6</v>
      </c>
      <c r="K39" s="238">
        <v>4147.5</v>
      </c>
      <c r="L39" s="238">
        <v>7710.5</v>
      </c>
      <c r="M39" s="238">
        <v>15923.29</v>
      </c>
      <c r="N39" s="238">
        <v>21371.97</v>
      </c>
      <c r="O39" s="238">
        <v>16706.47</v>
      </c>
      <c r="P39" s="199"/>
    </row>
    <row r="40" spans="1:16" ht="13.5" customHeight="1">
      <c r="A40" s="22"/>
      <c r="B40" s="99" t="s">
        <v>348</v>
      </c>
      <c r="C40" s="329">
        <v>325508</v>
      </c>
      <c r="D40" s="238">
        <v>26807.5</v>
      </c>
      <c r="E40" s="238">
        <v>47965.2</v>
      </c>
      <c r="F40" s="238">
        <v>104982.8</v>
      </c>
      <c r="G40" s="238">
        <v>65285</v>
      </c>
      <c r="H40" s="238">
        <v>26176</v>
      </c>
      <c r="I40" s="238">
        <v>4669.5</v>
      </c>
      <c r="J40" s="238">
        <v>2571.5</v>
      </c>
      <c r="K40" s="238">
        <v>4738</v>
      </c>
      <c r="L40" s="238">
        <v>8224.25</v>
      </c>
      <c r="M40" s="238">
        <v>14573.75</v>
      </c>
      <c r="N40" s="238">
        <v>19514.5</v>
      </c>
      <c r="O40" s="238"/>
      <c r="P40" s="199"/>
    </row>
    <row r="41" spans="1:16" ht="13.5" customHeight="1">
      <c r="A41" s="138" t="s">
        <v>287</v>
      </c>
      <c r="B41" s="99" t="s">
        <v>338</v>
      </c>
      <c r="C41" s="329">
        <v>101744.7</v>
      </c>
      <c r="D41" s="238">
        <v>12820.85</v>
      </c>
      <c r="E41" s="238">
        <v>14224</v>
      </c>
      <c r="F41" s="238">
        <v>12387</v>
      </c>
      <c r="G41" s="238">
        <v>10319.299999999999</v>
      </c>
      <c r="H41" s="238">
        <v>9300.75</v>
      </c>
      <c r="I41" s="238">
        <v>7070</v>
      </c>
      <c r="J41" s="238">
        <v>6889.7</v>
      </c>
      <c r="K41" s="238">
        <v>5809.3</v>
      </c>
      <c r="L41" s="238">
        <v>6720.5</v>
      </c>
      <c r="M41" s="238">
        <v>7609.5</v>
      </c>
      <c r="N41" s="238">
        <v>8593.7999999999993</v>
      </c>
      <c r="O41" s="238">
        <v>9206.6</v>
      </c>
      <c r="P41" s="199"/>
    </row>
    <row r="42" spans="1:16" ht="13.5" customHeight="1">
      <c r="A42" s="22"/>
      <c r="B42" s="99" t="s">
        <v>348</v>
      </c>
      <c r="C42" s="329">
        <v>99290.849999999991</v>
      </c>
      <c r="D42" s="238">
        <v>12397.5</v>
      </c>
      <c r="E42" s="238">
        <v>13729.3</v>
      </c>
      <c r="F42" s="238">
        <v>12794.15</v>
      </c>
      <c r="G42" s="238">
        <v>10672.95</v>
      </c>
      <c r="H42" s="238">
        <v>9096.9</v>
      </c>
      <c r="I42" s="238">
        <v>6205.65</v>
      </c>
      <c r="J42" s="238">
        <v>6530.25</v>
      </c>
      <c r="K42" s="238">
        <v>5601.75</v>
      </c>
      <c r="L42" s="238">
        <v>6563.65</v>
      </c>
      <c r="M42" s="238">
        <v>7672.85</v>
      </c>
      <c r="N42" s="238">
        <v>8025.9</v>
      </c>
      <c r="O42" s="238"/>
      <c r="P42" s="199"/>
    </row>
    <row r="43" spans="1:16" ht="13.5" customHeight="1">
      <c r="A43" s="138" t="s">
        <v>206</v>
      </c>
      <c r="B43" s="99" t="s">
        <v>338</v>
      </c>
      <c r="C43" s="329">
        <v>13252.05</v>
      </c>
      <c r="D43" s="238">
        <v>1215.3</v>
      </c>
      <c r="E43" s="238">
        <v>1195.45</v>
      </c>
      <c r="F43" s="238">
        <v>1262.25</v>
      </c>
      <c r="G43" s="238">
        <v>1573.55</v>
      </c>
      <c r="H43" s="238">
        <v>1262.0999999999999</v>
      </c>
      <c r="I43" s="238">
        <v>1122.5</v>
      </c>
      <c r="J43" s="238">
        <v>862.6</v>
      </c>
      <c r="K43" s="238">
        <v>758</v>
      </c>
      <c r="L43" s="238">
        <v>995.1</v>
      </c>
      <c r="M43" s="238">
        <v>1472.9</v>
      </c>
      <c r="N43" s="238">
        <v>1532.3</v>
      </c>
      <c r="O43" s="238">
        <v>1209.0999999999999</v>
      </c>
      <c r="P43" s="199"/>
    </row>
    <row r="44" spans="1:16" ht="13.5" customHeight="1">
      <c r="A44" s="22"/>
      <c r="B44" s="99" t="s">
        <v>348</v>
      </c>
      <c r="C44" s="329">
        <v>10662.7</v>
      </c>
      <c r="D44" s="238">
        <v>822.35</v>
      </c>
      <c r="E44" s="238">
        <v>994.65</v>
      </c>
      <c r="F44" s="238">
        <v>1122.75</v>
      </c>
      <c r="G44" s="238">
        <v>920.75</v>
      </c>
      <c r="H44" s="238">
        <v>762.8</v>
      </c>
      <c r="I44" s="238">
        <v>948</v>
      </c>
      <c r="J44" s="238">
        <v>744.5</v>
      </c>
      <c r="K44" s="238">
        <v>894.75</v>
      </c>
      <c r="L44" s="238">
        <v>1143.45</v>
      </c>
      <c r="M44" s="238">
        <v>840.7</v>
      </c>
      <c r="N44" s="238">
        <v>1468</v>
      </c>
      <c r="O44" s="238"/>
      <c r="P44" s="199"/>
    </row>
    <row r="45" spans="1:16" ht="13.5" customHeight="1">
      <c r="A45" s="138" t="s">
        <v>267</v>
      </c>
      <c r="B45" s="99" t="s">
        <v>338</v>
      </c>
      <c r="C45" s="329">
        <v>13725.999999999998</v>
      </c>
      <c r="D45" s="238">
        <v>991.5</v>
      </c>
      <c r="E45" s="238">
        <v>3477.4</v>
      </c>
      <c r="F45" s="238">
        <v>5591.7</v>
      </c>
      <c r="G45" s="238">
        <v>2721.9</v>
      </c>
      <c r="H45" s="238">
        <v>541.5</v>
      </c>
      <c r="I45" s="238">
        <v>233</v>
      </c>
      <c r="J45" s="238">
        <v>58</v>
      </c>
      <c r="K45" s="331">
        <v>0</v>
      </c>
      <c r="L45" s="331">
        <v>0</v>
      </c>
      <c r="M45" s="331">
        <v>1.5</v>
      </c>
      <c r="N45" s="331">
        <v>109.5</v>
      </c>
      <c r="O45" s="238">
        <v>82.5</v>
      </c>
      <c r="P45" s="199"/>
    </row>
    <row r="46" spans="1:16" ht="13.5" customHeight="1">
      <c r="A46" s="140"/>
      <c r="B46" s="99" t="s">
        <v>348</v>
      </c>
      <c r="C46" s="329">
        <v>13142.75</v>
      </c>
      <c r="D46" s="238">
        <v>1261.75</v>
      </c>
      <c r="E46" s="238">
        <v>3615</v>
      </c>
      <c r="F46" s="238">
        <v>5333.5</v>
      </c>
      <c r="G46" s="238">
        <v>2001</v>
      </c>
      <c r="H46" s="238">
        <v>686</v>
      </c>
      <c r="I46" s="238">
        <v>103</v>
      </c>
      <c r="J46" s="238">
        <v>58</v>
      </c>
      <c r="K46" s="238">
        <v>6</v>
      </c>
      <c r="L46" s="238">
        <v>6</v>
      </c>
      <c r="M46" s="238">
        <v>0</v>
      </c>
      <c r="N46" s="238">
        <v>72.5</v>
      </c>
      <c r="O46" s="238"/>
      <c r="P46" s="200"/>
    </row>
    <row r="47" spans="1:16" ht="13.5" customHeight="1">
      <c r="A47" s="138" t="s">
        <v>300</v>
      </c>
      <c r="B47" s="99" t="s">
        <v>338</v>
      </c>
      <c r="C47" s="329">
        <v>25246.550000000003</v>
      </c>
      <c r="D47" s="238">
        <v>3677</v>
      </c>
      <c r="E47" s="238">
        <v>6093.9000000000005</v>
      </c>
      <c r="F47" s="238">
        <v>7645.75</v>
      </c>
      <c r="G47" s="238">
        <v>4883.3999999999996</v>
      </c>
      <c r="H47" s="238">
        <v>1164.5</v>
      </c>
      <c r="I47" s="238">
        <v>411</v>
      </c>
      <c r="J47" s="238">
        <v>185</v>
      </c>
      <c r="K47" s="238">
        <v>54</v>
      </c>
      <c r="L47" s="238">
        <v>134</v>
      </c>
      <c r="M47" s="238">
        <v>525.5</v>
      </c>
      <c r="N47" s="238">
        <v>472.5</v>
      </c>
      <c r="O47" s="238">
        <v>557.5</v>
      </c>
      <c r="P47" s="199"/>
    </row>
    <row r="48" spans="1:16" ht="13.5" customHeight="1">
      <c r="A48" s="140"/>
      <c r="B48" s="99" t="s">
        <v>348</v>
      </c>
      <c r="C48" s="329">
        <v>25311.95</v>
      </c>
      <c r="D48" s="238">
        <v>3740.75</v>
      </c>
      <c r="E48" s="238">
        <v>6315.5</v>
      </c>
      <c r="F48" s="238">
        <v>8195</v>
      </c>
      <c r="G48" s="238">
        <v>3941</v>
      </c>
      <c r="H48" s="238">
        <v>1565.7</v>
      </c>
      <c r="I48" s="238">
        <v>302.5</v>
      </c>
      <c r="J48" s="238">
        <v>172</v>
      </c>
      <c r="K48" s="238">
        <v>113</v>
      </c>
      <c r="L48" s="238">
        <v>159.5</v>
      </c>
      <c r="M48" s="238">
        <v>417</v>
      </c>
      <c r="N48" s="238">
        <v>390</v>
      </c>
      <c r="O48" s="238"/>
      <c r="P48" s="200"/>
    </row>
    <row r="49" spans="1:16" ht="13.5" customHeight="1">
      <c r="A49" s="141" t="s">
        <v>45</v>
      </c>
      <c r="B49" s="99" t="s">
        <v>338</v>
      </c>
      <c r="C49" s="329">
        <v>4728</v>
      </c>
      <c r="D49" s="238">
        <v>1237</v>
      </c>
      <c r="E49" s="238">
        <v>674</v>
      </c>
      <c r="F49" s="238">
        <v>827</v>
      </c>
      <c r="G49" s="238">
        <v>436.5</v>
      </c>
      <c r="H49" s="238">
        <v>203</v>
      </c>
      <c r="I49" s="238">
        <v>310.5</v>
      </c>
      <c r="J49" s="238">
        <v>52</v>
      </c>
      <c r="K49" s="238">
        <v>313</v>
      </c>
      <c r="L49" s="238">
        <v>135</v>
      </c>
      <c r="M49" s="238">
        <v>431</v>
      </c>
      <c r="N49" s="238">
        <v>109</v>
      </c>
      <c r="O49" s="238">
        <v>105</v>
      </c>
      <c r="P49" s="200"/>
    </row>
    <row r="50" spans="1:16" ht="13.5" customHeight="1">
      <c r="A50" s="140"/>
      <c r="B50" s="99" t="s">
        <v>348</v>
      </c>
      <c r="C50" s="329">
        <v>4677.5</v>
      </c>
      <c r="D50" s="238">
        <v>945</v>
      </c>
      <c r="E50" s="238">
        <v>1083</v>
      </c>
      <c r="F50" s="238">
        <v>700</v>
      </c>
      <c r="G50" s="238">
        <v>375</v>
      </c>
      <c r="H50" s="238">
        <v>237</v>
      </c>
      <c r="I50" s="238">
        <v>188</v>
      </c>
      <c r="J50" s="238">
        <v>337</v>
      </c>
      <c r="K50" s="238">
        <v>302.5</v>
      </c>
      <c r="L50" s="238">
        <v>198</v>
      </c>
      <c r="M50" s="238">
        <v>67</v>
      </c>
      <c r="N50" s="238">
        <v>245</v>
      </c>
      <c r="O50" s="238"/>
      <c r="P50" s="200"/>
    </row>
    <row r="51" spans="1:16" ht="13.5" customHeight="1">
      <c r="A51" s="141" t="s">
        <v>70</v>
      </c>
      <c r="B51" s="99" t="s">
        <v>338</v>
      </c>
      <c r="C51" s="329">
        <v>71082.5</v>
      </c>
      <c r="D51" s="238">
        <v>2685.75</v>
      </c>
      <c r="E51" s="238">
        <v>4789.75</v>
      </c>
      <c r="F51" s="238">
        <v>10923.5</v>
      </c>
      <c r="G51" s="238">
        <v>15291.5</v>
      </c>
      <c r="H51" s="238">
        <v>13905.5</v>
      </c>
      <c r="I51" s="238">
        <v>4495.25</v>
      </c>
      <c r="J51" s="238">
        <v>1686.75</v>
      </c>
      <c r="K51" s="238">
        <v>5122</v>
      </c>
      <c r="L51" s="238">
        <v>3735.5</v>
      </c>
      <c r="M51" s="238">
        <v>4302.5</v>
      </c>
      <c r="N51" s="238">
        <v>4144.5</v>
      </c>
      <c r="O51" s="238">
        <v>2681</v>
      </c>
      <c r="P51" s="200"/>
    </row>
    <row r="52" spans="1:16" ht="13.5" customHeight="1">
      <c r="A52" s="140"/>
      <c r="B52" s="99" t="s">
        <v>348</v>
      </c>
      <c r="C52" s="329">
        <v>71313.5</v>
      </c>
      <c r="D52" s="238">
        <v>3229</v>
      </c>
      <c r="E52" s="238">
        <v>5770.25</v>
      </c>
      <c r="F52" s="238">
        <v>10731.25</v>
      </c>
      <c r="G52" s="238">
        <v>12429</v>
      </c>
      <c r="H52" s="238">
        <v>12823.5</v>
      </c>
      <c r="I52" s="238">
        <v>5894.5</v>
      </c>
      <c r="J52" s="238">
        <v>2613</v>
      </c>
      <c r="K52" s="238">
        <v>4831.25</v>
      </c>
      <c r="L52" s="238">
        <v>4130.25</v>
      </c>
      <c r="M52" s="238">
        <v>4245.5</v>
      </c>
      <c r="N52" s="238">
        <v>4616</v>
      </c>
      <c r="O52" s="238"/>
      <c r="P52" s="200"/>
    </row>
    <row r="53" spans="1:16" ht="13.5" customHeight="1">
      <c r="A53" s="141" t="s">
        <v>71</v>
      </c>
      <c r="B53" s="99" t="s">
        <v>338</v>
      </c>
      <c r="C53" s="329">
        <v>5930.5</v>
      </c>
      <c r="D53" s="238">
        <v>511</v>
      </c>
      <c r="E53" s="238">
        <v>48</v>
      </c>
      <c r="F53" s="238">
        <v>18</v>
      </c>
      <c r="G53" s="238">
        <v>37</v>
      </c>
      <c r="H53" s="238">
        <v>57</v>
      </c>
      <c r="I53" s="238">
        <v>73</v>
      </c>
      <c r="J53" s="238">
        <v>442</v>
      </c>
      <c r="K53" s="238">
        <v>799</v>
      </c>
      <c r="L53" s="238">
        <v>1511</v>
      </c>
      <c r="M53" s="238">
        <v>340.5</v>
      </c>
      <c r="N53" s="238">
        <v>2094</v>
      </c>
      <c r="O53" s="238">
        <v>1207</v>
      </c>
      <c r="P53" s="200"/>
    </row>
    <row r="54" spans="1:16" ht="13.5" customHeight="1">
      <c r="A54" s="140"/>
      <c r="B54" s="99" t="s">
        <v>348</v>
      </c>
      <c r="C54" s="329">
        <v>3462.5</v>
      </c>
      <c r="D54" s="238">
        <v>94</v>
      </c>
      <c r="E54" s="238">
        <v>108.5</v>
      </c>
      <c r="F54" s="238">
        <v>37.5</v>
      </c>
      <c r="G54" s="238">
        <v>45.5</v>
      </c>
      <c r="H54" s="238">
        <v>40</v>
      </c>
      <c r="I54" s="238">
        <v>66</v>
      </c>
      <c r="J54" s="238">
        <v>287.5</v>
      </c>
      <c r="K54" s="238">
        <v>1935</v>
      </c>
      <c r="L54" s="238">
        <v>425</v>
      </c>
      <c r="M54" s="238">
        <v>80.5</v>
      </c>
      <c r="N54" s="238">
        <v>343</v>
      </c>
      <c r="O54" s="238"/>
      <c r="P54" s="200"/>
    </row>
    <row r="55" spans="1:16" ht="13.5" customHeight="1">
      <c r="A55" s="141" t="s">
        <v>72</v>
      </c>
      <c r="B55" s="99" t="s">
        <v>338</v>
      </c>
      <c r="C55" s="329">
        <v>67769.350000000006</v>
      </c>
      <c r="D55" s="238">
        <v>2404</v>
      </c>
      <c r="E55" s="238">
        <v>12913.5</v>
      </c>
      <c r="F55" s="238">
        <v>24074.799999999999</v>
      </c>
      <c r="G55" s="238">
        <v>17553.8</v>
      </c>
      <c r="H55" s="238">
        <v>6225.75</v>
      </c>
      <c r="I55" s="238">
        <v>2415</v>
      </c>
      <c r="J55" s="238">
        <v>696</v>
      </c>
      <c r="K55" s="238">
        <v>475</v>
      </c>
      <c r="L55" s="238">
        <v>224</v>
      </c>
      <c r="M55" s="238">
        <v>216</v>
      </c>
      <c r="N55" s="238">
        <v>571.5</v>
      </c>
      <c r="O55" s="238">
        <v>658</v>
      </c>
      <c r="P55" s="200"/>
    </row>
    <row r="56" spans="1:16" ht="13.5" customHeight="1">
      <c r="A56" s="140"/>
      <c r="B56" s="99" t="s">
        <v>348</v>
      </c>
      <c r="C56" s="329">
        <v>69053.05</v>
      </c>
      <c r="D56" s="238">
        <v>3794</v>
      </c>
      <c r="E56" s="238">
        <v>14031</v>
      </c>
      <c r="F56" s="238">
        <v>23797</v>
      </c>
      <c r="G56" s="238">
        <v>12645.75</v>
      </c>
      <c r="H56" s="238">
        <v>10249.799999999999</v>
      </c>
      <c r="I56" s="238">
        <v>2317.5</v>
      </c>
      <c r="J56" s="238">
        <v>907</v>
      </c>
      <c r="K56" s="238">
        <v>491.5</v>
      </c>
      <c r="L56" s="238">
        <v>234.5</v>
      </c>
      <c r="M56" s="238">
        <v>248</v>
      </c>
      <c r="N56" s="238">
        <v>337</v>
      </c>
      <c r="O56" s="238"/>
      <c r="P56" s="200"/>
    </row>
    <row r="57" spans="1:16" ht="13.5" customHeight="1">
      <c r="A57" s="141" t="s">
        <v>73</v>
      </c>
      <c r="B57" s="99" t="s">
        <v>338</v>
      </c>
      <c r="C57" s="329">
        <v>76160.45</v>
      </c>
      <c r="D57" s="238">
        <v>1898.5</v>
      </c>
      <c r="E57" s="238">
        <v>4521</v>
      </c>
      <c r="F57" s="238">
        <v>9543.25</v>
      </c>
      <c r="G57" s="238">
        <v>10035</v>
      </c>
      <c r="H57" s="238">
        <v>7295.5</v>
      </c>
      <c r="I57" s="238">
        <v>6361.45</v>
      </c>
      <c r="J57" s="238">
        <v>8424</v>
      </c>
      <c r="K57" s="238">
        <v>10315.75</v>
      </c>
      <c r="L57" s="238">
        <v>10868</v>
      </c>
      <c r="M57" s="238">
        <v>4969.5</v>
      </c>
      <c r="N57" s="238">
        <v>1928.5</v>
      </c>
      <c r="O57" s="238">
        <v>1628.5</v>
      </c>
      <c r="P57" s="200"/>
    </row>
    <row r="58" spans="1:16" ht="13.5" customHeight="1">
      <c r="A58" s="140"/>
      <c r="B58" s="99" t="s">
        <v>348</v>
      </c>
      <c r="C58" s="329">
        <v>75617.2</v>
      </c>
      <c r="D58" s="238">
        <v>2374.15</v>
      </c>
      <c r="E58" s="238">
        <v>4496.5</v>
      </c>
      <c r="F58" s="238">
        <v>9583.5499999999993</v>
      </c>
      <c r="G58" s="238">
        <v>7847.55</v>
      </c>
      <c r="H58" s="238">
        <v>9509.5</v>
      </c>
      <c r="I58" s="238">
        <v>6604.45</v>
      </c>
      <c r="J58" s="238">
        <v>7515.25</v>
      </c>
      <c r="K58" s="238">
        <v>12774</v>
      </c>
      <c r="L58" s="238">
        <v>9721.25</v>
      </c>
      <c r="M58" s="238">
        <v>3915</v>
      </c>
      <c r="N58" s="238">
        <v>1276</v>
      </c>
      <c r="O58" s="238"/>
      <c r="P58" s="200"/>
    </row>
    <row r="59" spans="1:16" ht="13.5" customHeight="1">
      <c r="A59" s="141" t="s">
        <v>46</v>
      </c>
      <c r="B59" s="99" t="s">
        <v>338</v>
      </c>
      <c r="C59" s="329">
        <v>33037</v>
      </c>
      <c r="D59" s="238">
        <v>3094</v>
      </c>
      <c r="E59" s="238">
        <v>2812.5</v>
      </c>
      <c r="F59" s="238">
        <v>3056.5</v>
      </c>
      <c r="G59" s="238">
        <v>2922</v>
      </c>
      <c r="H59" s="238">
        <v>2814.5</v>
      </c>
      <c r="I59" s="238">
        <v>3086</v>
      </c>
      <c r="J59" s="238">
        <v>3061.5</v>
      </c>
      <c r="K59" s="238">
        <v>2871</v>
      </c>
      <c r="L59" s="238">
        <v>3096</v>
      </c>
      <c r="M59" s="238">
        <v>3456.5</v>
      </c>
      <c r="N59" s="238">
        <v>2766.5</v>
      </c>
      <c r="O59" s="238">
        <v>2936</v>
      </c>
      <c r="P59" s="200"/>
    </row>
    <row r="60" spans="1:16" ht="13.5" customHeight="1">
      <c r="A60" s="140"/>
      <c r="B60" s="99" t="s">
        <v>348</v>
      </c>
      <c r="C60" s="329">
        <v>34472.5</v>
      </c>
      <c r="D60" s="238">
        <v>2971</v>
      </c>
      <c r="E60" s="238">
        <v>3435.5</v>
      </c>
      <c r="F60" s="238">
        <v>3100.5</v>
      </c>
      <c r="G60" s="238">
        <v>2848</v>
      </c>
      <c r="H60" s="238">
        <v>2988</v>
      </c>
      <c r="I60" s="238">
        <v>3405.5</v>
      </c>
      <c r="J60" s="238">
        <v>3469.5</v>
      </c>
      <c r="K60" s="238">
        <v>3291</v>
      </c>
      <c r="L60" s="238">
        <v>3254</v>
      </c>
      <c r="M60" s="238">
        <v>2872.5</v>
      </c>
      <c r="N60" s="238">
        <v>2837</v>
      </c>
      <c r="O60" s="238"/>
      <c r="P60" s="200"/>
    </row>
    <row r="61" spans="1:16" ht="13.5" customHeight="1">
      <c r="A61" s="141" t="s">
        <v>47</v>
      </c>
      <c r="B61" s="99" t="s">
        <v>338</v>
      </c>
      <c r="C61" s="329">
        <v>19131.5</v>
      </c>
      <c r="D61" s="238">
        <v>107</v>
      </c>
      <c r="E61" s="238">
        <v>132</v>
      </c>
      <c r="F61" s="238">
        <v>1182.5</v>
      </c>
      <c r="G61" s="238">
        <v>7401</v>
      </c>
      <c r="H61" s="238">
        <v>8951</v>
      </c>
      <c r="I61" s="238">
        <v>607</v>
      </c>
      <c r="J61" s="238">
        <v>198</v>
      </c>
      <c r="K61" s="238">
        <v>151</v>
      </c>
      <c r="L61" s="238">
        <v>179</v>
      </c>
      <c r="M61" s="238">
        <v>116</v>
      </c>
      <c r="N61" s="238">
        <v>107</v>
      </c>
      <c r="O61" s="238">
        <v>76</v>
      </c>
      <c r="P61" s="200"/>
    </row>
    <row r="62" spans="1:16" ht="13.5" customHeight="1">
      <c r="A62" s="140"/>
      <c r="B62" s="99" t="s">
        <v>348</v>
      </c>
      <c r="C62" s="329">
        <v>18702.5</v>
      </c>
      <c r="D62" s="238">
        <v>146</v>
      </c>
      <c r="E62" s="238">
        <v>205</v>
      </c>
      <c r="F62" s="238">
        <v>1051</v>
      </c>
      <c r="G62" s="238">
        <v>5087</v>
      </c>
      <c r="H62" s="238">
        <v>10631.5</v>
      </c>
      <c r="I62" s="238">
        <v>881</v>
      </c>
      <c r="J62" s="238">
        <v>217</v>
      </c>
      <c r="K62" s="238">
        <v>152</v>
      </c>
      <c r="L62" s="238">
        <v>140</v>
      </c>
      <c r="M62" s="238">
        <v>115</v>
      </c>
      <c r="N62" s="238">
        <v>77</v>
      </c>
      <c r="O62" s="238"/>
      <c r="P62" s="200"/>
    </row>
    <row r="63" spans="1:16" ht="13.5" customHeight="1">
      <c r="A63" s="141" t="s">
        <v>48</v>
      </c>
      <c r="B63" s="99" t="s">
        <v>338</v>
      </c>
      <c r="C63" s="329">
        <v>105907.51000000001</v>
      </c>
      <c r="D63" s="238">
        <v>192.5</v>
      </c>
      <c r="E63" s="238">
        <v>812.5</v>
      </c>
      <c r="F63" s="238">
        <v>10614.51</v>
      </c>
      <c r="G63" s="238">
        <v>45798.5</v>
      </c>
      <c r="H63" s="238">
        <v>43763.5</v>
      </c>
      <c r="I63" s="238">
        <v>2795.5</v>
      </c>
      <c r="J63" s="238">
        <v>1216.5</v>
      </c>
      <c r="K63" s="238">
        <v>186.5</v>
      </c>
      <c r="L63" s="238">
        <v>346.5</v>
      </c>
      <c r="M63" s="238">
        <v>104.5</v>
      </c>
      <c r="N63" s="238">
        <v>76.5</v>
      </c>
      <c r="O63" s="238">
        <v>89</v>
      </c>
      <c r="P63" s="200"/>
    </row>
    <row r="64" spans="1:16" ht="13.5" customHeight="1">
      <c r="A64" s="140"/>
      <c r="B64" s="99" t="s">
        <v>348</v>
      </c>
      <c r="C64" s="329">
        <v>109529.5</v>
      </c>
      <c r="D64" s="238">
        <v>133</v>
      </c>
      <c r="E64" s="238">
        <v>926</v>
      </c>
      <c r="F64" s="238">
        <v>16110.5</v>
      </c>
      <c r="G64" s="238">
        <v>39607.5</v>
      </c>
      <c r="H64" s="238">
        <v>45908.5</v>
      </c>
      <c r="I64" s="238">
        <v>5353.5</v>
      </c>
      <c r="J64" s="238">
        <v>365.5</v>
      </c>
      <c r="K64" s="238">
        <v>772.5</v>
      </c>
      <c r="L64" s="238">
        <v>173.5</v>
      </c>
      <c r="M64" s="238">
        <v>90.5</v>
      </c>
      <c r="N64" s="238">
        <v>88.5</v>
      </c>
      <c r="O64" s="238"/>
      <c r="P64" s="200"/>
    </row>
    <row r="65" spans="1:16" ht="13.5" customHeight="1">
      <c r="A65" s="141" t="s">
        <v>285</v>
      </c>
      <c r="B65" s="99" t="s">
        <v>338</v>
      </c>
      <c r="C65" s="329">
        <v>5230.25</v>
      </c>
      <c r="D65" s="238">
        <v>595</v>
      </c>
      <c r="E65" s="238">
        <v>1355.5</v>
      </c>
      <c r="F65" s="238">
        <v>727</v>
      </c>
      <c r="G65" s="238">
        <v>1094.5</v>
      </c>
      <c r="H65" s="238">
        <v>165.5</v>
      </c>
      <c r="I65" s="238">
        <v>30</v>
      </c>
      <c r="J65" s="238">
        <v>35</v>
      </c>
      <c r="K65" s="238">
        <v>265.5</v>
      </c>
      <c r="L65" s="238">
        <v>528.5</v>
      </c>
      <c r="M65" s="238">
        <v>263.33</v>
      </c>
      <c r="N65" s="238">
        <v>170.42</v>
      </c>
      <c r="O65" s="238">
        <v>466.26900000000001</v>
      </c>
      <c r="P65" s="200"/>
    </row>
    <row r="66" spans="1:16" ht="13.5" customHeight="1">
      <c r="A66" s="68"/>
      <c r="B66" s="101" t="s">
        <v>348</v>
      </c>
      <c r="C66" s="330">
        <v>4679</v>
      </c>
      <c r="D66" s="240">
        <v>765.5</v>
      </c>
      <c r="E66" s="240">
        <v>1163</v>
      </c>
      <c r="F66" s="240">
        <v>384</v>
      </c>
      <c r="G66" s="240">
        <v>772</v>
      </c>
      <c r="H66" s="240">
        <v>29</v>
      </c>
      <c r="I66" s="240">
        <v>26.5</v>
      </c>
      <c r="J66" s="240">
        <v>57</v>
      </c>
      <c r="K66" s="240">
        <v>692</v>
      </c>
      <c r="L66" s="240">
        <v>249</v>
      </c>
      <c r="M66" s="240">
        <v>302</v>
      </c>
      <c r="N66" s="240">
        <v>239</v>
      </c>
      <c r="O66" s="240"/>
      <c r="P66" s="201"/>
    </row>
    <row r="67" spans="1:16" ht="10.5" customHeight="1">
      <c r="A67" s="165" t="s">
        <v>91</v>
      </c>
      <c r="B67" s="121"/>
      <c r="C67" s="121"/>
      <c r="D67" s="121"/>
      <c r="E67" s="121"/>
      <c r="F67" s="121"/>
      <c r="G67" s="121"/>
      <c r="H67" s="121"/>
      <c r="I67" s="121"/>
      <c r="J67" s="121"/>
    </row>
    <row r="68" spans="1:16" ht="10.5" customHeight="1">
      <c r="A68" s="165" t="s">
        <v>98</v>
      </c>
      <c r="B68" s="121"/>
      <c r="C68" s="121"/>
      <c r="D68" s="121"/>
      <c r="E68" s="121"/>
      <c r="F68" s="121"/>
      <c r="G68" s="121"/>
      <c r="H68" s="121"/>
      <c r="I68" s="121"/>
      <c r="J68" s="121"/>
    </row>
    <row r="69" spans="1:16" ht="10.5" customHeight="1">
      <c r="A69" s="509" t="s">
        <v>360</v>
      </c>
      <c r="B69" s="509"/>
      <c r="C69" s="509"/>
      <c r="D69" s="509"/>
      <c r="E69" s="509"/>
      <c r="F69" s="509"/>
      <c r="G69" s="509"/>
      <c r="H69" s="121"/>
      <c r="I69" s="121"/>
      <c r="J69" s="121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L44" sqref="L44:L45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178" t="s">
        <v>243</v>
      </c>
      <c r="B1" s="176"/>
      <c r="C1" s="176"/>
      <c r="D1" s="44"/>
    </row>
    <row r="2" spans="1:36" ht="13.5">
      <c r="A2" s="17" t="s">
        <v>453</v>
      </c>
      <c r="B2" s="19"/>
      <c r="C2" s="19"/>
    </row>
    <row r="3" spans="1:36" ht="13.5">
      <c r="A3" s="305" t="s">
        <v>190</v>
      </c>
      <c r="B3" s="19"/>
      <c r="C3" s="19"/>
      <c r="M3" s="67" t="s">
        <v>319</v>
      </c>
      <c r="Y3" s="67" t="s">
        <v>319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367" t="s">
        <v>49</v>
      </c>
      <c r="B5" s="367" t="s">
        <v>121</v>
      </c>
      <c r="C5" s="367" t="s">
        <v>470</v>
      </c>
      <c r="D5" s="367" t="s">
        <v>256</v>
      </c>
      <c r="E5" s="367" t="s">
        <v>238</v>
      </c>
      <c r="F5" s="367" t="s">
        <v>197</v>
      </c>
      <c r="G5" s="367" t="s">
        <v>280</v>
      </c>
      <c r="H5" s="367" t="s">
        <v>147</v>
      </c>
      <c r="I5" s="367" t="s">
        <v>62</v>
      </c>
      <c r="J5" s="367" t="s">
        <v>215</v>
      </c>
      <c r="K5" s="367" t="s">
        <v>268</v>
      </c>
      <c r="L5" s="367" t="s">
        <v>145</v>
      </c>
      <c r="M5" s="367" t="s">
        <v>49</v>
      </c>
      <c r="N5" s="367" t="s">
        <v>121</v>
      </c>
      <c r="O5" s="367" t="s">
        <v>266</v>
      </c>
      <c r="P5" s="367" t="s">
        <v>83</v>
      </c>
      <c r="Q5" s="367" t="s">
        <v>265</v>
      </c>
      <c r="R5" s="367" t="s">
        <v>262</v>
      </c>
      <c r="S5" s="367" t="s">
        <v>288</v>
      </c>
      <c r="T5" s="367" t="s">
        <v>239</v>
      </c>
      <c r="U5" s="367" t="s">
        <v>281</v>
      </c>
      <c r="V5" s="367" t="s">
        <v>287</v>
      </c>
      <c r="W5" s="367" t="s">
        <v>206</v>
      </c>
      <c r="X5" s="367" t="s">
        <v>267</v>
      </c>
      <c r="Y5" s="367" t="s">
        <v>49</v>
      </c>
      <c r="Z5" s="367" t="s">
        <v>121</v>
      </c>
      <c r="AA5" s="367" t="s">
        <v>300</v>
      </c>
      <c r="AB5" s="367" t="s">
        <v>277</v>
      </c>
      <c r="AC5" s="367" t="s">
        <v>141</v>
      </c>
      <c r="AD5" s="367" t="s">
        <v>85</v>
      </c>
      <c r="AE5" s="367" t="s">
        <v>430</v>
      </c>
      <c r="AF5" s="367" t="s">
        <v>87</v>
      </c>
      <c r="AG5" s="367" t="s">
        <v>142</v>
      </c>
      <c r="AH5" s="367" t="s">
        <v>431</v>
      </c>
      <c r="AI5" s="367" t="s">
        <v>47</v>
      </c>
      <c r="AJ5" s="367" t="s">
        <v>48</v>
      </c>
    </row>
    <row r="6" spans="1:36" ht="12" customHeight="1">
      <c r="A6" s="519" t="s">
        <v>182</v>
      </c>
      <c r="B6" s="333" t="s">
        <v>345</v>
      </c>
      <c r="C6" s="315">
        <v>1384787.2988218828</v>
      </c>
      <c r="D6" s="315">
        <v>32013.599999999999</v>
      </c>
      <c r="E6" s="315">
        <v>125711.9</v>
      </c>
      <c r="F6" s="315">
        <v>135385.04999999999</v>
      </c>
      <c r="G6" s="315">
        <v>261537.3</v>
      </c>
      <c r="H6" s="315">
        <v>65241</v>
      </c>
      <c r="I6" s="315">
        <v>62510.5</v>
      </c>
      <c r="J6" s="315">
        <v>2364.6999999999998</v>
      </c>
      <c r="K6" s="315">
        <v>234</v>
      </c>
      <c r="L6" s="315">
        <v>2246.6999999999998</v>
      </c>
      <c r="M6" s="519" t="s">
        <v>182</v>
      </c>
      <c r="N6" s="333" t="s">
        <v>345</v>
      </c>
      <c r="O6" s="315">
        <v>4195.1499999999996</v>
      </c>
      <c r="P6" s="315">
        <v>19927.2</v>
      </c>
      <c r="Q6" s="315">
        <v>3983.75</v>
      </c>
      <c r="R6" s="315">
        <v>2061.6999999999998</v>
      </c>
      <c r="S6" s="315">
        <v>7086.4500000000007</v>
      </c>
      <c r="T6" s="315">
        <v>32108.9</v>
      </c>
      <c r="U6" s="315">
        <v>266439.65000000002</v>
      </c>
      <c r="V6" s="315">
        <v>51804.600000000006</v>
      </c>
      <c r="W6" s="315">
        <v>7038.85</v>
      </c>
      <c r="X6" s="315">
        <v>12455.5</v>
      </c>
      <c r="Y6" s="519" t="s">
        <v>182</v>
      </c>
      <c r="Z6" s="333" t="s">
        <v>345</v>
      </c>
      <c r="AA6" s="315">
        <v>22508.85</v>
      </c>
      <c r="AB6" s="315">
        <v>3522.5</v>
      </c>
      <c r="AC6" s="315">
        <v>31190.75</v>
      </c>
      <c r="AD6" s="315">
        <v>195</v>
      </c>
      <c r="AE6" s="315">
        <v>40074.199999999997</v>
      </c>
      <c r="AF6" s="315">
        <v>15110</v>
      </c>
      <c r="AG6" s="315">
        <v>38216.488821882922</v>
      </c>
      <c r="AH6" s="315">
        <v>17700</v>
      </c>
      <c r="AI6" s="315">
        <v>18437.5</v>
      </c>
      <c r="AJ6" s="315">
        <v>103485.51</v>
      </c>
    </row>
    <row r="7" spans="1:36" ht="12" customHeight="1">
      <c r="A7" s="520"/>
      <c r="B7" s="334" t="s">
        <v>353</v>
      </c>
      <c r="C7" s="316">
        <v>1320542.5403834125</v>
      </c>
      <c r="D7" s="316">
        <v>24874.2</v>
      </c>
      <c r="E7" s="316">
        <v>128696.1</v>
      </c>
      <c r="F7" s="316">
        <v>121747.995</v>
      </c>
      <c r="G7" s="316">
        <v>241876.15</v>
      </c>
      <c r="H7" s="316">
        <v>57108</v>
      </c>
      <c r="I7" s="316">
        <v>60998.5</v>
      </c>
      <c r="J7" s="316">
        <v>2768.25</v>
      </c>
      <c r="K7" s="316">
        <v>315</v>
      </c>
      <c r="L7" s="316">
        <v>2719.5</v>
      </c>
      <c r="M7" s="520"/>
      <c r="N7" s="334" t="s">
        <v>353</v>
      </c>
      <c r="O7" s="316">
        <v>4493.1000000000004</v>
      </c>
      <c r="P7" s="316">
        <v>20319.95</v>
      </c>
      <c r="Q7" s="316">
        <v>3965.5</v>
      </c>
      <c r="R7" s="316">
        <v>2141.67</v>
      </c>
      <c r="S7" s="316">
        <v>8071.1</v>
      </c>
      <c r="T7" s="316">
        <v>32687.93</v>
      </c>
      <c r="U7" s="316">
        <v>259932.44899999999</v>
      </c>
      <c r="V7" s="316">
        <v>49544.85</v>
      </c>
      <c r="W7" s="316">
        <v>5206.17</v>
      </c>
      <c r="X7" s="316">
        <v>11125.7</v>
      </c>
      <c r="Y7" s="520"/>
      <c r="Z7" s="334" t="s">
        <v>353</v>
      </c>
      <c r="AA7" s="316">
        <v>20391.2</v>
      </c>
      <c r="AB7" s="316">
        <v>2922</v>
      </c>
      <c r="AC7" s="316">
        <v>32784.25</v>
      </c>
      <c r="AD7" s="316">
        <v>244</v>
      </c>
      <c r="AE7" s="316">
        <v>34512.25</v>
      </c>
      <c r="AF7" s="316">
        <v>13981</v>
      </c>
      <c r="AG7" s="316">
        <v>31378.526383412463</v>
      </c>
      <c r="AH7" s="316">
        <v>18966</v>
      </c>
      <c r="AI7" s="316">
        <v>17248</v>
      </c>
      <c r="AJ7" s="316">
        <v>109523.2</v>
      </c>
    </row>
    <row r="8" spans="1:36" ht="12.6" customHeight="1">
      <c r="A8" s="13" t="s">
        <v>23</v>
      </c>
      <c r="B8" s="157" t="s">
        <v>346</v>
      </c>
      <c r="C8" s="335">
        <v>45175</v>
      </c>
      <c r="D8" s="192">
        <v>10</v>
      </c>
      <c r="E8" s="192">
        <v>6509</v>
      </c>
      <c r="F8" s="192">
        <v>1235.5</v>
      </c>
      <c r="G8" s="192">
        <v>25102</v>
      </c>
      <c r="H8" s="192">
        <v>1</v>
      </c>
      <c r="I8" s="192">
        <v>0</v>
      </c>
      <c r="J8" s="192">
        <v>16.5</v>
      </c>
      <c r="K8" s="192">
        <v>0</v>
      </c>
      <c r="L8" s="192">
        <v>76.5</v>
      </c>
      <c r="M8" s="13" t="s">
        <v>23</v>
      </c>
      <c r="N8" s="157" t="s">
        <v>346</v>
      </c>
      <c r="O8" s="192">
        <v>76</v>
      </c>
      <c r="P8" s="192">
        <v>294</v>
      </c>
      <c r="Q8" s="192">
        <v>147</v>
      </c>
      <c r="R8" s="192">
        <v>2</v>
      </c>
      <c r="S8" s="192">
        <v>1</v>
      </c>
      <c r="T8" s="192">
        <v>733</v>
      </c>
      <c r="U8" s="192">
        <v>1936.5</v>
      </c>
      <c r="V8" s="192">
        <v>6214</v>
      </c>
      <c r="W8" s="192">
        <v>23</v>
      </c>
      <c r="X8" s="192">
        <v>42.5</v>
      </c>
      <c r="Y8" s="13" t="s">
        <v>23</v>
      </c>
      <c r="Z8" s="157" t="s">
        <v>346</v>
      </c>
      <c r="AA8" s="192">
        <v>125</v>
      </c>
      <c r="AB8" s="192">
        <v>0</v>
      </c>
      <c r="AC8" s="192">
        <v>2495</v>
      </c>
      <c r="AD8" s="192">
        <v>0</v>
      </c>
      <c r="AE8" s="192">
        <v>71</v>
      </c>
      <c r="AF8" s="192">
        <v>64.5</v>
      </c>
      <c r="AG8" s="192">
        <v>0</v>
      </c>
      <c r="AH8" s="192">
        <v>0</v>
      </c>
      <c r="AI8" s="192">
        <v>0</v>
      </c>
      <c r="AJ8" s="192">
        <v>0</v>
      </c>
    </row>
    <row r="9" spans="1:36" ht="12.6" customHeight="1">
      <c r="A9" s="13"/>
      <c r="B9" s="157" t="s">
        <v>355</v>
      </c>
      <c r="C9" s="335">
        <v>41998.5</v>
      </c>
      <c r="D9" s="192">
        <v>8</v>
      </c>
      <c r="E9" s="192">
        <v>7869</v>
      </c>
      <c r="F9" s="192">
        <v>1201</v>
      </c>
      <c r="G9" s="192">
        <v>22814</v>
      </c>
      <c r="H9" s="192">
        <v>11</v>
      </c>
      <c r="I9" s="192">
        <v>0</v>
      </c>
      <c r="J9" s="192">
        <v>16</v>
      </c>
      <c r="K9" s="192">
        <v>0</v>
      </c>
      <c r="L9" s="192">
        <v>151</v>
      </c>
      <c r="M9" s="13"/>
      <c r="N9" s="157" t="s">
        <v>355</v>
      </c>
      <c r="O9" s="192">
        <v>30</v>
      </c>
      <c r="P9" s="192">
        <v>382</v>
      </c>
      <c r="Q9" s="192">
        <v>157</v>
      </c>
      <c r="R9" s="192">
        <v>2</v>
      </c>
      <c r="S9" s="192">
        <v>1</v>
      </c>
      <c r="T9" s="192">
        <v>1345</v>
      </c>
      <c r="U9" s="192">
        <v>1604.5</v>
      </c>
      <c r="V9" s="192">
        <v>3631.5</v>
      </c>
      <c r="W9" s="192">
        <v>18</v>
      </c>
      <c r="X9" s="192">
        <v>32</v>
      </c>
      <c r="Y9" s="13"/>
      <c r="Z9" s="157" t="s">
        <v>355</v>
      </c>
      <c r="AA9" s="192">
        <v>108.5</v>
      </c>
      <c r="AB9" s="192">
        <v>0</v>
      </c>
      <c r="AC9" s="192">
        <v>2521</v>
      </c>
      <c r="AD9" s="192">
        <v>0</v>
      </c>
      <c r="AE9" s="192">
        <v>41</v>
      </c>
      <c r="AF9" s="192">
        <v>55</v>
      </c>
      <c r="AG9" s="192">
        <v>0</v>
      </c>
      <c r="AH9" s="192">
        <v>0</v>
      </c>
      <c r="AI9" s="192">
        <v>0</v>
      </c>
      <c r="AJ9" s="192">
        <v>0</v>
      </c>
    </row>
    <row r="10" spans="1:36" ht="12.6" customHeight="1">
      <c r="A10" s="13" t="s">
        <v>24</v>
      </c>
      <c r="B10" s="159" t="s">
        <v>346</v>
      </c>
      <c r="C10" s="335">
        <v>36173.68</v>
      </c>
      <c r="D10" s="192">
        <v>989</v>
      </c>
      <c r="E10" s="192">
        <v>6138</v>
      </c>
      <c r="F10" s="192">
        <v>3930</v>
      </c>
      <c r="G10" s="192">
        <v>6090</v>
      </c>
      <c r="H10" s="192">
        <v>465</v>
      </c>
      <c r="I10" s="192">
        <v>54</v>
      </c>
      <c r="J10" s="192">
        <v>43</v>
      </c>
      <c r="K10" s="192">
        <v>0</v>
      </c>
      <c r="L10" s="192">
        <v>91</v>
      </c>
      <c r="M10" s="13" t="s">
        <v>24</v>
      </c>
      <c r="N10" s="159" t="s">
        <v>346</v>
      </c>
      <c r="O10" s="192">
        <v>99</v>
      </c>
      <c r="P10" s="192">
        <v>358</v>
      </c>
      <c r="Q10" s="192">
        <v>46</v>
      </c>
      <c r="R10" s="192">
        <v>17</v>
      </c>
      <c r="S10" s="192">
        <v>102</v>
      </c>
      <c r="T10" s="192">
        <v>2898</v>
      </c>
      <c r="U10" s="192">
        <v>8016</v>
      </c>
      <c r="V10" s="192">
        <v>79</v>
      </c>
      <c r="W10" s="192">
        <v>419</v>
      </c>
      <c r="X10" s="192">
        <v>172</v>
      </c>
      <c r="Y10" s="13" t="s">
        <v>24</v>
      </c>
      <c r="Z10" s="159" t="s">
        <v>346</v>
      </c>
      <c r="AA10" s="192">
        <v>397</v>
      </c>
      <c r="AB10" s="192">
        <v>184</v>
      </c>
      <c r="AC10" s="192">
        <v>448</v>
      </c>
      <c r="AD10" s="192">
        <v>60</v>
      </c>
      <c r="AE10" s="192">
        <v>701</v>
      </c>
      <c r="AF10" s="192">
        <v>404</v>
      </c>
      <c r="AG10" s="192">
        <v>3634.6800000000003</v>
      </c>
      <c r="AH10" s="192">
        <v>339</v>
      </c>
      <c r="AI10" s="192">
        <v>0</v>
      </c>
      <c r="AJ10" s="192">
        <v>0</v>
      </c>
    </row>
    <row r="11" spans="1:36" ht="12.6" customHeight="1">
      <c r="A11" s="13"/>
      <c r="B11" s="159" t="s">
        <v>355</v>
      </c>
      <c r="C11" s="335">
        <v>37732.25</v>
      </c>
      <c r="D11" s="192">
        <v>1753</v>
      </c>
      <c r="E11" s="192">
        <v>5631</v>
      </c>
      <c r="F11" s="192">
        <v>4775</v>
      </c>
      <c r="G11" s="192">
        <v>5946</v>
      </c>
      <c r="H11" s="192">
        <v>833</v>
      </c>
      <c r="I11" s="192">
        <v>66</v>
      </c>
      <c r="J11" s="192">
        <v>50</v>
      </c>
      <c r="K11" s="192">
        <v>0</v>
      </c>
      <c r="L11" s="192">
        <v>156</v>
      </c>
      <c r="M11" s="13"/>
      <c r="N11" s="159" t="s">
        <v>355</v>
      </c>
      <c r="O11" s="192">
        <v>146</v>
      </c>
      <c r="P11" s="192">
        <v>422</v>
      </c>
      <c r="Q11" s="192">
        <v>90</v>
      </c>
      <c r="R11" s="192">
        <v>3</v>
      </c>
      <c r="S11" s="192">
        <v>90</v>
      </c>
      <c r="T11" s="192">
        <v>3218</v>
      </c>
      <c r="U11" s="192">
        <v>8320</v>
      </c>
      <c r="V11" s="192">
        <v>101</v>
      </c>
      <c r="W11" s="192">
        <v>774</v>
      </c>
      <c r="X11" s="192">
        <v>145</v>
      </c>
      <c r="Y11" s="13"/>
      <c r="Z11" s="159" t="s">
        <v>355</v>
      </c>
      <c r="AA11" s="192">
        <v>554</v>
      </c>
      <c r="AB11" s="192">
        <v>303</v>
      </c>
      <c r="AC11" s="192">
        <v>178</v>
      </c>
      <c r="AD11" s="192">
        <v>22</v>
      </c>
      <c r="AE11" s="192">
        <v>748</v>
      </c>
      <c r="AF11" s="192">
        <v>340</v>
      </c>
      <c r="AG11" s="192">
        <v>2819.25</v>
      </c>
      <c r="AH11" s="192">
        <v>249</v>
      </c>
      <c r="AI11" s="192">
        <v>0</v>
      </c>
      <c r="AJ11" s="192">
        <v>0</v>
      </c>
    </row>
    <row r="12" spans="1:36" ht="12.6" customHeight="1">
      <c r="A12" s="13" t="s">
        <v>25</v>
      </c>
      <c r="B12" s="159" t="s">
        <v>346</v>
      </c>
      <c r="C12" s="335">
        <v>62902.549999999996</v>
      </c>
      <c r="D12" s="192">
        <v>2853.3</v>
      </c>
      <c r="E12" s="192">
        <v>1158.5</v>
      </c>
      <c r="F12" s="192">
        <v>18650</v>
      </c>
      <c r="G12" s="192">
        <v>0</v>
      </c>
      <c r="H12" s="192">
        <v>3107.5</v>
      </c>
      <c r="I12" s="192">
        <v>4767.5</v>
      </c>
      <c r="J12" s="192">
        <v>10</v>
      </c>
      <c r="K12" s="192">
        <v>0</v>
      </c>
      <c r="L12" s="192">
        <v>73.5</v>
      </c>
      <c r="M12" s="13" t="s">
        <v>25</v>
      </c>
      <c r="N12" s="159" t="s">
        <v>346</v>
      </c>
      <c r="O12" s="192">
        <v>189</v>
      </c>
      <c r="P12" s="192">
        <v>788.7</v>
      </c>
      <c r="Q12" s="192">
        <v>248.5</v>
      </c>
      <c r="R12" s="192">
        <v>72.699999999999989</v>
      </c>
      <c r="S12" s="192">
        <v>139.85</v>
      </c>
      <c r="T12" s="192">
        <v>1888</v>
      </c>
      <c r="U12" s="192">
        <v>16906.699999999997</v>
      </c>
      <c r="V12" s="192">
        <v>11</v>
      </c>
      <c r="W12" s="192">
        <v>64.5</v>
      </c>
      <c r="X12" s="192">
        <v>1329.1</v>
      </c>
      <c r="Y12" s="13" t="s">
        <v>25</v>
      </c>
      <c r="Z12" s="159" t="s">
        <v>346</v>
      </c>
      <c r="AA12" s="192">
        <v>2443.6999999999998</v>
      </c>
      <c r="AB12" s="192">
        <v>0</v>
      </c>
      <c r="AC12" s="192">
        <v>2939.5</v>
      </c>
      <c r="AD12" s="192">
        <v>3</v>
      </c>
      <c r="AE12" s="192">
        <v>3168.5</v>
      </c>
      <c r="AF12" s="192">
        <v>856</v>
      </c>
      <c r="AG12" s="192">
        <v>0</v>
      </c>
      <c r="AH12" s="192">
        <v>0</v>
      </c>
      <c r="AI12" s="192">
        <v>493.5</v>
      </c>
      <c r="AJ12" s="192">
        <v>740</v>
      </c>
    </row>
    <row r="13" spans="1:36" ht="12.6" customHeight="1">
      <c r="A13" s="13"/>
      <c r="B13" s="159" t="s">
        <v>355</v>
      </c>
      <c r="C13" s="335">
        <v>61539.7</v>
      </c>
      <c r="D13" s="192">
        <v>2375</v>
      </c>
      <c r="E13" s="192">
        <v>1679</v>
      </c>
      <c r="F13" s="192">
        <v>17958.5</v>
      </c>
      <c r="G13" s="192">
        <v>0</v>
      </c>
      <c r="H13" s="192">
        <v>2754</v>
      </c>
      <c r="I13" s="192">
        <v>4037.5</v>
      </c>
      <c r="J13" s="192">
        <v>9</v>
      </c>
      <c r="K13" s="192">
        <v>0</v>
      </c>
      <c r="L13" s="192">
        <v>67</v>
      </c>
      <c r="M13" s="13"/>
      <c r="N13" s="159" t="s">
        <v>355</v>
      </c>
      <c r="O13" s="192">
        <v>87</v>
      </c>
      <c r="P13" s="192">
        <v>885.5</v>
      </c>
      <c r="Q13" s="192">
        <v>191</v>
      </c>
      <c r="R13" s="192">
        <v>102.5</v>
      </c>
      <c r="S13" s="192">
        <v>109.5</v>
      </c>
      <c r="T13" s="192">
        <v>2149.5</v>
      </c>
      <c r="U13" s="192">
        <v>17894</v>
      </c>
      <c r="V13" s="192">
        <v>28</v>
      </c>
      <c r="W13" s="192">
        <v>55</v>
      </c>
      <c r="X13" s="192">
        <v>1114</v>
      </c>
      <c r="Y13" s="13"/>
      <c r="Z13" s="159" t="s">
        <v>355</v>
      </c>
      <c r="AA13" s="192">
        <v>2065</v>
      </c>
      <c r="AB13" s="192">
        <v>0</v>
      </c>
      <c r="AC13" s="192">
        <v>3410</v>
      </c>
      <c r="AD13" s="192">
        <v>3</v>
      </c>
      <c r="AE13" s="192">
        <v>2297.5</v>
      </c>
      <c r="AF13" s="192">
        <v>823</v>
      </c>
      <c r="AG13" s="192">
        <v>0</v>
      </c>
      <c r="AH13" s="192">
        <v>0</v>
      </c>
      <c r="AI13" s="192">
        <v>790.5</v>
      </c>
      <c r="AJ13" s="192">
        <v>654.70000000000005</v>
      </c>
    </row>
    <row r="14" spans="1:36" ht="12.6" customHeight="1">
      <c r="A14" s="13" t="s">
        <v>26</v>
      </c>
      <c r="B14" s="159" t="s">
        <v>346</v>
      </c>
      <c r="C14" s="335">
        <v>44075.25</v>
      </c>
      <c r="D14" s="192">
        <v>37</v>
      </c>
      <c r="E14" s="192">
        <v>11</v>
      </c>
      <c r="F14" s="192">
        <v>2282</v>
      </c>
      <c r="G14" s="192">
        <v>21153</v>
      </c>
      <c r="H14" s="192">
        <v>146</v>
      </c>
      <c r="I14" s="192">
        <v>593</v>
      </c>
      <c r="J14" s="192">
        <v>314</v>
      </c>
      <c r="K14" s="192">
        <v>0</v>
      </c>
      <c r="L14" s="192">
        <v>320</v>
      </c>
      <c r="M14" s="13" t="s">
        <v>26</v>
      </c>
      <c r="N14" s="159" t="s">
        <v>346</v>
      </c>
      <c r="O14" s="192">
        <v>698</v>
      </c>
      <c r="P14" s="192">
        <v>851</v>
      </c>
      <c r="Q14" s="192">
        <v>944</v>
      </c>
      <c r="R14" s="192">
        <v>248</v>
      </c>
      <c r="S14" s="192">
        <v>3578</v>
      </c>
      <c r="T14" s="192">
        <v>62</v>
      </c>
      <c r="U14" s="192">
        <v>2816</v>
      </c>
      <c r="V14" s="192">
        <v>10</v>
      </c>
      <c r="W14" s="192">
        <v>42</v>
      </c>
      <c r="X14" s="192">
        <v>14</v>
      </c>
      <c r="Y14" s="13" t="s">
        <v>26</v>
      </c>
      <c r="Z14" s="159" t="s">
        <v>346</v>
      </c>
      <c r="AA14" s="192">
        <v>25</v>
      </c>
      <c r="AB14" s="192">
        <v>926</v>
      </c>
      <c r="AC14" s="192">
        <v>87</v>
      </c>
      <c r="AD14" s="192">
        <v>0</v>
      </c>
      <c r="AE14" s="192">
        <v>292</v>
      </c>
      <c r="AF14" s="192">
        <v>3</v>
      </c>
      <c r="AG14" s="192">
        <v>240.25</v>
      </c>
      <c r="AH14" s="192">
        <v>7758</v>
      </c>
      <c r="AI14" s="192">
        <v>318</v>
      </c>
      <c r="AJ14" s="192">
        <v>307</v>
      </c>
    </row>
    <row r="15" spans="1:36" ht="12.6" customHeight="1">
      <c r="A15" s="13"/>
      <c r="B15" s="159" t="s">
        <v>355</v>
      </c>
      <c r="C15" s="335">
        <v>46101</v>
      </c>
      <c r="D15" s="192">
        <v>42</v>
      </c>
      <c r="E15" s="192">
        <v>109</v>
      </c>
      <c r="F15" s="192">
        <v>2468</v>
      </c>
      <c r="G15" s="192">
        <v>20628</v>
      </c>
      <c r="H15" s="192">
        <v>152</v>
      </c>
      <c r="I15" s="192">
        <v>485</v>
      </c>
      <c r="J15" s="192">
        <v>372</v>
      </c>
      <c r="K15" s="192">
        <v>0</v>
      </c>
      <c r="L15" s="192">
        <v>377</v>
      </c>
      <c r="M15" s="13"/>
      <c r="N15" s="159" t="s">
        <v>355</v>
      </c>
      <c r="O15" s="192">
        <v>667</v>
      </c>
      <c r="P15" s="192">
        <v>819</v>
      </c>
      <c r="Q15" s="192">
        <v>862</v>
      </c>
      <c r="R15" s="192">
        <v>281</v>
      </c>
      <c r="S15" s="192">
        <v>4649</v>
      </c>
      <c r="T15" s="192">
        <v>115</v>
      </c>
      <c r="U15" s="192">
        <v>2431</v>
      </c>
      <c r="V15" s="192">
        <v>6</v>
      </c>
      <c r="W15" s="192">
        <v>39</v>
      </c>
      <c r="X15" s="192">
        <v>15</v>
      </c>
      <c r="Y15" s="13"/>
      <c r="Z15" s="159" t="s">
        <v>355</v>
      </c>
      <c r="AA15" s="192">
        <v>23</v>
      </c>
      <c r="AB15" s="192">
        <v>1219</v>
      </c>
      <c r="AC15" s="192">
        <v>363</v>
      </c>
      <c r="AD15" s="192">
        <v>0</v>
      </c>
      <c r="AE15" s="192">
        <v>397</v>
      </c>
      <c r="AF15" s="192">
        <v>4</v>
      </c>
      <c r="AG15" s="192">
        <v>322</v>
      </c>
      <c r="AH15" s="192">
        <v>8590</v>
      </c>
      <c r="AI15" s="192">
        <v>338</v>
      </c>
      <c r="AJ15" s="192">
        <v>328</v>
      </c>
    </row>
    <row r="16" spans="1:36" ht="12.6" customHeight="1">
      <c r="A16" s="13" t="s">
        <v>27</v>
      </c>
      <c r="B16" s="159" t="s">
        <v>346</v>
      </c>
      <c r="C16" s="335">
        <v>98829</v>
      </c>
      <c r="D16" s="192">
        <v>6024</v>
      </c>
      <c r="E16" s="192">
        <v>721</v>
      </c>
      <c r="F16" s="192">
        <v>16782</v>
      </c>
      <c r="G16" s="192">
        <v>19</v>
      </c>
      <c r="H16" s="192">
        <v>9407</v>
      </c>
      <c r="I16" s="192">
        <v>13641</v>
      </c>
      <c r="J16" s="192">
        <v>13</v>
      </c>
      <c r="K16" s="192">
        <v>0</v>
      </c>
      <c r="L16" s="192">
        <v>41</v>
      </c>
      <c r="M16" s="13" t="s">
        <v>27</v>
      </c>
      <c r="N16" s="159" t="s">
        <v>346</v>
      </c>
      <c r="O16" s="192">
        <v>44</v>
      </c>
      <c r="P16" s="192">
        <v>1506</v>
      </c>
      <c r="Q16" s="192">
        <v>81</v>
      </c>
      <c r="R16" s="192">
        <v>308</v>
      </c>
      <c r="S16" s="192">
        <v>339</v>
      </c>
      <c r="T16" s="192">
        <v>1828</v>
      </c>
      <c r="U16" s="192">
        <v>25189</v>
      </c>
      <c r="V16" s="192">
        <v>289</v>
      </c>
      <c r="W16" s="192">
        <v>22</v>
      </c>
      <c r="X16" s="192">
        <v>1743</v>
      </c>
      <c r="Y16" s="13" t="s">
        <v>27</v>
      </c>
      <c r="Z16" s="159" t="s">
        <v>346</v>
      </c>
      <c r="AA16" s="192">
        <v>2608</v>
      </c>
      <c r="AB16" s="192">
        <v>0</v>
      </c>
      <c r="AC16" s="192">
        <v>1337</v>
      </c>
      <c r="AD16" s="192">
        <v>7</v>
      </c>
      <c r="AE16" s="192">
        <v>6497</v>
      </c>
      <c r="AF16" s="192">
        <v>4245</v>
      </c>
      <c r="AG16" s="192">
        <v>0</v>
      </c>
      <c r="AH16" s="192">
        <v>0</v>
      </c>
      <c r="AI16" s="192">
        <v>13</v>
      </c>
      <c r="AJ16" s="192">
        <v>6125</v>
      </c>
    </row>
    <row r="17" spans="1:36" ht="12.6" customHeight="1">
      <c r="A17" s="13"/>
      <c r="B17" s="159" t="s">
        <v>355</v>
      </c>
      <c r="C17" s="335">
        <v>83988</v>
      </c>
      <c r="D17" s="192">
        <v>4617</v>
      </c>
      <c r="E17" s="192">
        <v>560</v>
      </c>
      <c r="F17" s="192">
        <v>13543</v>
      </c>
      <c r="G17" s="192">
        <v>9</v>
      </c>
      <c r="H17" s="192">
        <v>7224</v>
      </c>
      <c r="I17" s="192">
        <v>11606</v>
      </c>
      <c r="J17" s="192">
        <v>10</v>
      </c>
      <c r="K17" s="192">
        <v>0</v>
      </c>
      <c r="L17" s="192">
        <v>38</v>
      </c>
      <c r="M17" s="13"/>
      <c r="N17" s="159" t="s">
        <v>355</v>
      </c>
      <c r="O17" s="192">
        <v>36</v>
      </c>
      <c r="P17" s="192">
        <v>1435</v>
      </c>
      <c r="Q17" s="192">
        <v>142</v>
      </c>
      <c r="R17" s="192">
        <v>254</v>
      </c>
      <c r="S17" s="192">
        <v>336</v>
      </c>
      <c r="T17" s="192">
        <v>1647</v>
      </c>
      <c r="U17" s="192">
        <v>22312</v>
      </c>
      <c r="V17" s="192">
        <v>468</v>
      </c>
      <c r="W17" s="192">
        <v>15</v>
      </c>
      <c r="X17" s="192">
        <v>1458</v>
      </c>
      <c r="Y17" s="13"/>
      <c r="Z17" s="159" t="s">
        <v>355</v>
      </c>
      <c r="AA17" s="192">
        <v>2221</v>
      </c>
      <c r="AB17" s="192">
        <v>0</v>
      </c>
      <c r="AC17" s="192">
        <v>1348</v>
      </c>
      <c r="AD17" s="192">
        <v>9</v>
      </c>
      <c r="AE17" s="192">
        <v>5175</v>
      </c>
      <c r="AF17" s="192">
        <v>3675</v>
      </c>
      <c r="AG17" s="192">
        <v>0</v>
      </c>
      <c r="AH17" s="192">
        <v>0</v>
      </c>
      <c r="AI17" s="192">
        <v>6</v>
      </c>
      <c r="AJ17" s="192">
        <v>5844</v>
      </c>
    </row>
    <row r="18" spans="1:36" ht="12.6" customHeight="1">
      <c r="A18" s="13" t="s">
        <v>28</v>
      </c>
      <c r="B18" s="159" t="s">
        <v>346</v>
      </c>
      <c r="C18" s="335">
        <v>109656.29999999999</v>
      </c>
      <c r="D18" s="192">
        <v>3585</v>
      </c>
      <c r="E18" s="192">
        <v>10721</v>
      </c>
      <c r="F18" s="192">
        <v>26822</v>
      </c>
      <c r="G18" s="192">
        <v>10613</v>
      </c>
      <c r="H18" s="192">
        <v>1871</v>
      </c>
      <c r="I18" s="192">
        <v>340</v>
      </c>
      <c r="J18" s="192">
        <v>0</v>
      </c>
      <c r="K18" s="192">
        <v>0</v>
      </c>
      <c r="L18" s="192">
        <v>109.4</v>
      </c>
      <c r="M18" s="13" t="s">
        <v>28</v>
      </c>
      <c r="N18" s="159" t="s">
        <v>346</v>
      </c>
      <c r="O18" s="192">
        <v>649.4</v>
      </c>
      <c r="P18" s="192">
        <v>4425</v>
      </c>
      <c r="Q18" s="192">
        <v>467.5</v>
      </c>
      <c r="R18" s="192">
        <v>538</v>
      </c>
      <c r="S18" s="192">
        <v>115.6</v>
      </c>
      <c r="T18" s="192">
        <v>8457.5</v>
      </c>
      <c r="U18" s="192">
        <v>19520.900000000001</v>
      </c>
      <c r="V18" s="192">
        <v>3170.5</v>
      </c>
      <c r="W18" s="192">
        <v>558</v>
      </c>
      <c r="X18" s="192">
        <v>838</v>
      </c>
      <c r="Y18" s="13" t="s">
        <v>28</v>
      </c>
      <c r="Z18" s="159" t="s">
        <v>346</v>
      </c>
      <c r="AA18" s="192">
        <v>2097</v>
      </c>
      <c r="AB18" s="192">
        <v>4</v>
      </c>
      <c r="AC18" s="192">
        <v>9934</v>
      </c>
      <c r="AD18" s="192">
        <v>0</v>
      </c>
      <c r="AE18" s="192">
        <v>2955.5</v>
      </c>
      <c r="AF18" s="192">
        <v>1065</v>
      </c>
      <c r="AG18" s="192">
        <v>0</v>
      </c>
      <c r="AH18" s="192">
        <v>168</v>
      </c>
      <c r="AI18" s="192">
        <v>0</v>
      </c>
      <c r="AJ18" s="192">
        <v>631</v>
      </c>
    </row>
    <row r="19" spans="1:36" ht="12.6" customHeight="1">
      <c r="A19" s="13"/>
      <c r="B19" s="159" t="s">
        <v>355</v>
      </c>
      <c r="C19" s="335">
        <v>110122.44500000001</v>
      </c>
      <c r="D19" s="192">
        <v>2740.2</v>
      </c>
      <c r="E19" s="192">
        <v>12358</v>
      </c>
      <c r="F19" s="192">
        <v>26184.995000000003</v>
      </c>
      <c r="G19" s="192">
        <v>11335.4</v>
      </c>
      <c r="H19" s="192">
        <v>1087</v>
      </c>
      <c r="I19" s="192">
        <v>185</v>
      </c>
      <c r="J19" s="192">
        <v>0</v>
      </c>
      <c r="K19" s="192">
        <v>0</v>
      </c>
      <c r="L19" s="192">
        <v>135.25</v>
      </c>
      <c r="M19" s="13"/>
      <c r="N19" s="159" t="s">
        <v>355</v>
      </c>
      <c r="O19" s="192">
        <v>620.25</v>
      </c>
      <c r="P19" s="192">
        <v>5461</v>
      </c>
      <c r="Q19" s="192">
        <v>394</v>
      </c>
      <c r="R19" s="192">
        <v>632</v>
      </c>
      <c r="S19" s="192">
        <v>107.6</v>
      </c>
      <c r="T19" s="192">
        <v>8967.5</v>
      </c>
      <c r="U19" s="192">
        <v>18595.55</v>
      </c>
      <c r="V19" s="192">
        <v>2714</v>
      </c>
      <c r="W19" s="192">
        <v>543.75</v>
      </c>
      <c r="X19" s="192">
        <v>373.45</v>
      </c>
      <c r="Y19" s="13"/>
      <c r="Z19" s="159" t="s">
        <v>355</v>
      </c>
      <c r="AA19" s="192">
        <v>1607</v>
      </c>
      <c r="AB19" s="192">
        <v>0</v>
      </c>
      <c r="AC19" s="192">
        <v>10655.75</v>
      </c>
      <c r="AD19" s="192">
        <v>0</v>
      </c>
      <c r="AE19" s="192">
        <v>2808.75</v>
      </c>
      <c r="AF19" s="192">
        <v>1431</v>
      </c>
      <c r="AG19" s="192">
        <v>0</v>
      </c>
      <c r="AH19" s="192">
        <v>257</v>
      </c>
      <c r="AI19" s="192">
        <v>0</v>
      </c>
      <c r="AJ19" s="192">
        <v>928</v>
      </c>
    </row>
    <row r="20" spans="1:36" ht="12.6" customHeight="1">
      <c r="A20" s="13" t="s">
        <v>293</v>
      </c>
      <c r="B20" s="159" t="s">
        <v>346</v>
      </c>
      <c r="C20" s="335">
        <v>0</v>
      </c>
      <c r="D20" s="192">
        <v>0</v>
      </c>
      <c r="E20" s="192">
        <v>0</v>
      </c>
      <c r="F20" s="192">
        <v>0</v>
      </c>
      <c r="G20" s="192">
        <v>0</v>
      </c>
      <c r="H20" s="192">
        <v>0</v>
      </c>
      <c r="I20" s="192">
        <v>0</v>
      </c>
      <c r="J20" s="192">
        <v>0</v>
      </c>
      <c r="K20" s="192">
        <v>0</v>
      </c>
      <c r="L20" s="192">
        <v>0</v>
      </c>
      <c r="M20" s="13" t="s">
        <v>293</v>
      </c>
      <c r="N20" s="159" t="s">
        <v>346</v>
      </c>
      <c r="O20" s="192">
        <v>0</v>
      </c>
      <c r="P20" s="192">
        <v>0</v>
      </c>
      <c r="Q20" s="192">
        <v>0</v>
      </c>
      <c r="R20" s="192">
        <v>0</v>
      </c>
      <c r="S20" s="192">
        <v>0</v>
      </c>
      <c r="T20" s="192">
        <v>0</v>
      </c>
      <c r="U20" s="192">
        <v>0</v>
      </c>
      <c r="V20" s="192">
        <v>0</v>
      </c>
      <c r="W20" s="192">
        <v>0</v>
      </c>
      <c r="X20" s="192">
        <v>0</v>
      </c>
      <c r="Y20" s="13" t="s">
        <v>293</v>
      </c>
      <c r="Z20" s="159" t="s">
        <v>346</v>
      </c>
      <c r="AA20" s="192">
        <v>0</v>
      </c>
      <c r="AB20" s="192">
        <v>0</v>
      </c>
      <c r="AC20" s="192">
        <v>0</v>
      </c>
      <c r="AD20" s="192">
        <v>0</v>
      </c>
      <c r="AE20" s="192">
        <v>0</v>
      </c>
      <c r="AF20" s="192">
        <v>0</v>
      </c>
      <c r="AG20" s="192">
        <v>0</v>
      </c>
      <c r="AH20" s="192">
        <v>0</v>
      </c>
      <c r="AI20" s="192">
        <v>0</v>
      </c>
      <c r="AJ20" s="192">
        <v>0</v>
      </c>
    </row>
    <row r="21" spans="1:36" ht="12.6" customHeight="1">
      <c r="A21" s="13"/>
      <c r="B21" s="159" t="s">
        <v>355</v>
      </c>
      <c r="C21" s="335">
        <v>0</v>
      </c>
      <c r="D21" s="192">
        <v>0</v>
      </c>
      <c r="E21" s="192">
        <v>0</v>
      </c>
      <c r="F21" s="192">
        <v>0</v>
      </c>
      <c r="G21" s="192">
        <v>0</v>
      </c>
      <c r="H21" s="192">
        <v>0</v>
      </c>
      <c r="I21" s="192">
        <v>0</v>
      </c>
      <c r="J21" s="192">
        <v>0</v>
      </c>
      <c r="K21" s="192">
        <v>0</v>
      </c>
      <c r="L21" s="192">
        <v>0</v>
      </c>
      <c r="M21" s="13"/>
      <c r="N21" s="159" t="s">
        <v>355</v>
      </c>
      <c r="O21" s="192">
        <v>0</v>
      </c>
      <c r="P21" s="192">
        <v>0</v>
      </c>
      <c r="Q21" s="192">
        <v>0</v>
      </c>
      <c r="R21" s="192">
        <v>0</v>
      </c>
      <c r="S21" s="192">
        <v>0</v>
      </c>
      <c r="T21" s="192">
        <v>0</v>
      </c>
      <c r="U21" s="192">
        <v>0</v>
      </c>
      <c r="V21" s="192">
        <v>0</v>
      </c>
      <c r="W21" s="192">
        <v>0</v>
      </c>
      <c r="X21" s="192">
        <v>0</v>
      </c>
      <c r="Y21" s="13"/>
      <c r="Z21" s="159" t="s">
        <v>355</v>
      </c>
      <c r="AA21" s="192">
        <v>0</v>
      </c>
      <c r="AB21" s="192">
        <v>0</v>
      </c>
      <c r="AC21" s="192">
        <v>0</v>
      </c>
      <c r="AD21" s="192">
        <v>0</v>
      </c>
      <c r="AE21" s="192">
        <v>0</v>
      </c>
      <c r="AF21" s="192">
        <v>0</v>
      </c>
      <c r="AG21" s="192">
        <v>0</v>
      </c>
      <c r="AH21" s="192">
        <v>0</v>
      </c>
      <c r="AI21" s="192">
        <v>0</v>
      </c>
      <c r="AJ21" s="192">
        <v>0</v>
      </c>
    </row>
    <row r="22" spans="1:36" ht="12.6" customHeight="1">
      <c r="A22" s="13" t="s">
        <v>29</v>
      </c>
      <c r="B22" s="159" t="s">
        <v>346</v>
      </c>
      <c r="C22" s="335">
        <v>105916.26</v>
      </c>
      <c r="D22" s="192">
        <v>4799</v>
      </c>
      <c r="E22" s="192">
        <v>3500.5</v>
      </c>
      <c r="F22" s="192">
        <v>21724</v>
      </c>
      <c r="G22" s="192">
        <v>1118</v>
      </c>
      <c r="H22" s="192">
        <v>8076</v>
      </c>
      <c r="I22" s="192">
        <v>3303</v>
      </c>
      <c r="J22" s="192">
        <v>0</v>
      </c>
      <c r="K22" s="192">
        <v>0</v>
      </c>
      <c r="L22" s="192">
        <v>29</v>
      </c>
      <c r="M22" s="13" t="s">
        <v>29</v>
      </c>
      <c r="N22" s="159" t="s">
        <v>346</v>
      </c>
      <c r="O22" s="192">
        <v>157</v>
      </c>
      <c r="P22" s="192">
        <v>293</v>
      </c>
      <c r="Q22" s="192">
        <v>415</v>
      </c>
      <c r="R22" s="192">
        <v>0</v>
      </c>
      <c r="S22" s="192">
        <v>284</v>
      </c>
      <c r="T22" s="192">
        <v>1777</v>
      </c>
      <c r="U22" s="192">
        <v>29670</v>
      </c>
      <c r="V22" s="192">
        <v>2669.75</v>
      </c>
      <c r="W22" s="192">
        <v>62</v>
      </c>
      <c r="X22" s="192">
        <v>1607</v>
      </c>
      <c r="Y22" s="13" t="s">
        <v>29</v>
      </c>
      <c r="Z22" s="159" t="s">
        <v>346</v>
      </c>
      <c r="AA22" s="192">
        <v>3499</v>
      </c>
      <c r="AB22" s="192">
        <v>0</v>
      </c>
      <c r="AC22" s="192">
        <v>1634</v>
      </c>
      <c r="AD22" s="192">
        <v>0</v>
      </c>
      <c r="AE22" s="192">
        <v>6720</v>
      </c>
      <c r="AF22" s="192">
        <v>2122</v>
      </c>
      <c r="AG22" s="192">
        <v>0</v>
      </c>
      <c r="AH22" s="192">
        <v>0</v>
      </c>
      <c r="AI22" s="192">
        <v>807</v>
      </c>
      <c r="AJ22" s="192">
        <v>11650.01</v>
      </c>
    </row>
    <row r="23" spans="1:36" ht="12.6" customHeight="1">
      <c r="A23" s="13"/>
      <c r="B23" s="159" t="s">
        <v>355</v>
      </c>
      <c r="C23" s="335">
        <v>103881</v>
      </c>
      <c r="D23" s="192">
        <v>2687</v>
      </c>
      <c r="E23" s="192">
        <v>2908</v>
      </c>
      <c r="F23" s="192">
        <v>21218</v>
      </c>
      <c r="G23" s="192">
        <v>999</v>
      </c>
      <c r="H23" s="192">
        <v>6453</v>
      </c>
      <c r="I23" s="192">
        <v>3795</v>
      </c>
      <c r="J23" s="192">
        <v>0</v>
      </c>
      <c r="K23" s="192">
        <v>0</v>
      </c>
      <c r="L23" s="192">
        <v>38</v>
      </c>
      <c r="M23" s="13"/>
      <c r="N23" s="159" t="s">
        <v>355</v>
      </c>
      <c r="O23" s="192">
        <v>151</v>
      </c>
      <c r="P23" s="192">
        <v>434</v>
      </c>
      <c r="Q23" s="192">
        <v>449</v>
      </c>
      <c r="R23" s="192">
        <v>0</v>
      </c>
      <c r="S23" s="192">
        <v>343</v>
      </c>
      <c r="T23" s="192">
        <v>2070</v>
      </c>
      <c r="U23" s="192">
        <v>29181</v>
      </c>
      <c r="V23" s="192">
        <v>1917</v>
      </c>
      <c r="W23" s="192">
        <v>68</v>
      </c>
      <c r="X23" s="192">
        <v>1626</v>
      </c>
      <c r="Y23" s="13"/>
      <c r="Z23" s="159" t="s">
        <v>355</v>
      </c>
      <c r="AA23" s="192">
        <v>3307</v>
      </c>
      <c r="AB23" s="192">
        <v>0</v>
      </c>
      <c r="AC23" s="192">
        <v>2016</v>
      </c>
      <c r="AD23" s="192">
        <v>0</v>
      </c>
      <c r="AE23" s="192">
        <v>5665</v>
      </c>
      <c r="AF23" s="192">
        <v>1819</v>
      </c>
      <c r="AG23" s="192">
        <v>0</v>
      </c>
      <c r="AH23" s="192">
        <v>0</v>
      </c>
      <c r="AI23" s="192">
        <v>960</v>
      </c>
      <c r="AJ23" s="192">
        <v>15777</v>
      </c>
    </row>
    <row r="24" spans="1:36" ht="12.6" customHeight="1">
      <c r="A24" s="13" t="s">
        <v>30</v>
      </c>
      <c r="B24" s="159" t="s">
        <v>346</v>
      </c>
      <c r="C24" s="335">
        <v>72322</v>
      </c>
      <c r="D24" s="192">
        <v>2759</v>
      </c>
      <c r="E24" s="192">
        <v>171</v>
      </c>
      <c r="F24" s="192">
        <v>14547</v>
      </c>
      <c r="G24" s="192">
        <v>0</v>
      </c>
      <c r="H24" s="192">
        <v>8597</v>
      </c>
      <c r="I24" s="192">
        <v>1359</v>
      </c>
      <c r="J24" s="192">
        <v>0</v>
      </c>
      <c r="K24" s="192">
        <v>0</v>
      </c>
      <c r="L24" s="192">
        <v>5</v>
      </c>
      <c r="M24" s="13" t="s">
        <v>30</v>
      </c>
      <c r="N24" s="159" t="s">
        <v>346</v>
      </c>
      <c r="O24" s="192">
        <v>185</v>
      </c>
      <c r="P24" s="192">
        <v>4628</v>
      </c>
      <c r="Q24" s="192">
        <v>31</v>
      </c>
      <c r="R24" s="192">
        <v>90</v>
      </c>
      <c r="S24" s="192">
        <v>8</v>
      </c>
      <c r="T24" s="192">
        <v>740</v>
      </c>
      <c r="U24" s="192">
        <v>22489</v>
      </c>
      <c r="V24" s="192">
        <v>0</v>
      </c>
      <c r="W24" s="192">
        <v>9</v>
      </c>
      <c r="X24" s="192">
        <v>456</v>
      </c>
      <c r="Y24" s="13" t="s">
        <v>30</v>
      </c>
      <c r="Z24" s="159" t="s">
        <v>346</v>
      </c>
      <c r="AA24" s="192">
        <v>2658</v>
      </c>
      <c r="AB24" s="192">
        <v>0</v>
      </c>
      <c r="AC24" s="192">
        <v>4570</v>
      </c>
      <c r="AD24" s="192">
        <v>0</v>
      </c>
      <c r="AE24" s="192">
        <v>4867</v>
      </c>
      <c r="AF24" s="192">
        <v>2642</v>
      </c>
      <c r="AG24" s="192">
        <v>0</v>
      </c>
      <c r="AH24" s="192">
        <v>0</v>
      </c>
      <c r="AI24" s="192">
        <v>0</v>
      </c>
      <c r="AJ24" s="192">
        <v>1511</v>
      </c>
    </row>
    <row r="25" spans="1:36" ht="12.6" customHeight="1">
      <c r="A25" s="13"/>
      <c r="B25" s="159" t="s">
        <v>355</v>
      </c>
      <c r="C25" s="335">
        <v>54362</v>
      </c>
      <c r="D25" s="192">
        <v>1537</v>
      </c>
      <c r="E25" s="192">
        <v>388</v>
      </c>
      <c r="F25" s="192">
        <v>10318</v>
      </c>
      <c r="G25" s="192">
        <v>0</v>
      </c>
      <c r="H25" s="192">
        <v>6024</v>
      </c>
      <c r="I25" s="192">
        <v>1228</v>
      </c>
      <c r="J25" s="192">
        <v>0</v>
      </c>
      <c r="K25" s="192">
        <v>0</v>
      </c>
      <c r="L25" s="192">
        <v>31</v>
      </c>
      <c r="M25" s="13"/>
      <c r="N25" s="159" t="s">
        <v>355</v>
      </c>
      <c r="O25" s="192">
        <v>427</v>
      </c>
      <c r="P25" s="192">
        <v>2935</v>
      </c>
      <c r="Q25" s="192">
        <v>85</v>
      </c>
      <c r="R25" s="192">
        <v>77</v>
      </c>
      <c r="S25" s="192">
        <v>43</v>
      </c>
      <c r="T25" s="192">
        <v>624</v>
      </c>
      <c r="U25" s="192">
        <v>16804</v>
      </c>
      <c r="V25" s="192">
        <v>0</v>
      </c>
      <c r="W25" s="192">
        <v>4</v>
      </c>
      <c r="X25" s="192">
        <v>483</v>
      </c>
      <c r="Y25" s="13"/>
      <c r="Z25" s="159" t="s">
        <v>355</v>
      </c>
      <c r="AA25" s="192">
        <v>1931</v>
      </c>
      <c r="AB25" s="192">
        <v>0</v>
      </c>
      <c r="AC25" s="192">
        <v>4738</v>
      </c>
      <c r="AD25" s="192">
        <v>1</v>
      </c>
      <c r="AE25" s="192">
        <v>2986</v>
      </c>
      <c r="AF25" s="192">
        <v>1949</v>
      </c>
      <c r="AG25" s="192">
        <v>0</v>
      </c>
      <c r="AH25" s="192">
        <v>0</v>
      </c>
      <c r="AI25" s="192">
        <v>19</v>
      </c>
      <c r="AJ25" s="192">
        <v>1730</v>
      </c>
    </row>
    <row r="26" spans="1:36" ht="12.6" customHeight="1">
      <c r="A26" s="13" t="s">
        <v>155</v>
      </c>
      <c r="B26" s="159" t="s">
        <v>346</v>
      </c>
      <c r="C26" s="335">
        <v>62866.75</v>
      </c>
      <c r="D26" s="192">
        <v>3076</v>
      </c>
      <c r="E26" s="192">
        <v>7580.25</v>
      </c>
      <c r="F26" s="192">
        <v>7687.75</v>
      </c>
      <c r="G26" s="192">
        <v>3756</v>
      </c>
      <c r="H26" s="192">
        <v>1992</v>
      </c>
      <c r="I26" s="192">
        <v>530</v>
      </c>
      <c r="J26" s="192">
        <v>36.75</v>
      </c>
      <c r="K26" s="192">
        <v>0</v>
      </c>
      <c r="L26" s="192">
        <v>25</v>
      </c>
      <c r="M26" s="13" t="s">
        <v>155</v>
      </c>
      <c r="N26" s="159" t="s">
        <v>346</v>
      </c>
      <c r="O26" s="192">
        <v>508.5</v>
      </c>
      <c r="P26" s="192">
        <v>1409</v>
      </c>
      <c r="Q26" s="192">
        <v>86.25</v>
      </c>
      <c r="R26" s="192">
        <v>35</v>
      </c>
      <c r="S26" s="192">
        <v>75</v>
      </c>
      <c r="T26" s="192">
        <v>824.5</v>
      </c>
      <c r="U26" s="192">
        <v>26194.75</v>
      </c>
      <c r="V26" s="192">
        <v>2178.5</v>
      </c>
      <c r="W26" s="192">
        <v>180.5</v>
      </c>
      <c r="X26" s="192">
        <v>610</v>
      </c>
      <c r="Y26" s="13" t="s">
        <v>155</v>
      </c>
      <c r="Z26" s="159" t="s">
        <v>346</v>
      </c>
      <c r="AA26" s="192">
        <v>1466</v>
      </c>
      <c r="AB26" s="192">
        <v>0</v>
      </c>
      <c r="AC26" s="192">
        <v>1284.5</v>
      </c>
      <c r="AD26" s="192">
        <v>0</v>
      </c>
      <c r="AE26" s="192">
        <v>1442.5</v>
      </c>
      <c r="AF26" s="192">
        <v>516.5</v>
      </c>
      <c r="AG26" s="192">
        <v>0</v>
      </c>
      <c r="AH26" s="192">
        <v>213.5</v>
      </c>
      <c r="AI26" s="192">
        <v>0</v>
      </c>
      <c r="AJ26" s="192">
        <v>1158</v>
      </c>
    </row>
    <row r="27" spans="1:36" ht="12.6" customHeight="1">
      <c r="A27" s="13"/>
      <c r="B27" s="159" t="s">
        <v>355</v>
      </c>
      <c r="C27" s="335">
        <v>61033.75</v>
      </c>
      <c r="D27" s="192">
        <v>2918</v>
      </c>
      <c r="E27" s="192">
        <v>6224.25</v>
      </c>
      <c r="F27" s="192">
        <v>6382</v>
      </c>
      <c r="G27" s="192">
        <v>3354</v>
      </c>
      <c r="H27" s="192">
        <v>1907</v>
      </c>
      <c r="I27" s="192">
        <v>569.5</v>
      </c>
      <c r="J27" s="192">
        <v>38.75</v>
      </c>
      <c r="K27" s="192">
        <v>0</v>
      </c>
      <c r="L27" s="192">
        <v>32.75</v>
      </c>
      <c r="M27" s="13"/>
      <c r="N27" s="159" t="s">
        <v>355</v>
      </c>
      <c r="O27" s="192">
        <v>720.25</v>
      </c>
      <c r="P27" s="192">
        <v>1521.75</v>
      </c>
      <c r="Q27" s="192">
        <v>113.5</v>
      </c>
      <c r="R27" s="192">
        <v>34.5</v>
      </c>
      <c r="S27" s="192">
        <v>78.5</v>
      </c>
      <c r="T27" s="192">
        <v>845</v>
      </c>
      <c r="U27" s="192">
        <v>27219</v>
      </c>
      <c r="V27" s="192">
        <v>2088</v>
      </c>
      <c r="W27" s="192">
        <v>173.25</v>
      </c>
      <c r="X27" s="192">
        <v>641.25</v>
      </c>
      <c r="Y27" s="13"/>
      <c r="Z27" s="159" t="s">
        <v>355</v>
      </c>
      <c r="AA27" s="192">
        <v>1587.5</v>
      </c>
      <c r="AB27" s="192">
        <v>0</v>
      </c>
      <c r="AC27" s="192">
        <v>1322</v>
      </c>
      <c r="AD27" s="192">
        <v>0</v>
      </c>
      <c r="AE27" s="192">
        <v>1308</v>
      </c>
      <c r="AF27" s="192">
        <v>527</v>
      </c>
      <c r="AG27" s="192">
        <v>0</v>
      </c>
      <c r="AH27" s="192">
        <v>219</v>
      </c>
      <c r="AI27" s="192">
        <v>57.5</v>
      </c>
      <c r="AJ27" s="192">
        <v>1151.5</v>
      </c>
    </row>
    <row r="28" spans="1:36" ht="12.6" customHeight="1">
      <c r="A28" s="13" t="s">
        <v>31</v>
      </c>
      <c r="B28" s="159" t="s">
        <v>346</v>
      </c>
      <c r="C28" s="335">
        <v>13144.75</v>
      </c>
      <c r="D28" s="192">
        <v>8</v>
      </c>
      <c r="E28" s="192">
        <v>10450.5</v>
      </c>
      <c r="F28" s="192">
        <v>6.5</v>
      </c>
      <c r="G28" s="192">
        <v>0</v>
      </c>
      <c r="H28" s="192">
        <v>27</v>
      </c>
      <c r="I28" s="192">
        <v>2</v>
      </c>
      <c r="J28" s="192">
        <v>128</v>
      </c>
      <c r="K28" s="192">
        <v>0</v>
      </c>
      <c r="L28" s="192">
        <v>462</v>
      </c>
      <c r="M28" s="13" t="s">
        <v>31</v>
      </c>
      <c r="N28" s="159" t="s">
        <v>346</v>
      </c>
      <c r="O28" s="192">
        <v>159.25</v>
      </c>
      <c r="P28" s="192">
        <v>63.5</v>
      </c>
      <c r="Q28" s="192">
        <v>8</v>
      </c>
      <c r="R28" s="192">
        <v>2</v>
      </c>
      <c r="S28" s="192">
        <v>776</v>
      </c>
      <c r="T28" s="192">
        <v>45</v>
      </c>
      <c r="U28" s="192">
        <v>63</v>
      </c>
      <c r="V28" s="192">
        <v>105</v>
      </c>
      <c r="W28" s="192">
        <v>562.5</v>
      </c>
      <c r="X28" s="192">
        <v>11</v>
      </c>
      <c r="Y28" s="13" t="s">
        <v>31</v>
      </c>
      <c r="Z28" s="159" t="s">
        <v>346</v>
      </c>
      <c r="AA28" s="192">
        <v>0</v>
      </c>
      <c r="AB28" s="192">
        <v>185.5</v>
      </c>
      <c r="AC28" s="192">
        <v>11</v>
      </c>
      <c r="AD28" s="192">
        <v>69</v>
      </c>
      <c r="AE28" s="192">
        <v>0</v>
      </c>
      <c r="AF28" s="192">
        <v>0</v>
      </c>
      <c r="AG28" s="192">
        <v>0</v>
      </c>
      <c r="AH28" s="192">
        <v>0</v>
      </c>
      <c r="AI28" s="192">
        <v>0</v>
      </c>
      <c r="AJ28" s="192">
        <v>0</v>
      </c>
    </row>
    <row r="29" spans="1:36" ht="12.6" customHeight="1">
      <c r="A29" s="13"/>
      <c r="B29" s="159" t="s">
        <v>355</v>
      </c>
      <c r="C29" s="335">
        <v>17135</v>
      </c>
      <c r="D29" s="192">
        <v>15</v>
      </c>
      <c r="E29" s="192">
        <v>14143</v>
      </c>
      <c r="F29" s="192">
        <v>56</v>
      </c>
      <c r="G29" s="192">
        <v>0</v>
      </c>
      <c r="H29" s="192">
        <v>36</v>
      </c>
      <c r="I29" s="192">
        <v>5</v>
      </c>
      <c r="J29" s="192">
        <v>185</v>
      </c>
      <c r="K29" s="192">
        <v>0</v>
      </c>
      <c r="L29" s="192">
        <v>581</v>
      </c>
      <c r="M29" s="13"/>
      <c r="N29" s="159" t="s">
        <v>355</v>
      </c>
      <c r="O29" s="192">
        <v>170.5</v>
      </c>
      <c r="P29" s="192">
        <v>58.5</v>
      </c>
      <c r="Q29" s="192">
        <v>2</v>
      </c>
      <c r="R29" s="192">
        <v>0</v>
      </c>
      <c r="S29" s="192">
        <v>741</v>
      </c>
      <c r="T29" s="192">
        <v>32.5</v>
      </c>
      <c r="U29" s="192">
        <v>95.5</v>
      </c>
      <c r="V29" s="192">
        <v>183</v>
      </c>
      <c r="W29" s="192">
        <v>417</v>
      </c>
      <c r="X29" s="192">
        <v>0</v>
      </c>
      <c r="Y29" s="13"/>
      <c r="Z29" s="159" t="s">
        <v>355</v>
      </c>
      <c r="AA29" s="192">
        <v>4</v>
      </c>
      <c r="AB29" s="192">
        <v>268</v>
      </c>
      <c r="AC29" s="192">
        <v>15</v>
      </c>
      <c r="AD29" s="192">
        <v>127</v>
      </c>
      <c r="AE29" s="192">
        <v>0</v>
      </c>
      <c r="AF29" s="192">
        <v>0</v>
      </c>
      <c r="AG29" s="192">
        <v>0</v>
      </c>
      <c r="AH29" s="192">
        <v>0</v>
      </c>
      <c r="AI29" s="192">
        <v>0</v>
      </c>
      <c r="AJ29" s="192">
        <v>0</v>
      </c>
    </row>
    <row r="30" spans="1:36" ht="12.6" customHeight="1">
      <c r="A30" s="13" t="s">
        <v>156</v>
      </c>
      <c r="B30" s="159" t="s">
        <v>346</v>
      </c>
      <c r="C30" s="335">
        <v>70339.850000000006</v>
      </c>
      <c r="D30" s="192">
        <v>1749</v>
      </c>
      <c r="E30" s="192">
        <v>4870</v>
      </c>
      <c r="F30" s="192">
        <v>6205</v>
      </c>
      <c r="G30" s="192">
        <v>387</v>
      </c>
      <c r="H30" s="192">
        <v>4972</v>
      </c>
      <c r="I30" s="192">
        <v>1376</v>
      </c>
      <c r="J30" s="192">
        <v>157</v>
      </c>
      <c r="K30" s="192">
        <v>0</v>
      </c>
      <c r="L30" s="192">
        <v>5</v>
      </c>
      <c r="M30" s="13" t="s">
        <v>156</v>
      </c>
      <c r="N30" s="159" t="s">
        <v>346</v>
      </c>
      <c r="O30" s="192">
        <v>169</v>
      </c>
      <c r="P30" s="192">
        <v>3229</v>
      </c>
      <c r="Q30" s="192">
        <v>839</v>
      </c>
      <c r="R30" s="192">
        <v>323</v>
      </c>
      <c r="S30" s="192">
        <v>94</v>
      </c>
      <c r="T30" s="192">
        <v>7696</v>
      </c>
      <c r="U30" s="192">
        <v>22142.55</v>
      </c>
      <c r="V30" s="192">
        <v>3633</v>
      </c>
      <c r="W30" s="192">
        <v>0</v>
      </c>
      <c r="X30" s="192">
        <v>531</v>
      </c>
      <c r="Y30" s="13" t="s">
        <v>156</v>
      </c>
      <c r="Z30" s="159" t="s">
        <v>346</v>
      </c>
      <c r="AA30" s="192">
        <v>2514.3000000000002</v>
      </c>
      <c r="AB30" s="192">
        <v>0</v>
      </c>
      <c r="AC30" s="192">
        <v>2041</v>
      </c>
      <c r="AD30" s="192">
        <v>0</v>
      </c>
      <c r="AE30" s="192">
        <v>1461</v>
      </c>
      <c r="AF30" s="192">
        <v>754</v>
      </c>
      <c r="AG30" s="192">
        <v>0</v>
      </c>
      <c r="AH30" s="192">
        <v>0</v>
      </c>
      <c r="AI30" s="192">
        <v>265</v>
      </c>
      <c r="AJ30" s="192">
        <v>4927</v>
      </c>
    </row>
    <row r="31" spans="1:36" ht="12.6" customHeight="1">
      <c r="A31" s="13"/>
      <c r="B31" s="159" t="s">
        <v>355</v>
      </c>
      <c r="C31" s="335">
        <v>66982</v>
      </c>
      <c r="D31" s="192">
        <v>1569</v>
      </c>
      <c r="E31" s="192">
        <v>5261.5</v>
      </c>
      <c r="F31" s="192">
        <v>4729</v>
      </c>
      <c r="G31" s="192">
        <v>368.5</v>
      </c>
      <c r="H31" s="192">
        <v>4726</v>
      </c>
      <c r="I31" s="192">
        <v>1515</v>
      </c>
      <c r="J31" s="192">
        <v>186</v>
      </c>
      <c r="K31" s="192">
        <v>0</v>
      </c>
      <c r="L31" s="192">
        <v>5</v>
      </c>
      <c r="M31" s="13"/>
      <c r="N31" s="159" t="s">
        <v>355</v>
      </c>
      <c r="O31" s="192">
        <v>192</v>
      </c>
      <c r="P31" s="192">
        <v>3131</v>
      </c>
      <c r="Q31" s="192">
        <v>820</v>
      </c>
      <c r="R31" s="192">
        <v>298</v>
      </c>
      <c r="S31" s="192">
        <v>83</v>
      </c>
      <c r="T31" s="192">
        <v>7045</v>
      </c>
      <c r="U31" s="192">
        <v>20885</v>
      </c>
      <c r="V31" s="192">
        <v>3595</v>
      </c>
      <c r="W31" s="192">
        <v>0</v>
      </c>
      <c r="X31" s="192">
        <v>519</v>
      </c>
      <c r="Y31" s="13"/>
      <c r="Z31" s="159" t="s">
        <v>355</v>
      </c>
      <c r="AA31" s="192">
        <v>2431</v>
      </c>
      <c r="AB31" s="192">
        <v>0</v>
      </c>
      <c r="AC31" s="192">
        <v>2063</v>
      </c>
      <c r="AD31" s="192">
        <v>0</v>
      </c>
      <c r="AE31" s="192">
        <v>1197</v>
      </c>
      <c r="AF31" s="192">
        <v>549</v>
      </c>
      <c r="AG31" s="192">
        <v>0</v>
      </c>
      <c r="AH31" s="192">
        <v>0</v>
      </c>
      <c r="AI31" s="192">
        <v>602</v>
      </c>
      <c r="AJ31" s="192">
        <v>5212</v>
      </c>
    </row>
    <row r="32" spans="1:36" ht="12.6" customHeight="1">
      <c r="A32" s="13" t="s">
        <v>32</v>
      </c>
      <c r="B32" s="159" t="s">
        <v>346</v>
      </c>
      <c r="C32" s="335">
        <v>92543.395000000004</v>
      </c>
      <c r="D32" s="192">
        <v>2557</v>
      </c>
      <c r="E32" s="192">
        <v>4065.5</v>
      </c>
      <c r="F32" s="192">
        <v>5474</v>
      </c>
      <c r="G32" s="192">
        <v>31180</v>
      </c>
      <c r="H32" s="192">
        <v>1692</v>
      </c>
      <c r="I32" s="192">
        <v>283</v>
      </c>
      <c r="J32" s="192">
        <v>99.5</v>
      </c>
      <c r="K32" s="192">
        <v>156</v>
      </c>
      <c r="L32" s="192">
        <v>91</v>
      </c>
      <c r="M32" s="13" t="s">
        <v>32</v>
      </c>
      <c r="N32" s="159" t="s">
        <v>346</v>
      </c>
      <c r="O32" s="192">
        <v>351.5</v>
      </c>
      <c r="P32" s="192">
        <v>943.5</v>
      </c>
      <c r="Q32" s="192">
        <v>348.5</v>
      </c>
      <c r="R32" s="192">
        <v>152</v>
      </c>
      <c r="S32" s="192">
        <v>282</v>
      </c>
      <c r="T32" s="192">
        <v>818</v>
      </c>
      <c r="U32" s="192">
        <v>19460.5</v>
      </c>
      <c r="V32" s="192">
        <v>499</v>
      </c>
      <c r="W32" s="192">
        <v>149.5</v>
      </c>
      <c r="X32" s="192">
        <v>383.5</v>
      </c>
      <c r="Y32" s="13" t="s">
        <v>32</v>
      </c>
      <c r="Z32" s="159" t="s">
        <v>346</v>
      </c>
      <c r="AA32" s="192">
        <v>548</v>
      </c>
      <c r="AB32" s="192">
        <v>26</v>
      </c>
      <c r="AC32" s="192">
        <v>1353.5</v>
      </c>
      <c r="AD32" s="192">
        <v>3</v>
      </c>
      <c r="AE32" s="192">
        <v>1063</v>
      </c>
      <c r="AF32" s="192">
        <v>1114</v>
      </c>
      <c r="AG32" s="192">
        <v>17647.395</v>
      </c>
      <c r="AH32" s="192">
        <v>1480</v>
      </c>
      <c r="AI32" s="192">
        <v>35</v>
      </c>
      <c r="AJ32" s="192">
        <v>287.5</v>
      </c>
    </row>
    <row r="33" spans="1:36" ht="12.6" customHeight="1">
      <c r="A33" s="13"/>
      <c r="B33" s="159" t="s">
        <v>355</v>
      </c>
      <c r="C33" s="335">
        <v>85371.360000000015</v>
      </c>
      <c r="D33" s="192">
        <v>2568</v>
      </c>
      <c r="E33" s="192">
        <v>4204.1000000000004</v>
      </c>
      <c r="F33" s="192">
        <v>4882</v>
      </c>
      <c r="G33" s="192">
        <v>24227</v>
      </c>
      <c r="H33" s="192">
        <v>1771</v>
      </c>
      <c r="I33" s="192">
        <v>391.5</v>
      </c>
      <c r="J33" s="192">
        <v>106.5</v>
      </c>
      <c r="K33" s="192">
        <v>197</v>
      </c>
      <c r="L33" s="192">
        <v>109.5</v>
      </c>
      <c r="M33" s="13"/>
      <c r="N33" s="159" t="s">
        <v>355</v>
      </c>
      <c r="O33" s="192">
        <v>303</v>
      </c>
      <c r="P33" s="192">
        <v>1098.5</v>
      </c>
      <c r="Q33" s="192">
        <v>314</v>
      </c>
      <c r="R33" s="192">
        <v>120.5</v>
      </c>
      <c r="S33" s="192">
        <v>251</v>
      </c>
      <c r="T33" s="192">
        <v>686.5</v>
      </c>
      <c r="U33" s="192">
        <v>20444</v>
      </c>
      <c r="V33" s="192">
        <v>491.5</v>
      </c>
      <c r="W33" s="192">
        <v>163</v>
      </c>
      <c r="X33" s="192">
        <v>361</v>
      </c>
      <c r="Y33" s="13"/>
      <c r="Z33" s="159" t="s">
        <v>355</v>
      </c>
      <c r="AA33" s="192">
        <v>660.5</v>
      </c>
      <c r="AB33" s="192">
        <v>42</v>
      </c>
      <c r="AC33" s="192">
        <v>1182</v>
      </c>
      <c r="AD33" s="192">
        <v>0</v>
      </c>
      <c r="AE33" s="192">
        <v>1084</v>
      </c>
      <c r="AF33" s="192">
        <v>1405</v>
      </c>
      <c r="AG33" s="192">
        <v>15798.760000000002</v>
      </c>
      <c r="AH33" s="192">
        <v>1564.5</v>
      </c>
      <c r="AI33" s="192">
        <v>54</v>
      </c>
      <c r="AJ33" s="192">
        <v>891</v>
      </c>
    </row>
    <row r="34" spans="1:36" ht="12.6" customHeight="1">
      <c r="A34" s="13" t="s">
        <v>33</v>
      </c>
      <c r="B34" s="159" t="s">
        <v>346</v>
      </c>
      <c r="C34" s="335">
        <v>68565.131999999998</v>
      </c>
      <c r="D34" s="192">
        <v>10</v>
      </c>
      <c r="E34" s="192">
        <v>6108</v>
      </c>
      <c r="F34" s="192">
        <v>425</v>
      </c>
      <c r="G34" s="192">
        <v>47937</v>
      </c>
      <c r="H34" s="192">
        <v>10</v>
      </c>
      <c r="I34" s="192">
        <v>15</v>
      </c>
      <c r="J34" s="192">
        <v>16</v>
      </c>
      <c r="K34" s="192">
        <v>0</v>
      </c>
      <c r="L34" s="192">
        <v>89</v>
      </c>
      <c r="M34" s="13" t="s">
        <v>33</v>
      </c>
      <c r="N34" s="159" t="s">
        <v>346</v>
      </c>
      <c r="O34" s="192">
        <v>14</v>
      </c>
      <c r="P34" s="192">
        <v>102</v>
      </c>
      <c r="Q34" s="192">
        <v>37</v>
      </c>
      <c r="R34" s="192">
        <v>0</v>
      </c>
      <c r="S34" s="192">
        <v>159</v>
      </c>
      <c r="T34" s="192">
        <v>1488</v>
      </c>
      <c r="U34" s="192">
        <v>335</v>
      </c>
      <c r="V34" s="192">
        <v>220</v>
      </c>
      <c r="W34" s="192">
        <v>604</v>
      </c>
      <c r="X34" s="192">
        <v>80</v>
      </c>
      <c r="Y34" s="13" t="s">
        <v>33</v>
      </c>
      <c r="Z34" s="159" t="s">
        <v>346</v>
      </c>
      <c r="AA34" s="192">
        <v>157</v>
      </c>
      <c r="AB34" s="192">
        <v>36</v>
      </c>
      <c r="AC34" s="192">
        <v>47</v>
      </c>
      <c r="AD34" s="192">
        <v>45</v>
      </c>
      <c r="AE34" s="192">
        <v>47</v>
      </c>
      <c r="AF34" s="192">
        <v>10</v>
      </c>
      <c r="AG34" s="192">
        <v>9711.1319999999996</v>
      </c>
      <c r="AH34" s="192">
        <v>863</v>
      </c>
      <c r="AI34" s="192">
        <v>0</v>
      </c>
      <c r="AJ34" s="192">
        <v>0</v>
      </c>
    </row>
    <row r="35" spans="1:36" ht="12.6" customHeight="1">
      <c r="A35" s="13"/>
      <c r="B35" s="159" t="s">
        <v>355</v>
      </c>
      <c r="C35" s="335">
        <v>64306.157999999996</v>
      </c>
      <c r="D35" s="192">
        <v>30</v>
      </c>
      <c r="E35" s="192">
        <v>3828</v>
      </c>
      <c r="F35" s="192">
        <v>457</v>
      </c>
      <c r="G35" s="192">
        <v>45425</v>
      </c>
      <c r="H35" s="192">
        <v>10</v>
      </c>
      <c r="I35" s="192">
        <v>0</v>
      </c>
      <c r="J35" s="192">
        <v>0</v>
      </c>
      <c r="K35" s="192">
        <v>44</v>
      </c>
      <c r="L35" s="192">
        <v>24</v>
      </c>
      <c r="M35" s="13"/>
      <c r="N35" s="159" t="s">
        <v>355</v>
      </c>
      <c r="O35" s="192">
        <v>20</v>
      </c>
      <c r="P35" s="192">
        <v>297</v>
      </c>
      <c r="Q35" s="192">
        <v>19</v>
      </c>
      <c r="R35" s="192">
        <v>0</v>
      </c>
      <c r="S35" s="192">
        <v>97</v>
      </c>
      <c r="T35" s="192">
        <v>1094</v>
      </c>
      <c r="U35" s="192">
        <v>375</v>
      </c>
      <c r="V35" s="192">
        <v>166</v>
      </c>
      <c r="W35" s="192">
        <v>260</v>
      </c>
      <c r="X35" s="192">
        <v>0</v>
      </c>
      <c r="Y35" s="13"/>
      <c r="Z35" s="159" t="s">
        <v>355</v>
      </c>
      <c r="AA35" s="192">
        <v>90</v>
      </c>
      <c r="AB35" s="192">
        <v>40</v>
      </c>
      <c r="AC35" s="192">
        <v>50</v>
      </c>
      <c r="AD35" s="192">
        <v>74</v>
      </c>
      <c r="AE35" s="192">
        <v>65</v>
      </c>
      <c r="AF35" s="192">
        <v>0</v>
      </c>
      <c r="AG35" s="192">
        <v>11121.157999999999</v>
      </c>
      <c r="AH35" s="192">
        <v>720</v>
      </c>
      <c r="AI35" s="192">
        <v>0</v>
      </c>
      <c r="AJ35" s="192">
        <v>0</v>
      </c>
    </row>
    <row r="36" spans="1:36" ht="12.6" customHeight="1">
      <c r="A36" s="13" t="s">
        <v>34</v>
      </c>
      <c r="B36" s="159" t="s">
        <v>346</v>
      </c>
      <c r="C36" s="335">
        <v>28666.309999999998</v>
      </c>
      <c r="D36" s="192">
        <v>33.299999999999997</v>
      </c>
      <c r="E36" s="192">
        <v>7766</v>
      </c>
      <c r="F36" s="192">
        <v>218.3</v>
      </c>
      <c r="G36" s="192">
        <v>0</v>
      </c>
      <c r="H36" s="192">
        <v>37.5</v>
      </c>
      <c r="I36" s="192">
        <v>6</v>
      </c>
      <c r="J36" s="192">
        <v>396</v>
      </c>
      <c r="K36" s="192">
        <v>2</v>
      </c>
      <c r="L36" s="192">
        <v>494.5</v>
      </c>
      <c r="M36" s="13" t="s">
        <v>34</v>
      </c>
      <c r="N36" s="159" t="s">
        <v>346</v>
      </c>
      <c r="O36" s="192">
        <v>203</v>
      </c>
      <c r="P36" s="192">
        <v>240.5</v>
      </c>
      <c r="Q36" s="192">
        <v>134</v>
      </c>
      <c r="R36" s="192">
        <v>253</v>
      </c>
      <c r="S36" s="192">
        <v>269</v>
      </c>
      <c r="T36" s="192">
        <v>591</v>
      </c>
      <c r="U36" s="192">
        <v>1801.25</v>
      </c>
      <c r="V36" s="192">
        <v>425</v>
      </c>
      <c r="W36" s="192">
        <v>3289</v>
      </c>
      <c r="X36" s="192">
        <v>55.400000000000006</v>
      </c>
      <c r="Y36" s="13" t="s">
        <v>34</v>
      </c>
      <c r="Z36" s="159" t="s">
        <v>346</v>
      </c>
      <c r="AA36" s="192">
        <v>134.85</v>
      </c>
      <c r="AB36" s="192">
        <v>1765</v>
      </c>
      <c r="AC36" s="192">
        <v>415</v>
      </c>
      <c r="AD36" s="192">
        <v>8</v>
      </c>
      <c r="AE36" s="192">
        <v>42.7</v>
      </c>
      <c r="AF36" s="192">
        <v>8</v>
      </c>
      <c r="AG36" s="192">
        <v>5163.51</v>
      </c>
      <c r="AH36" s="192">
        <v>4914.5</v>
      </c>
      <c r="AI36" s="192">
        <v>0</v>
      </c>
      <c r="AJ36" s="192">
        <v>0</v>
      </c>
    </row>
    <row r="37" spans="1:36" ht="12.6" customHeight="1">
      <c r="A37" s="13"/>
      <c r="B37" s="159" t="s">
        <v>355</v>
      </c>
      <c r="C37" s="335">
        <v>22522.07</v>
      </c>
      <c r="D37" s="192">
        <v>17</v>
      </c>
      <c r="E37" s="192">
        <v>7285.5</v>
      </c>
      <c r="F37" s="192">
        <v>122.5</v>
      </c>
      <c r="G37" s="192">
        <v>0</v>
      </c>
      <c r="H37" s="192">
        <v>49</v>
      </c>
      <c r="I37" s="192">
        <v>0</v>
      </c>
      <c r="J37" s="192">
        <v>372</v>
      </c>
      <c r="K37" s="192">
        <v>0</v>
      </c>
      <c r="L37" s="192">
        <v>597</v>
      </c>
      <c r="M37" s="13"/>
      <c r="N37" s="159" t="s">
        <v>355</v>
      </c>
      <c r="O37" s="192">
        <v>191.5</v>
      </c>
      <c r="P37" s="192">
        <v>271.7</v>
      </c>
      <c r="Q37" s="192">
        <v>177</v>
      </c>
      <c r="R37" s="192">
        <v>313.17</v>
      </c>
      <c r="S37" s="192">
        <v>259.5</v>
      </c>
      <c r="T37" s="192">
        <v>667</v>
      </c>
      <c r="U37" s="192">
        <v>2895</v>
      </c>
      <c r="V37" s="192">
        <v>395</v>
      </c>
      <c r="W37" s="192">
        <v>1783</v>
      </c>
      <c r="X37" s="192">
        <v>55</v>
      </c>
      <c r="Y37" s="13"/>
      <c r="Z37" s="159" t="s">
        <v>355</v>
      </c>
      <c r="AA37" s="192">
        <v>143.69999999999999</v>
      </c>
      <c r="AB37" s="192">
        <v>1021</v>
      </c>
      <c r="AC37" s="192">
        <v>259</v>
      </c>
      <c r="AD37" s="192">
        <v>8</v>
      </c>
      <c r="AE37" s="192">
        <v>57</v>
      </c>
      <c r="AF37" s="192">
        <v>9</v>
      </c>
      <c r="AG37" s="192">
        <v>0</v>
      </c>
      <c r="AH37" s="192">
        <v>5573.5</v>
      </c>
      <c r="AI37" s="192">
        <v>0</v>
      </c>
      <c r="AJ37" s="192">
        <v>0</v>
      </c>
    </row>
    <row r="38" spans="1:36" ht="12.6" customHeight="1">
      <c r="A38" s="13" t="s">
        <v>292</v>
      </c>
      <c r="B38" s="159" t="s">
        <v>346</v>
      </c>
      <c r="C38" s="335">
        <v>1059</v>
      </c>
      <c r="D38" s="192">
        <v>0</v>
      </c>
      <c r="E38" s="192">
        <v>2</v>
      </c>
      <c r="F38" s="192">
        <v>2</v>
      </c>
      <c r="G38" s="192">
        <v>0</v>
      </c>
      <c r="H38" s="192">
        <v>4</v>
      </c>
      <c r="I38" s="192">
        <v>1</v>
      </c>
      <c r="J38" s="192">
        <v>151</v>
      </c>
      <c r="K38" s="192">
        <v>0</v>
      </c>
      <c r="L38" s="192">
        <v>46</v>
      </c>
      <c r="M38" s="13" t="s">
        <v>292</v>
      </c>
      <c r="N38" s="159" t="s">
        <v>346</v>
      </c>
      <c r="O38" s="192">
        <v>10</v>
      </c>
      <c r="P38" s="192">
        <v>8</v>
      </c>
      <c r="Q38" s="192">
        <v>0</v>
      </c>
      <c r="R38" s="192">
        <v>0</v>
      </c>
      <c r="S38" s="192">
        <v>124</v>
      </c>
      <c r="T38" s="192">
        <v>3</v>
      </c>
      <c r="U38" s="192">
        <v>7</v>
      </c>
      <c r="V38" s="192">
        <v>17</v>
      </c>
      <c r="W38" s="192">
        <v>119</v>
      </c>
      <c r="X38" s="192">
        <v>0</v>
      </c>
      <c r="Y38" s="13" t="s">
        <v>292</v>
      </c>
      <c r="Z38" s="159" t="s">
        <v>346</v>
      </c>
      <c r="AA38" s="192">
        <v>0</v>
      </c>
      <c r="AB38" s="192">
        <v>0</v>
      </c>
      <c r="AC38" s="192">
        <v>0</v>
      </c>
      <c r="AD38" s="192">
        <v>0</v>
      </c>
      <c r="AE38" s="192">
        <v>0</v>
      </c>
      <c r="AF38" s="192">
        <v>0</v>
      </c>
      <c r="AG38" s="192">
        <v>0</v>
      </c>
      <c r="AH38" s="192">
        <v>565</v>
      </c>
      <c r="AI38" s="192">
        <v>0</v>
      </c>
      <c r="AJ38" s="192">
        <v>0</v>
      </c>
    </row>
    <row r="39" spans="1:36" ht="12.6" customHeight="1">
      <c r="A39" s="13"/>
      <c r="B39" s="159" t="s">
        <v>355</v>
      </c>
      <c r="C39" s="335">
        <v>1127</v>
      </c>
      <c r="D39" s="192">
        <v>2</v>
      </c>
      <c r="E39" s="192">
        <v>20</v>
      </c>
      <c r="F39" s="192">
        <v>2</v>
      </c>
      <c r="G39" s="192">
        <v>0</v>
      </c>
      <c r="H39" s="192">
        <v>5</v>
      </c>
      <c r="I39" s="192">
        <v>3</v>
      </c>
      <c r="J39" s="192">
        <v>146</v>
      </c>
      <c r="K39" s="192">
        <v>0</v>
      </c>
      <c r="L39" s="192">
        <v>46</v>
      </c>
      <c r="M39" s="13"/>
      <c r="N39" s="159" t="s">
        <v>355</v>
      </c>
      <c r="O39" s="192">
        <v>10</v>
      </c>
      <c r="P39" s="192">
        <v>17</v>
      </c>
      <c r="Q39" s="192">
        <v>4</v>
      </c>
      <c r="R39" s="192">
        <v>0</v>
      </c>
      <c r="S39" s="192">
        <v>129</v>
      </c>
      <c r="T39" s="192">
        <v>1</v>
      </c>
      <c r="U39" s="192">
        <v>2</v>
      </c>
      <c r="V39" s="192">
        <v>14</v>
      </c>
      <c r="W39" s="192">
        <v>121</v>
      </c>
      <c r="X39" s="192">
        <v>0</v>
      </c>
      <c r="Y39" s="13"/>
      <c r="Z39" s="159" t="s">
        <v>355</v>
      </c>
      <c r="AA39" s="192">
        <v>0</v>
      </c>
      <c r="AB39" s="192">
        <v>0</v>
      </c>
      <c r="AC39" s="192">
        <v>3</v>
      </c>
      <c r="AD39" s="192">
        <v>0</v>
      </c>
      <c r="AE39" s="192">
        <v>0</v>
      </c>
      <c r="AF39" s="192">
        <v>0</v>
      </c>
      <c r="AG39" s="192">
        <v>0</v>
      </c>
      <c r="AH39" s="192">
        <v>602</v>
      </c>
      <c r="AI39" s="192">
        <v>0</v>
      </c>
      <c r="AJ39" s="192">
        <v>0</v>
      </c>
    </row>
    <row r="40" spans="1:36" ht="12.6" customHeight="1">
      <c r="A40" s="13" t="s">
        <v>35</v>
      </c>
      <c r="B40" s="159" t="s">
        <v>346</v>
      </c>
      <c r="C40" s="335">
        <v>32827</v>
      </c>
      <c r="D40" s="192">
        <v>0</v>
      </c>
      <c r="E40" s="192">
        <v>6269</v>
      </c>
      <c r="F40" s="192">
        <v>0</v>
      </c>
      <c r="G40" s="192">
        <v>6415</v>
      </c>
      <c r="H40" s="192">
        <v>0</v>
      </c>
      <c r="I40" s="192">
        <v>0</v>
      </c>
      <c r="J40" s="192">
        <v>143</v>
      </c>
      <c r="K40" s="192">
        <v>0</v>
      </c>
      <c r="L40" s="192">
        <v>40</v>
      </c>
      <c r="M40" s="13" t="s">
        <v>35</v>
      </c>
      <c r="N40" s="159" t="s">
        <v>346</v>
      </c>
      <c r="O40" s="192">
        <v>37</v>
      </c>
      <c r="P40" s="192">
        <v>0</v>
      </c>
      <c r="Q40" s="192">
        <v>0</v>
      </c>
      <c r="R40" s="192">
        <v>0</v>
      </c>
      <c r="S40" s="192">
        <v>0</v>
      </c>
      <c r="T40" s="192">
        <v>1095</v>
      </c>
      <c r="U40" s="192">
        <v>0</v>
      </c>
      <c r="V40" s="192">
        <v>18828</v>
      </c>
      <c r="W40" s="192">
        <v>0</v>
      </c>
      <c r="X40" s="192">
        <v>0</v>
      </c>
      <c r="Y40" s="13" t="s">
        <v>35</v>
      </c>
      <c r="Z40" s="159" t="s">
        <v>346</v>
      </c>
      <c r="AA40" s="192">
        <v>0</v>
      </c>
      <c r="AB40" s="192">
        <v>0</v>
      </c>
      <c r="AC40" s="192">
        <v>0</v>
      </c>
      <c r="AD40" s="192">
        <v>0</v>
      </c>
      <c r="AE40" s="192">
        <v>0</v>
      </c>
      <c r="AF40" s="192">
        <v>0</v>
      </c>
      <c r="AG40" s="192">
        <v>0</v>
      </c>
      <c r="AH40" s="192">
        <v>0</v>
      </c>
      <c r="AI40" s="192">
        <v>0</v>
      </c>
      <c r="AJ40" s="192">
        <v>0</v>
      </c>
    </row>
    <row r="41" spans="1:36" ht="12.6" customHeight="1">
      <c r="A41" s="13"/>
      <c r="B41" s="159" t="s">
        <v>355</v>
      </c>
      <c r="C41" s="335">
        <v>33651</v>
      </c>
      <c r="D41" s="192">
        <v>0</v>
      </c>
      <c r="E41" s="192">
        <v>6224</v>
      </c>
      <c r="F41" s="192">
        <v>0</v>
      </c>
      <c r="G41" s="192">
        <v>6482</v>
      </c>
      <c r="H41" s="192">
        <v>0</v>
      </c>
      <c r="I41" s="192">
        <v>0</v>
      </c>
      <c r="J41" s="192">
        <v>141</v>
      </c>
      <c r="K41" s="192">
        <v>0</v>
      </c>
      <c r="L41" s="192">
        <v>38</v>
      </c>
      <c r="M41" s="13"/>
      <c r="N41" s="159" t="s">
        <v>355</v>
      </c>
      <c r="O41" s="192">
        <v>35</v>
      </c>
      <c r="P41" s="192">
        <v>0</v>
      </c>
      <c r="Q41" s="192">
        <v>0</v>
      </c>
      <c r="R41" s="192">
        <v>0</v>
      </c>
      <c r="S41" s="192">
        <v>0</v>
      </c>
      <c r="T41" s="192">
        <v>960</v>
      </c>
      <c r="U41" s="192">
        <v>0</v>
      </c>
      <c r="V41" s="192">
        <v>19771</v>
      </c>
      <c r="W41" s="192">
        <v>0</v>
      </c>
      <c r="X41" s="192">
        <v>0</v>
      </c>
      <c r="Y41" s="13"/>
      <c r="Z41" s="159" t="s">
        <v>355</v>
      </c>
      <c r="AA41" s="192">
        <v>0</v>
      </c>
      <c r="AB41" s="192">
        <v>0</v>
      </c>
      <c r="AC41" s="192">
        <v>0</v>
      </c>
      <c r="AD41" s="192">
        <v>0</v>
      </c>
      <c r="AE41" s="192">
        <v>0</v>
      </c>
      <c r="AF41" s="192">
        <v>0</v>
      </c>
      <c r="AG41" s="192">
        <v>0</v>
      </c>
      <c r="AH41" s="192">
        <v>0</v>
      </c>
      <c r="AI41" s="192">
        <v>0</v>
      </c>
      <c r="AJ41" s="192">
        <v>0</v>
      </c>
    </row>
    <row r="42" spans="1:36" ht="12.6" customHeight="1">
      <c r="A42" s="13" t="s">
        <v>54</v>
      </c>
      <c r="B42" s="159" t="s">
        <v>346</v>
      </c>
      <c r="C42" s="335">
        <v>8895.75</v>
      </c>
      <c r="D42" s="192">
        <v>0</v>
      </c>
      <c r="E42" s="192">
        <v>6402</v>
      </c>
      <c r="F42" s="192">
        <v>0</v>
      </c>
      <c r="G42" s="192">
        <v>1864</v>
      </c>
      <c r="H42" s="192">
        <v>0</v>
      </c>
      <c r="I42" s="192">
        <v>0</v>
      </c>
      <c r="J42" s="192">
        <v>0</v>
      </c>
      <c r="K42" s="192">
        <v>0</v>
      </c>
      <c r="L42" s="192">
        <v>0</v>
      </c>
      <c r="M42" s="13" t="s">
        <v>54</v>
      </c>
      <c r="N42" s="159" t="s">
        <v>346</v>
      </c>
      <c r="O42" s="192">
        <v>0</v>
      </c>
      <c r="P42" s="192">
        <v>0</v>
      </c>
      <c r="Q42" s="192">
        <v>0</v>
      </c>
      <c r="R42" s="192">
        <v>0</v>
      </c>
      <c r="S42" s="192">
        <v>0</v>
      </c>
      <c r="T42" s="192">
        <v>0</v>
      </c>
      <c r="U42" s="192">
        <v>0</v>
      </c>
      <c r="V42" s="192">
        <v>599.5</v>
      </c>
      <c r="W42" s="192">
        <v>28.25</v>
      </c>
      <c r="X42" s="192">
        <v>0</v>
      </c>
      <c r="Y42" s="13" t="s">
        <v>54</v>
      </c>
      <c r="Z42" s="159" t="s">
        <v>346</v>
      </c>
      <c r="AA42" s="192">
        <v>0</v>
      </c>
      <c r="AB42" s="192">
        <v>0</v>
      </c>
      <c r="AC42" s="192">
        <v>2</v>
      </c>
      <c r="AD42" s="192">
        <v>0</v>
      </c>
      <c r="AE42" s="192">
        <v>0</v>
      </c>
      <c r="AF42" s="192">
        <v>0</v>
      </c>
      <c r="AG42" s="192">
        <v>0</v>
      </c>
      <c r="AH42" s="192">
        <v>0</v>
      </c>
      <c r="AI42" s="192">
        <v>0</v>
      </c>
      <c r="AJ42" s="192">
        <v>0</v>
      </c>
    </row>
    <row r="43" spans="1:36" ht="12.6" customHeight="1">
      <c r="A43" s="13"/>
      <c r="B43" s="159" t="s">
        <v>355</v>
      </c>
      <c r="C43" s="335">
        <v>8933.25</v>
      </c>
      <c r="D43" s="192">
        <v>0</v>
      </c>
      <c r="E43" s="192">
        <v>6491</v>
      </c>
      <c r="F43" s="192">
        <v>0</v>
      </c>
      <c r="G43" s="192">
        <v>1644</v>
      </c>
      <c r="H43" s="192">
        <v>0</v>
      </c>
      <c r="I43" s="192">
        <v>0</v>
      </c>
      <c r="J43" s="192">
        <v>0</v>
      </c>
      <c r="K43" s="192">
        <v>0</v>
      </c>
      <c r="L43" s="192">
        <v>0</v>
      </c>
      <c r="M43" s="13"/>
      <c r="N43" s="159" t="s">
        <v>355</v>
      </c>
      <c r="O43" s="192">
        <v>0</v>
      </c>
      <c r="P43" s="192">
        <v>0</v>
      </c>
      <c r="Q43" s="192">
        <v>0</v>
      </c>
      <c r="R43" s="192">
        <v>0</v>
      </c>
      <c r="S43" s="192">
        <v>0</v>
      </c>
      <c r="T43" s="192">
        <v>0</v>
      </c>
      <c r="U43" s="192">
        <v>0</v>
      </c>
      <c r="V43" s="192">
        <v>752.5</v>
      </c>
      <c r="W43" s="192">
        <v>34.25</v>
      </c>
      <c r="X43" s="192">
        <v>0</v>
      </c>
      <c r="Y43" s="13"/>
      <c r="Z43" s="159" t="s">
        <v>355</v>
      </c>
      <c r="AA43" s="192">
        <v>0</v>
      </c>
      <c r="AB43" s="192">
        <v>0</v>
      </c>
      <c r="AC43" s="192">
        <v>11.5</v>
      </c>
      <c r="AD43" s="192">
        <v>0</v>
      </c>
      <c r="AE43" s="192">
        <v>0</v>
      </c>
      <c r="AF43" s="192">
        <v>0</v>
      </c>
      <c r="AG43" s="192">
        <v>0</v>
      </c>
      <c r="AH43" s="192">
        <v>0</v>
      </c>
      <c r="AI43" s="192">
        <v>0</v>
      </c>
      <c r="AJ43" s="192">
        <v>0</v>
      </c>
    </row>
    <row r="44" spans="1:36" ht="12.6" customHeight="1">
      <c r="A44" s="13" t="s">
        <v>64</v>
      </c>
      <c r="B44" s="159" t="s">
        <v>346</v>
      </c>
      <c r="C44" s="335">
        <v>1540</v>
      </c>
      <c r="D44" s="192">
        <v>24</v>
      </c>
      <c r="E44" s="192">
        <v>39</v>
      </c>
      <c r="F44" s="192">
        <v>549</v>
      </c>
      <c r="G44" s="192">
        <v>0</v>
      </c>
      <c r="H44" s="192">
        <v>68</v>
      </c>
      <c r="I44" s="192">
        <v>28</v>
      </c>
      <c r="J44" s="192">
        <v>1</v>
      </c>
      <c r="K44" s="192">
        <v>0</v>
      </c>
      <c r="L44" s="192">
        <v>4</v>
      </c>
      <c r="M44" s="13" t="s">
        <v>64</v>
      </c>
      <c r="N44" s="159" t="s">
        <v>346</v>
      </c>
      <c r="O44" s="192">
        <v>27</v>
      </c>
      <c r="P44" s="192">
        <v>6</v>
      </c>
      <c r="Q44" s="192">
        <v>8</v>
      </c>
      <c r="R44" s="192">
        <v>5</v>
      </c>
      <c r="S44" s="192">
        <v>43</v>
      </c>
      <c r="T44" s="192">
        <v>25</v>
      </c>
      <c r="U44" s="192">
        <v>522</v>
      </c>
      <c r="V44" s="192">
        <v>0</v>
      </c>
      <c r="W44" s="192">
        <v>1</v>
      </c>
      <c r="X44" s="192">
        <v>20</v>
      </c>
      <c r="Y44" s="13" t="s">
        <v>64</v>
      </c>
      <c r="Z44" s="159" t="s">
        <v>346</v>
      </c>
      <c r="AA44" s="192">
        <v>10</v>
      </c>
      <c r="AB44" s="192">
        <v>0</v>
      </c>
      <c r="AC44" s="192">
        <v>5</v>
      </c>
      <c r="AD44" s="192">
        <v>0</v>
      </c>
      <c r="AE44" s="192">
        <v>96</v>
      </c>
      <c r="AF44" s="192">
        <v>0</v>
      </c>
      <c r="AG44" s="192">
        <v>0</v>
      </c>
      <c r="AH44" s="192">
        <v>45</v>
      </c>
      <c r="AI44" s="192">
        <v>0</v>
      </c>
      <c r="AJ44" s="192">
        <v>14</v>
      </c>
    </row>
    <row r="45" spans="1:36" ht="12.6" customHeight="1">
      <c r="A45" s="13"/>
      <c r="B45" s="159" t="s">
        <v>355</v>
      </c>
      <c r="C45" s="335">
        <v>1747</v>
      </c>
      <c r="D45" s="192">
        <v>53</v>
      </c>
      <c r="E45" s="192">
        <v>52</v>
      </c>
      <c r="F45" s="192">
        <v>551</v>
      </c>
      <c r="G45" s="192">
        <v>0</v>
      </c>
      <c r="H45" s="192">
        <v>89</v>
      </c>
      <c r="I45" s="192">
        <v>28</v>
      </c>
      <c r="J45" s="192">
        <v>0</v>
      </c>
      <c r="K45" s="192">
        <v>0</v>
      </c>
      <c r="L45" s="192">
        <v>4</v>
      </c>
      <c r="M45" s="13"/>
      <c r="N45" s="159" t="s">
        <v>355</v>
      </c>
      <c r="O45" s="192">
        <v>35</v>
      </c>
      <c r="P45" s="192">
        <v>23</v>
      </c>
      <c r="Q45" s="192">
        <v>8</v>
      </c>
      <c r="R45" s="192">
        <v>15</v>
      </c>
      <c r="S45" s="192">
        <v>76</v>
      </c>
      <c r="T45" s="192">
        <v>25</v>
      </c>
      <c r="U45" s="192">
        <v>572</v>
      </c>
      <c r="V45" s="192">
        <v>0</v>
      </c>
      <c r="W45" s="192">
        <v>2</v>
      </c>
      <c r="X45" s="192">
        <v>18</v>
      </c>
      <c r="Y45" s="13"/>
      <c r="Z45" s="159" t="s">
        <v>355</v>
      </c>
      <c r="AA45" s="192">
        <v>10</v>
      </c>
      <c r="AB45" s="192">
        <v>0</v>
      </c>
      <c r="AC45" s="192">
        <v>5</v>
      </c>
      <c r="AD45" s="192">
        <v>0</v>
      </c>
      <c r="AE45" s="192">
        <v>90</v>
      </c>
      <c r="AF45" s="192">
        <v>0</v>
      </c>
      <c r="AG45" s="192">
        <v>0</v>
      </c>
      <c r="AH45" s="192">
        <v>67</v>
      </c>
      <c r="AI45" s="192">
        <v>0</v>
      </c>
      <c r="AJ45" s="192">
        <v>24</v>
      </c>
    </row>
    <row r="46" spans="1:36" ht="12.6" customHeight="1">
      <c r="A46" s="13" t="s">
        <v>36</v>
      </c>
      <c r="B46" s="159" t="s">
        <v>346</v>
      </c>
      <c r="C46" s="335">
        <v>18140.5</v>
      </c>
      <c r="D46" s="192">
        <v>0</v>
      </c>
      <c r="E46" s="192">
        <v>2143</v>
      </c>
      <c r="F46" s="192">
        <v>927</v>
      </c>
      <c r="G46" s="192">
        <v>776</v>
      </c>
      <c r="H46" s="192">
        <v>10</v>
      </c>
      <c r="I46" s="192">
        <v>0</v>
      </c>
      <c r="J46" s="192">
        <v>126</v>
      </c>
      <c r="K46" s="192">
        <v>0</v>
      </c>
      <c r="L46" s="192">
        <v>0</v>
      </c>
      <c r="M46" s="13" t="s">
        <v>36</v>
      </c>
      <c r="N46" s="159" t="s">
        <v>346</v>
      </c>
      <c r="O46" s="192">
        <v>347</v>
      </c>
      <c r="P46" s="192">
        <v>588</v>
      </c>
      <c r="Q46" s="192">
        <v>38</v>
      </c>
      <c r="R46" s="192">
        <v>8</v>
      </c>
      <c r="S46" s="192">
        <v>0</v>
      </c>
      <c r="T46" s="192">
        <v>752</v>
      </c>
      <c r="U46" s="192">
        <v>8239.5</v>
      </c>
      <c r="V46" s="192">
        <v>2214</v>
      </c>
      <c r="W46" s="192">
        <v>0</v>
      </c>
      <c r="X46" s="192">
        <v>530</v>
      </c>
      <c r="Y46" s="13" t="s">
        <v>36</v>
      </c>
      <c r="Z46" s="159" t="s">
        <v>346</v>
      </c>
      <c r="AA46" s="192">
        <v>675</v>
      </c>
      <c r="AB46" s="192">
        <v>0</v>
      </c>
      <c r="AC46" s="192">
        <v>249</v>
      </c>
      <c r="AD46" s="192">
        <v>0</v>
      </c>
      <c r="AE46" s="192">
        <v>386</v>
      </c>
      <c r="AF46" s="192">
        <v>83</v>
      </c>
      <c r="AG46" s="192">
        <v>0</v>
      </c>
      <c r="AH46" s="192">
        <v>0</v>
      </c>
      <c r="AI46" s="192">
        <v>0</v>
      </c>
      <c r="AJ46" s="192">
        <v>49</v>
      </c>
    </row>
    <row r="47" spans="1:36" ht="12.6" customHeight="1">
      <c r="A47" s="13"/>
      <c r="B47" s="159" t="s">
        <v>355</v>
      </c>
      <c r="C47" s="335">
        <v>18291.228999999999</v>
      </c>
      <c r="D47" s="192">
        <v>0</v>
      </c>
      <c r="E47" s="192">
        <v>2624</v>
      </c>
      <c r="F47" s="192">
        <v>486</v>
      </c>
      <c r="G47" s="192">
        <v>825</v>
      </c>
      <c r="H47" s="192">
        <v>15</v>
      </c>
      <c r="I47" s="192">
        <v>0</v>
      </c>
      <c r="J47" s="192">
        <v>151</v>
      </c>
      <c r="K47" s="192">
        <v>0</v>
      </c>
      <c r="L47" s="192">
        <v>0</v>
      </c>
      <c r="M47" s="13"/>
      <c r="N47" s="159" t="s">
        <v>355</v>
      </c>
      <c r="O47" s="192">
        <v>333.5</v>
      </c>
      <c r="P47" s="192">
        <v>703</v>
      </c>
      <c r="Q47" s="192">
        <v>43</v>
      </c>
      <c r="R47" s="192">
        <v>8</v>
      </c>
      <c r="S47" s="192">
        <v>0</v>
      </c>
      <c r="T47" s="192">
        <v>868.32999999999993</v>
      </c>
      <c r="U47" s="192">
        <v>8435.8989999999994</v>
      </c>
      <c r="V47" s="192">
        <v>1924.5</v>
      </c>
      <c r="W47" s="192">
        <v>0</v>
      </c>
      <c r="X47" s="192">
        <v>559</v>
      </c>
      <c r="Y47" s="13"/>
      <c r="Z47" s="159" t="s">
        <v>355</v>
      </c>
      <c r="AA47" s="192">
        <v>635</v>
      </c>
      <c r="AB47" s="192">
        <v>0</v>
      </c>
      <c r="AC47" s="192">
        <v>266</v>
      </c>
      <c r="AD47" s="192">
        <v>0</v>
      </c>
      <c r="AE47" s="192">
        <v>329</v>
      </c>
      <c r="AF47" s="192">
        <v>85</v>
      </c>
      <c r="AG47" s="192">
        <v>0</v>
      </c>
      <c r="AH47" s="192">
        <v>0</v>
      </c>
      <c r="AI47" s="192">
        <v>0</v>
      </c>
      <c r="AJ47" s="192">
        <v>0</v>
      </c>
    </row>
    <row r="48" spans="1:36" ht="12.6" customHeight="1">
      <c r="A48" s="13" t="s">
        <v>37</v>
      </c>
      <c r="B48" s="159" t="s">
        <v>346</v>
      </c>
      <c r="C48" s="335">
        <v>47454.521821882918</v>
      </c>
      <c r="D48" s="192">
        <v>2137</v>
      </c>
      <c r="E48" s="192">
        <v>3866</v>
      </c>
      <c r="F48" s="192">
        <v>3315</v>
      </c>
      <c r="G48" s="192">
        <v>31051</v>
      </c>
      <c r="H48" s="192">
        <v>38</v>
      </c>
      <c r="I48" s="192">
        <v>0</v>
      </c>
      <c r="J48" s="192">
        <v>0</v>
      </c>
      <c r="K48" s="192">
        <v>76</v>
      </c>
      <c r="L48" s="192">
        <v>20</v>
      </c>
      <c r="M48" s="13" t="s">
        <v>37</v>
      </c>
      <c r="N48" s="159" t="s">
        <v>346</v>
      </c>
      <c r="O48" s="192">
        <v>0</v>
      </c>
      <c r="P48" s="192">
        <v>186</v>
      </c>
      <c r="Q48" s="192">
        <v>85</v>
      </c>
      <c r="R48" s="192">
        <v>4</v>
      </c>
      <c r="S48" s="192">
        <v>59</v>
      </c>
      <c r="T48" s="192">
        <v>100</v>
      </c>
      <c r="U48" s="192">
        <v>965</v>
      </c>
      <c r="V48" s="192">
        <v>444</v>
      </c>
      <c r="W48" s="192">
        <v>502</v>
      </c>
      <c r="X48" s="192">
        <v>462</v>
      </c>
      <c r="Y48" s="13" t="s">
        <v>37</v>
      </c>
      <c r="Z48" s="159" t="s">
        <v>346</v>
      </c>
      <c r="AA48" s="192">
        <v>344</v>
      </c>
      <c r="AB48" s="192">
        <v>383</v>
      </c>
      <c r="AC48" s="192">
        <v>1237</v>
      </c>
      <c r="AD48" s="192">
        <v>0</v>
      </c>
      <c r="AE48" s="192">
        <v>213</v>
      </c>
      <c r="AF48" s="192">
        <v>148</v>
      </c>
      <c r="AG48" s="192">
        <v>1819.521821882917</v>
      </c>
      <c r="AH48" s="192">
        <v>0</v>
      </c>
      <c r="AI48" s="192">
        <v>0</v>
      </c>
      <c r="AJ48" s="192">
        <v>0</v>
      </c>
    </row>
    <row r="49" spans="1:36" ht="12.6" customHeight="1">
      <c r="A49" s="13"/>
      <c r="B49" s="159" t="s">
        <v>355</v>
      </c>
      <c r="C49" s="335">
        <v>40704.358383412466</v>
      </c>
      <c r="D49" s="192">
        <v>590</v>
      </c>
      <c r="E49" s="192">
        <v>4407</v>
      </c>
      <c r="F49" s="192">
        <v>1889</v>
      </c>
      <c r="G49" s="192">
        <v>28099</v>
      </c>
      <c r="H49" s="192">
        <v>13</v>
      </c>
      <c r="I49" s="192">
        <v>0</v>
      </c>
      <c r="J49" s="192">
        <v>0</v>
      </c>
      <c r="K49" s="192">
        <v>74</v>
      </c>
      <c r="L49" s="192">
        <v>35</v>
      </c>
      <c r="M49" s="13"/>
      <c r="N49" s="159" t="s">
        <v>355</v>
      </c>
      <c r="O49" s="192">
        <v>59</v>
      </c>
      <c r="P49" s="192">
        <v>411</v>
      </c>
      <c r="Q49" s="192">
        <v>76</v>
      </c>
      <c r="R49" s="192">
        <v>0</v>
      </c>
      <c r="S49" s="192">
        <v>86</v>
      </c>
      <c r="T49" s="192">
        <v>75</v>
      </c>
      <c r="U49" s="192">
        <v>906</v>
      </c>
      <c r="V49" s="192">
        <v>309</v>
      </c>
      <c r="W49" s="192">
        <v>321</v>
      </c>
      <c r="X49" s="192">
        <v>221</v>
      </c>
      <c r="Y49" s="13"/>
      <c r="Z49" s="159" t="s">
        <v>355</v>
      </c>
      <c r="AA49" s="192">
        <v>181</v>
      </c>
      <c r="AB49" s="192">
        <v>10</v>
      </c>
      <c r="AC49" s="192">
        <v>1054</v>
      </c>
      <c r="AD49" s="192">
        <v>0</v>
      </c>
      <c r="AE49" s="192">
        <v>319</v>
      </c>
      <c r="AF49" s="192">
        <v>252</v>
      </c>
      <c r="AG49" s="192">
        <v>1317.3583834124629</v>
      </c>
      <c r="AH49" s="192">
        <v>0</v>
      </c>
      <c r="AI49" s="192">
        <v>0</v>
      </c>
      <c r="AJ49" s="192">
        <v>0</v>
      </c>
    </row>
    <row r="50" spans="1:36" ht="12.6" customHeight="1">
      <c r="A50" s="13" t="s">
        <v>38</v>
      </c>
      <c r="B50" s="159" t="s">
        <v>346</v>
      </c>
      <c r="C50" s="335">
        <v>242421</v>
      </c>
      <c r="D50" s="192">
        <v>1363</v>
      </c>
      <c r="E50" s="192">
        <v>2659</v>
      </c>
      <c r="F50" s="192">
        <v>4056</v>
      </c>
      <c r="G50" s="192">
        <v>84</v>
      </c>
      <c r="H50" s="192">
        <v>24720</v>
      </c>
      <c r="I50" s="192">
        <v>35951</v>
      </c>
      <c r="J50" s="192">
        <v>0</v>
      </c>
      <c r="K50" s="192">
        <v>0</v>
      </c>
      <c r="L50" s="192">
        <v>0</v>
      </c>
      <c r="M50" s="13" t="s">
        <v>38</v>
      </c>
      <c r="N50" s="159" t="s">
        <v>346</v>
      </c>
      <c r="O50" s="192">
        <v>112</v>
      </c>
      <c r="P50" s="192">
        <v>0</v>
      </c>
      <c r="Q50" s="192">
        <v>20</v>
      </c>
      <c r="R50" s="192">
        <v>0</v>
      </c>
      <c r="S50" s="192">
        <v>395</v>
      </c>
      <c r="T50" s="192">
        <v>0</v>
      </c>
      <c r="U50" s="192">
        <v>59891</v>
      </c>
      <c r="V50" s="192">
        <v>2259</v>
      </c>
      <c r="W50" s="192">
        <v>244</v>
      </c>
      <c r="X50" s="192">
        <v>3571</v>
      </c>
      <c r="Y50" s="13" t="s">
        <v>38</v>
      </c>
      <c r="Z50" s="159" t="s">
        <v>346</v>
      </c>
      <c r="AA50" s="192">
        <v>2807</v>
      </c>
      <c r="AB50" s="192">
        <v>0</v>
      </c>
      <c r="AC50" s="192">
        <v>571</v>
      </c>
      <c r="AD50" s="192">
        <v>0</v>
      </c>
      <c r="AE50" s="192">
        <v>10051</v>
      </c>
      <c r="AF50" s="192">
        <v>1075</v>
      </c>
      <c r="AG50" s="192">
        <v>0</v>
      </c>
      <c r="AH50" s="192">
        <v>0</v>
      </c>
      <c r="AI50" s="192">
        <v>16506</v>
      </c>
      <c r="AJ50" s="192">
        <v>76086</v>
      </c>
    </row>
    <row r="51" spans="1:36" ht="12.6" customHeight="1">
      <c r="A51" s="13"/>
      <c r="B51" s="159" t="s">
        <v>355</v>
      </c>
      <c r="C51" s="335">
        <v>241512</v>
      </c>
      <c r="D51" s="192">
        <v>1353</v>
      </c>
      <c r="E51" s="192">
        <v>2555</v>
      </c>
      <c r="F51" s="192">
        <v>3892</v>
      </c>
      <c r="G51" s="192">
        <v>80</v>
      </c>
      <c r="H51" s="192">
        <v>23949</v>
      </c>
      <c r="I51" s="192">
        <v>36863</v>
      </c>
      <c r="J51" s="192">
        <v>0</v>
      </c>
      <c r="K51" s="192">
        <v>0</v>
      </c>
      <c r="L51" s="192">
        <v>0</v>
      </c>
      <c r="M51" s="13"/>
      <c r="N51" s="159" t="s">
        <v>355</v>
      </c>
      <c r="O51" s="192">
        <v>108</v>
      </c>
      <c r="P51" s="192">
        <v>0</v>
      </c>
      <c r="Q51" s="192">
        <v>19</v>
      </c>
      <c r="R51" s="192">
        <v>0</v>
      </c>
      <c r="S51" s="192">
        <v>379</v>
      </c>
      <c r="T51" s="192">
        <v>22</v>
      </c>
      <c r="U51" s="192">
        <v>60603</v>
      </c>
      <c r="V51" s="192">
        <v>2157</v>
      </c>
      <c r="W51" s="192">
        <v>238</v>
      </c>
      <c r="X51" s="192">
        <v>3505</v>
      </c>
      <c r="Y51" s="13"/>
      <c r="Z51" s="159" t="s">
        <v>355</v>
      </c>
      <c r="AA51" s="192">
        <v>2832</v>
      </c>
      <c r="AB51" s="192">
        <v>0</v>
      </c>
      <c r="AC51" s="192">
        <v>550</v>
      </c>
      <c r="AD51" s="192">
        <v>0</v>
      </c>
      <c r="AE51" s="192">
        <v>9945</v>
      </c>
      <c r="AF51" s="192">
        <v>1058</v>
      </c>
      <c r="AG51" s="192">
        <v>0</v>
      </c>
      <c r="AH51" s="192">
        <v>0</v>
      </c>
      <c r="AI51" s="192">
        <v>14421</v>
      </c>
      <c r="AJ51" s="192">
        <v>76983</v>
      </c>
    </row>
    <row r="52" spans="1:36" ht="12.6" customHeight="1">
      <c r="A52" s="13" t="s">
        <v>67</v>
      </c>
      <c r="B52" s="159" t="s">
        <v>346</v>
      </c>
      <c r="C52" s="335">
        <v>93586.150000000009</v>
      </c>
      <c r="D52" s="192">
        <v>0</v>
      </c>
      <c r="E52" s="192">
        <v>29356</v>
      </c>
      <c r="F52" s="192">
        <v>0</v>
      </c>
      <c r="G52" s="192">
        <v>60366</v>
      </c>
      <c r="H52" s="192">
        <v>0</v>
      </c>
      <c r="I52" s="192">
        <v>0</v>
      </c>
      <c r="J52" s="192">
        <v>0</v>
      </c>
      <c r="K52" s="192">
        <v>0</v>
      </c>
      <c r="L52" s="192">
        <v>102.6</v>
      </c>
      <c r="M52" s="13" t="s">
        <v>67</v>
      </c>
      <c r="N52" s="159" t="s">
        <v>346</v>
      </c>
      <c r="O52" s="192">
        <v>0</v>
      </c>
      <c r="P52" s="192">
        <v>0</v>
      </c>
      <c r="Q52" s="192">
        <v>0</v>
      </c>
      <c r="R52" s="192">
        <v>0</v>
      </c>
      <c r="S52" s="192">
        <v>0</v>
      </c>
      <c r="T52" s="192">
        <v>0</v>
      </c>
      <c r="U52" s="192">
        <v>0</v>
      </c>
      <c r="V52" s="192">
        <v>3268.3</v>
      </c>
      <c r="W52" s="192">
        <v>0</v>
      </c>
      <c r="X52" s="192">
        <v>0</v>
      </c>
      <c r="Y52" s="13" t="s">
        <v>67</v>
      </c>
      <c r="Z52" s="159" t="s">
        <v>346</v>
      </c>
      <c r="AA52" s="192">
        <v>0</v>
      </c>
      <c r="AB52" s="192">
        <v>0</v>
      </c>
      <c r="AC52" s="192">
        <v>493.25</v>
      </c>
      <c r="AD52" s="192">
        <v>0</v>
      </c>
      <c r="AE52" s="192">
        <v>0</v>
      </c>
      <c r="AF52" s="192">
        <v>0</v>
      </c>
      <c r="AG52" s="192">
        <v>0</v>
      </c>
      <c r="AH52" s="192">
        <v>0</v>
      </c>
      <c r="AI52" s="192">
        <v>0</v>
      </c>
      <c r="AJ52" s="192">
        <v>0</v>
      </c>
    </row>
    <row r="53" spans="1:36" ht="12.6" customHeight="1">
      <c r="A53" s="13"/>
      <c r="B53" s="159" t="s">
        <v>355</v>
      </c>
      <c r="C53" s="335">
        <v>89345.9</v>
      </c>
      <c r="D53" s="192">
        <v>0</v>
      </c>
      <c r="E53" s="192">
        <v>29362</v>
      </c>
      <c r="F53" s="192">
        <v>0</v>
      </c>
      <c r="G53" s="192">
        <v>55074</v>
      </c>
      <c r="H53" s="192">
        <v>0</v>
      </c>
      <c r="I53" s="192">
        <v>0</v>
      </c>
      <c r="J53" s="192">
        <v>8</v>
      </c>
      <c r="K53" s="192">
        <v>0</v>
      </c>
      <c r="L53" s="192">
        <v>99.4</v>
      </c>
      <c r="M53" s="13"/>
      <c r="N53" s="159" t="s">
        <v>355</v>
      </c>
      <c r="O53" s="192">
        <v>0</v>
      </c>
      <c r="P53" s="192">
        <v>0</v>
      </c>
      <c r="Q53" s="192">
        <v>0</v>
      </c>
      <c r="R53" s="192">
        <v>0</v>
      </c>
      <c r="S53" s="192">
        <v>0</v>
      </c>
      <c r="T53" s="192">
        <v>0</v>
      </c>
      <c r="U53" s="192">
        <v>0</v>
      </c>
      <c r="V53" s="192">
        <v>4169</v>
      </c>
      <c r="W53" s="192">
        <v>0</v>
      </c>
      <c r="X53" s="192">
        <v>0</v>
      </c>
      <c r="Y53" s="13"/>
      <c r="Z53" s="159" t="s">
        <v>355</v>
      </c>
      <c r="AA53" s="192">
        <v>0</v>
      </c>
      <c r="AB53" s="192">
        <v>0</v>
      </c>
      <c r="AC53" s="192">
        <v>633.5</v>
      </c>
      <c r="AD53" s="192">
        <v>0</v>
      </c>
      <c r="AE53" s="192">
        <v>0</v>
      </c>
      <c r="AF53" s="192">
        <v>0</v>
      </c>
      <c r="AG53" s="192">
        <v>0</v>
      </c>
      <c r="AH53" s="192">
        <v>0</v>
      </c>
      <c r="AI53" s="192">
        <v>0</v>
      </c>
      <c r="AJ53" s="192">
        <v>0</v>
      </c>
    </row>
    <row r="54" spans="1:36" ht="12.6" customHeight="1">
      <c r="A54" s="13" t="s">
        <v>65</v>
      </c>
      <c r="B54" s="159" t="s">
        <v>346</v>
      </c>
      <c r="C54" s="335">
        <v>3901</v>
      </c>
      <c r="D54" s="192">
        <v>0</v>
      </c>
      <c r="E54" s="192">
        <v>0</v>
      </c>
      <c r="F54" s="192">
        <v>547</v>
      </c>
      <c r="G54" s="192">
        <v>0</v>
      </c>
      <c r="H54" s="192">
        <v>0</v>
      </c>
      <c r="I54" s="192">
        <v>261</v>
      </c>
      <c r="J54" s="192">
        <v>713</v>
      </c>
      <c r="K54" s="192">
        <v>0</v>
      </c>
      <c r="L54" s="192">
        <v>109</v>
      </c>
      <c r="M54" s="13" t="s">
        <v>65</v>
      </c>
      <c r="N54" s="159" t="s">
        <v>346</v>
      </c>
      <c r="O54" s="192">
        <v>154</v>
      </c>
      <c r="P54" s="192">
        <v>8</v>
      </c>
      <c r="Q54" s="192">
        <v>0</v>
      </c>
      <c r="R54" s="192">
        <v>4</v>
      </c>
      <c r="S54" s="192">
        <v>243</v>
      </c>
      <c r="T54" s="192">
        <v>99</v>
      </c>
      <c r="U54" s="192">
        <v>274</v>
      </c>
      <c r="V54" s="192">
        <v>0</v>
      </c>
      <c r="W54" s="192">
        <v>122</v>
      </c>
      <c r="X54" s="192">
        <v>0</v>
      </c>
      <c r="Y54" s="13" t="s">
        <v>65</v>
      </c>
      <c r="Z54" s="159" t="s">
        <v>346</v>
      </c>
      <c r="AA54" s="192">
        <v>0</v>
      </c>
      <c r="AB54" s="192">
        <v>13</v>
      </c>
      <c r="AC54" s="192">
        <v>0</v>
      </c>
      <c r="AD54" s="192">
        <v>0</v>
      </c>
      <c r="AE54" s="192">
        <v>0</v>
      </c>
      <c r="AF54" s="192">
        <v>0</v>
      </c>
      <c r="AG54" s="192">
        <v>0</v>
      </c>
      <c r="AH54" s="192">
        <v>1354</v>
      </c>
      <c r="AI54" s="192">
        <v>0</v>
      </c>
      <c r="AJ54" s="192">
        <v>0</v>
      </c>
    </row>
    <row r="55" spans="1:36" ht="12.6" customHeight="1">
      <c r="A55" s="13"/>
      <c r="B55" s="159" t="s">
        <v>355</v>
      </c>
      <c r="C55" s="335">
        <v>4074</v>
      </c>
      <c r="D55" s="192">
        <v>0</v>
      </c>
      <c r="E55" s="192">
        <v>0</v>
      </c>
      <c r="F55" s="192">
        <v>633</v>
      </c>
      <c r="G55" s="192">
        <v>0</v>
      </c>
      <c r="H55" s="192">
        <v>0</v>
      </c>
      <c r="I55" s="192">
        <v>221</v>
      </c>
      <c r="J55" s="192">
        <v>977</v>
      </c>
      <c r="K55" s="192">
        <v>0</v>
      </c>
      <c r="L55" s="192">
        <v>136</v>
      </c>
      <c r="M55" s="13"/>
      <c r="N55" s="159" t="s">
        <v>355</v>
      </c>
      <c r="O55" s="192">
        <v>141</v>
      </c>
      <c r="P55" s="192">
        <v>14</v>
      </c>
      <c r="Q55" s="192">
        <v>0</v>
      </c>
      <c r="R55" s="192">
        <v>1</v>
      </c>
      <c r="S55" s="192">
        <v>212</v>
      </c>
      <c r="T55" s="192">
        <v>97</v>
      </c>
      <c r="U55" s="192">
        <v>358</v>
      </c>
      <c r="V55" s="192">
        <v>0</v>
      </c>
      <c r="W55" s="192">
        <v>141</v>
      </c>
      <c r="X55" s="192">
        <v>0</v>
      </c>
      <c r="Y55" s="13"/>
      <c r="Z55" s="159" t="s">
        <v>355</v>
      </c>
      <c r="AA55" s="192">
        <v>0</v>
      </c>
      <c r="AB55" s="192">
        <v>19</v>
      </c>
      <c r="AC55" s="192">
        <v>0</v>
      </c>
      <c r="AD55" s="192">
        <v>0</v>
      </c>
      <c r="AE55" s="192">
        <v>0</v>
      </c>
      <c r="AF55" s="192">
        <v>0</v>
      </c>
      <c r="AG55" s="192">
        <v>0</v>
      </c>
      <c r="AH55" s="192">
        <v>1124</v>
      </c>
      <c r="AI55" s="192">
        <v>0</v>
      </c>
      <c r="AJ55" s="192">
        <v>0</v>
      </c>
    </row>
    <row r="56" spans="1:36" ht="12.6" customHeight="1">
      <c r="A56" s="18" t="s">
        <v>66</v>
      </c>
      <c r="B56" s="159" t="s">
        <v>346</v>
      </c>
      <c r="C56" s="335">
        <v>5979.65</v>
      </c>
      <c r="D56" s="193">
        <v>0</v>
      </c>
      <c r="E56" s="193">
        <v>162.65</v>
      </c>
      <c r="F56" s="193">
        <v>0</v>
      </c>
      <c r="G56" s="193">
        <v>5554.3</v>
      </c>
      <c r="H56" s="193">
        <v>0</v>
      </c>
      <c r="I56" s="193">
        <v>0</v>
      </c>
      <c r="J56" s="193">
        <v>0.95000000000000007</v>
      </c>
      <c r="K56" s="193">
        <v>0</v>
      </c>
      <c r="L56" s="193">
        <v>0.2</v>
      </c>
      <c r="M56" s="18" t="s">
        <v>66</v>
      </c>
      <c r="N56" s="159" t="s">
        <v>346</v>
      </c>
      <c r="O56" s="193">
        <v>5.5</v>
      </c>
      <c r="P56" s="193">
        <v>0</v>
      </c>
      <c r="Q56" s="193">
        <v>0</v>
      </c>
      <c r="R56" s="193">
        <v>0</v>
      </c>
      <c r="S56" s="193">
        <v>0</v>
      </c>
      <c r="T56" s="193">
        <v>188.9</v>
      </c>
      <c r="U56" s="193">
        <v>0</v>
      </c>
      <c r="V56" s="193">
        <v>66.050000000000011</v>
      </c>
      <c r="W56" s="193">
        <v>1.1000000000000001</v>
      </c>
      <c r="X56" s="193">
        <v>0</v>
      </c>
      <c r="Y56" s="18" t="s">
        <v>66</v>
      </c>
      <c r="Z56" s="159" t="s">
        <v>346</v>
      </c>
      <c r="AA56" s="193">
        <v>0</v>
      </c>
      <c r="AB56" s="193">
        <v>0</v>
      </c>
      <c r="AC56" s="193">
        <v>0</v>
      </c>
      <c r="AD56" s="193">
        <v>0</v>
      </c>
      <c r="AE56" s="193">
        <v>0</v>
      </c>
      <c r="AF56" s="193">
        <v>0</v>
      </c>
      <c r="AG56" s="193">
        <v>0</v>
      </c>
      <c r="AH56" s="193">
        <v>0</v>
      </c>
      <c r="AI56" s="193">
        <v>0</v>
      </c>
      <c r="AJ56" s="193">
        <v>0</v>
      </c>
    </row>
    <row r="57" spans="1:36" ht="12.6" customHeight="1">
      <c r="A57" s="18"/>
      <c r="B57" s="159" t="s">
        <v>355</v>
      </c>
      <c r="C57" s="335">
        <v>8214.0700000000015</v>
      </c>
      <c r="D57" s="193">
        <v>0</v>
      </c>
      <c r="E57" s="193">
        <v>602.75</v>
      </c>
      <c r="F57" s="193">
        <v>0</v>
      </c>
      <c r="G57" s="193">
        <v>7348.25</v>
      </c>
      <c r="H57" s="193">
        <v>0</v>
      </c>
      <c r="I57" s="193">
        <v>0</v>
      </c>
      <c r="J57" s="193">
        <v>0</v>
      </c>
      <c r="K57" s="193">
        <v>0</v>
      </c>
      <c r="L57" s="193">
        <v>0.6</v>
      </c>
      <c r="M57" s="18"/>
      <c r="N57" s="159" t="s">
        <v>355</v>
      </c>
      <c r="O57" s="193">
        <v>10.1</v>
      </c>
      <c r="P57" s="193">
        <v>0</v>
      </c>
      <c r="Q57" s="193">
        <v>0</v>
      </c>
      <c r="R57" s="193">
        <v>0</v>
      </c>
      <c r="S57" s="193">
        <v>0</v>
      </c>
      <c r="T57" s="193">
        <v>133.6</v>
      </c>
      <c r="U57" s="193">
        <v>0</v>
      </c>
      <c r="V57" s="193">
        <v>117.85</v>
      </c>
      <c r="W57" s="193">
        <v>0.42000000000000004</v>
      </c>
      <c r="X57" s="193">
        <v>0</v>
      </c>
      <c r="Y57" s="18"/>
      <c r="Z57" s="159" t="s">
        <v>355</v>
      </c>
      <c r="AA57" s="193">
        <v>0</v>
      </c>
      <c r="AB57" s="193">
        <v>0</v>
      </c>
      <c r="AC57" s="193">
        <v>0.5</v>
      </c>
      <c r="AD57" s="193">
        <v>0</v>
      </c>
      <c r="AE57" s="193">
        <v>0</v>
      </c>
      <c r="AF57" s="193">
        <v>0</v>
      </c>
      <c r="AG57" s="193">
        <v>0</v>
      </c>
      <c r="AH57" s="193">
        <v>0</v>
      </c>
      <c r="AI57" s="193">
        <v>0</v>
      </c>
      <c r="AJ57" s="193">
        <v>0</v>
      </c>
    </row>
    <row r="58" spans="1:36" ht="12.6" customHeight="1">
      <c r="A58" s="18" t="s">
        <v>68</v>
      </c>
      <c r="B58" s="159" t="s">
        <v>346</v>
      </c>
      <c r="C58" s="335">
        <v>17806.5</v>
      </c>
      <c r="D58" s="193">
        <v>0</v>
      </c>
      <c r="E58" s="193">
        <v>5043</v>
      </c>
      <c r="F58" s="193">
        <v>0</v>
      </c>
      <c r="G58" s="193">
        <v>8072</v>
      </c>
      <c r="H58" s="193">
        <v>0</v>
      </c>
      <c r="I58" s="193">
        <v>0</v>
      </c>
      <c r="J58" s="193">
        <v>0</v>
      </c>
      <c r="K58" s="193">
        <v>0</v>
      </c>
      <c r="L58" s="193">
        <v>13</v>
      </c>
      <c r="M58" s="18" t="s">
        <v>68</v>
      </c>
      <c r="N58" s="159" t="s">
        <v>346</v>
      </c>
      <c r="O58" s="193">
        <v>0</v>
      </c>
      <c r="P58" s="193">
        <v>0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4605</v>
      </c>
      <c r="W58" s="193">
        <v>36.5</v>
      </c>
      <c r="X58" s="193">
        <v>0</v>
      </c>
      <c r="Y58" s="18" t="s">
        <v>68</v>
      </c>
      <c r="Z58" s="159" t="s">
        <v>346</v>
      </c>
      <c r="AA58" s="193">
        <v>0</v>
      </c>
      <c r="AB58" s="193">
        <v>0</v>
      </c>
      <c r="AC58" s="193">
        <v>37</v>
      </c>
      <c r="AD58" s="193">
        <v>0</v>
      </c>
      <c r="AE58" s="193">
        <v>0</v>
      </c>
      <c r="AF58" s="193">
        <v>0</v>
      </c>
      <c r="AG58" s="193">
        <v>0</v>
      </c>
      <c r="AH58" s="193">
        <v>0</v>
      </c>
      <c r="AI58" s="193">
        <v>0</v>
      </c>
      <c r="AJ58" s="193">
        <v>0</v>
      </c>
    </row>
    <row r="59" spans="1:36" ht="12.6" customHeight="1">
      <c r="A59" s="14"/>
      <c r="B59" s="158" t="s">
        <v>355</v>
      </c>
      <c r="C59" s="336">
        <v>15867.5</v>
      </c>
      <c r="D59" s="194">
        <v>0</v>
      </c>
      <c r="E59" s="194">
        <v>3910</v>
      </c>
      <c r="F59" s="194">
        <v>0</v>
      </c>
      <c r="G59" s="194">
        <v>7218</v>
      </c>
      <c r="H59" s="194">
        <v>0</v>
      </c>
      <c r="I59" s="194">
        <v>0</v>
      </c>
      <c r="J59" s="194">
        <v>0</v>
      </c>
      <c r="K59" s="194">
        <v>0</v>
      </c>
      <c r="L59" s="194">
        <v>18</v>
      </c>
      <c r="M59" s="14"/>
      <c r="N59" s="158" t="s">
        <v>355</v>
      </c>
      <c r="O59" s="194">
        <v>0</v>
      </c>
      <c r="P59" s="194">
        <v>0</v>
      </c>
      <c r="Q59" s="194">
        <v>0</v>
      </c>
      <c r="R59" s="194">
        <v>0</v>
      </c>
      <c r="S59" s="194">
        <v>0</v>
      </c>
      <c r="T59" s="194">
        <v>0</v>
      </c>
      <c r="U59" s="194">
        <v>0</v>
      </c>
      <c r="V59" s="194">
        <v>4546</v>
      </c>
      <c r="W59" s="194">
        <v>35.5</v>
      </c>
      <c r="X59" s="194">
        <v>0</v>
      </c>
      <c r="Y59" s="14"/>
      <c r="Z59" s="158" t="s">
        <v>355</v>
      </c>
      <c r="AA59" s="194">
        <v>0</v>
      </c>
      <c r="AB59" s="194">
        <v>0</v>
      </c>
      <c r="AC59" s="194">
        <v>140</v>
      </c>
      <c r="AD59" s="194">
        <v>0</v>
      </c>
      <c r="AE59" s="194">
        <v>0</v>
      </c>
      <c r="AF59" s="194">
        <v>0</v>
      </c>
      <c r="AG59" s="194">
        <v>0</v>
      </c>
      <c r="AH59" s="194">
        <v>0</v>
      </c>
      <c r="AI59" s="194">
        <v>0</v>
      </c>
      <c r="AJ59" s="194">
        <v>0</v>
      </c>
    </row>
    <row r="60" spans="1:36" ht="9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43" t="s">
        <v>152</v>
      </c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43" t="s">
        <v>152</v>
      </c>
      <c r="Y60" s="137" t="s">
        <v>91</v>
      </c>
      <c r="Z60" s="123"/>
      <c r="AA60" s="123"/>
      <c r="AB60" s="123"/>
      <c r="AC60" s="123"/>
      <c r="AD60" s="123"/>
      <c r="AE60" s="123"/>
      <c r="AF60" s="123"/>
    </row>
    <row r="61" spans="1:36" ht="9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37" t="s">
        <v>98</v>
      </c>
      <c r="Z61" s="123"/>
      <c r="AA61" s="123"/>
      <c r="AB61" s="123"/>
      <c r="AC61" s="123"/>
      <c r="AD61" s="123"/>
      <c r="AE61" s="123"/>
      <c r="AF61" s="123"/>
    </row>
    <row r="62" spans="1:36" ht="9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366" t="s">
        <v>360</v>
      </c>
      <c r="Z62" s="366"/>
      <c r="AA62" s="366"/>
      <c r="AB62" s="366"/>
      <c r="AC62" s="366"/>
      <c r="AD62" s="366"/>
      <c r="AE62" s="366"/>
      <c r="AF62" s="366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zoomScaleNormal="100" workbookViewId="0">
      <selection activeCell="L44" sqref="L44:L45"/>
    </sheetView>
  </sheetViews>
  <sheetFormatPr baseColWidth="10" defaultColWidth="10.7109375" defaultRowHeight="17.25" customHeight="1"/>
  <cols>
    <col min="1" max="1" width="13.42578125" style="162" customWidth="1"/>
    <col min="2" max="2" width="6" style="162" customWidth="1"/>
    <col min="3" max="3" width="6.85546875" style="162" customWidth="1"/>
    <col min="4" max="15" width="6.7109375" style="162" customWidth="1"/>
    <col min="16" max="16" width="8" style="162" customWidth="1"/>
    <col min="17" max="16384" width="10.7109375" style="162"/>
  </cols>
  <sheetData>
    <row r="1" spans="1:16" ht="16.5" customHeight="1">
      <c r="A1" s="179" t="s">
        <v>318</v>
      </c>
      <c r="B1" s="176"/>
      <c r="C1" s="44"/>
      <c r="D1" s="44"/>
    </row>
    <row r="2" spans="1:16" ht="12" customHeight="1">
      <c r="A2" s="179" t="s">
        <v>452</v>
      </c>
      <c r="B2" s="24"/>
    </row>
    <row r="3" spans="1:16" ht="13.5">
      <c r="A3" s="305" t="s">
        <v>134</v>
      </c>
    </row>
    <row r="4" spans="1:16" ht="3.95" customHeight="1">
      <c r="A4" s="93"/>
    </row>
    <row r="5" spans="1:16" ht="18" customHeight="1">
      <c r="A5" s="337" t="s">
        <v>57</v>
      </c>
      <c r="B5" s="338" t="s">
        <v>89</v>
      </c>
      <c r="C5" s="367" t="s">
        <v>470</v>
      </c>
      <c r="D5" s="317" t="s">
        <v>175</v>
      </c>
      <c r="E5" s="317" t="s">
        <v>176</v>
      </c>
      <c r="F5" s="317" t="s">
        <v>177</v>
      </c>
      <c r="G5" s="317" t="s">
        <v>176</v>
      </c>
      <c r="H5" s="317" t="s">
        <v>179</v>
      </c>
      <c r="I5" s="317" t="s">
        <v>180</v>
      </c>
      <c r="J5" s="317" t="s">
        <v>181</v>
      </c>
      <c r="K5" s="317" t="s">
        <v>296</v>
      </c>
      <c r="L5" s="317" t="s">
        <v>297</v>
      </c>
      <c r="M5" s="317" t="s">
        <v>298</v>
      </c>
      <c r="N5" s="317" t="s">
        <v>173</v>
      </c>
      <c r="O5" s="317" t="s">
        <v>174</v>
      </c>
      <c r="P5" s="337" t="s">
        <v>481</v>
      </c>
    </row>
    <row r="6" spans="1:16" ht="14.1" customHeight="1">
      <c r="A6" s="519" t="s">
        <v>182</v>
      </c>
      <c r="B6" s="339">
        <v>2020</v>
      </c>
      <c r="C6" s="339">
        <v>1384787.2988218828</v>
      </c>
      <c r="D6" s="339">
        <v>101076.49504194708</v>
      </c>
      <c r="E6" s="339">
        <v>108979.73000000001</v>
      </c>
      <c r="F6" s="339">
        <v>126238.71877993584</v>
      </c>
      <c r="G6" s="339">
        <v>303908.47999999998</v>
      </c>
      <c r="H6" s="339">
        <v>394629.01999999996</v>
      </c>
      <c r="I6" s="339">
        <v>349954.85500000004</v>
      </c>
      <c r="J6" s="339">
        <v>256331.46900000001</v>
      </c>
      <c r="K6" s="339">
        <v>165549.42000000001</v>
      </c>
      <c r="L6" s="339">
        <v>101487.38000000002</v>
      </c>
      <c r="M6" s="339">
        <v>94487.899098767652</v>
      </c>
      <c r="N6" s="339">
        <v>96223.097000000009</v>
      </c>
      <c r="O6" s="339">
        <v>104602.34</v>
      </c>
      <c r="P6" s="339">
        <v>2203468.9039206505</v>
      </c>
    </row>
    <row r="7" spans="1:16" ht="14.1" customHeight="1">
      <c r="A7" s="520"/>
      <c r="B7" s="316">
        <v>2021</v>
      </c>
      <c r="C7" s="316">
        <v>1320542.5403834125</v>
      </c>
      <c r="D7" s="340">
        <v>101146.249</v>
      </c>
      <c r="E7" s="340">
        <v>107507.73</v>
      </c>
      <c r="F7" s="340">
        <v>111704.24000000002</v>
      </c>
      <c r="G7" s="340">
        <v>267974.02999999997</v>
      </c>
      <c r="H7" s="340">
        <v>351866.07138341246</v>
      </c>
      <c r="I7" s="340">
        <v>380344.22000000003</v>
      </c>
      <c r="J7" s="340"/>
      <c r="K7" s="340"/>
      <c r="L7" s="340"/>
      <c r="M7" s="340"/>
      <c r="N7" s="340"/>
      <c r="O7" s="340"/>
      <c r="P7" s="316"/>
    </row>
    <row r="8" spans="1:16" ht="13.5" customHeight="1">
      <c r="A8" s="138" t="s">
        <v>256</v>
      </c>
      <c r="B8" s="87">
        <v>2020</v>
      </c>
      <c r="C8" s="327">
        <v>32013.599999999999</v>
      </c>
      <c r="D8" s="144">
        <v>10</v>
      </c>
      <c r="E8" s="144">
        <v>58</v>
      </c>
      <c r="F8" s="144">
        <v>124</v>
      </c>
      <c r="G8" s="144">
        <v>920</v>
      </c>
      <c r="H8" s="144">
        <v>4559</v>
      </c>
      <c r="I8" s="144">
        <v>26342.6</v>
      </c>
      <c r="J8" s="144">
        <v>42739.7</v>
      </c>
      <c r="K8" s="144">
        <v>28559.5</v>
      </c>
      <c r="L8" s="144">
        <v>7893</v>
      </c>
      <c r="M8" s="144">
        <v>1555</v>
      </c>
      <c r="N8" s="144">
        <v>1349</v>
      </c>
      <c r="O8" s="144">
        <v>114</v>
      </c>
      <c r="P8" s="300">
        <v>114223.79999999999</v>
      </c>
    </row>
    <row r="9" spans="1:16" ht="13.5" customHeight="1">
      <c r="A9" s="22"/>
      <c r="B9" s="87">
        <v>2021</v>
      </c>
      <c r="C9" s="327">
        <v>24874.2</v>
      </c>
      <c r="D9" s="144">
        <v>3</v>
      </c>
      <c r="E9" s="144">
        <v>35</v>
      </c>
      <c r="F9" s="144">
        <v>102</v>
      </c>
      <c r="G9" s="144">
        <v>638.20000000000005</v>
      </c>
      <c r="H9" s="144">
        <v>3282</v>
      </c>
      <c r="I9" s="144">
        <v>20814</v>
      </c>
      <c r="J9" s="144"/>
      <c r="K9" s="144"/>
      <c r="L9" s="144"/>
      <c r="M9" s="144"/>
      <c r="N9" s="144"/>
      <c r="O9" s="144"/>
      <c r="P9" s="300"/>
    </row>
    <row r="10" spans="1:16" ht="13.5" customHeight="1">
      <c r="A10" s="138" t="s">
        <v>229</v>
      </c>
      <c r="B10" s="87">
        <v>2020</v>
      </c>
      <c r="C10" s="327">
        <v>125711.9</v>
      </c>
      <c r="D10" s="144">
        <v>24151.4</v>
      </c>
      <c r="E10" s="144">
        <v>29545.25</v>
      </c>
      <c r="F10" s="144">
        <v>14704</v>
      </c>
      <c r="G10" s="144">
        <v>14631</v>
      </c>
      <c r="H10" s="144">
        <v>19445</v>
      </c>
      <c r="I10" s="144">
        <v>23235.25</v>
      </c>
      <c r="J10" s="144">
        <v>24673</v>
      </c>
      <c r="K10" s="144">
        <v>18283.75</v>
      </c>
      <c r="L10" s="144">
        <v>12979</v>
      </c>
      <c r="M10" s="144">
        <v>14683</v>
      </c>
      <c r="N10" s="144">
        <v>20517.5</v>
      </c>
      <c r="O10" s="144">
        <v>19560.5</v>
      </c>
      <c r="P10" s="300">
        <v>236408.65</v>
      </c>
    </row>
    <row r="11" spans="1:16" ht="13.5" customHeight="1">
      <c r="A11" s="22"/>
      <c r="B11" s="87">
        <v>2021</v>
      </c>
      <c r="C11" s="327">
        <v>128696.1</v>
      </c>
      <c r="D11" s="144">
        <v>22080.5</v>
      </c>
      <c r="E11" s="144">
        <v>28796.25</v>
      </c>
      <c r="F11" s="144">
        <v>14238</v>
      </c>
      <c r="G11" s="144">
        <v>13936.85</v>
      </c>
      <c r="H11" s="144">
        <v>18793</v>
      </c>
      <c r="I11" s="144">
        <v>30851.5</v>
      </c>
      <c r="J11" s="144"/>
      <c r="K11" s="144"/>
      <c r="L11" s="144"/>
      <c r="M11" s="144"/>
      <c r="N11" s="144"/>
      <c r="O11" s="144"/>
      <c r="P11" s="300"/>
    </row>
    <row r="12" spans="1:16" ht="13.5" customHeight="1">
      <c r="A12" s="138" t="s">
        <v>197</v>
      </c>
      <c r="B12" s="87">
        <v>2020</v>
      </c>
      <c r="C12" s="327">
        <v>135385.04999999999</v>
      </c>
      <c r="D12" s="144">
        <v>80</v>
      </c>
      <c r="E12" s="144">
        <v>473</v>
      </c>
      <c r="F12" s="144">
        <v>992</v>
      </c>
      <c r="G12" s="144">
        <v>12327.8</v>
      </c>
      <c r="H12" s="144">
        <v>56432.75</v>
      </c>
      <c r="I12" s="144">
        <v>65079.5</v>
      </c>
      <c r="J12" s="144">
        <v>41701</v>
      </c>
      <c r="K12" s="144">
        <v>16689</v>
      </c>
      <c r="L12" s="144">
        <v>3960.5</v>
      </c>
      <c r="M12" s="144">
        <v>209</v>
      </c>
      <c r="N12" s="144">
        <v>82</v>
      </c>
      <c r="O12" s="144">
        <v>215</v>
      </c>
      <c r="P12" s="300">
        <v>198241.55</v>
      </c>
    </row>
    <row r="13" spans="1:16" ht="13.5" customHeight="1">
      <c r="A13" s="22"/>
      <c r="B13" s="87">
        <v>2021</v>
      </c>
      <c r="C13" s="327">
        <v>121747.995</v>
      </c>
      <c r="D13" s="144">
        <v>107</v>
      </c>
      <c r="E13" s="144">
        <v>420</v>
      </c>
      <c r="F13" s="144">
        <v>627.5</v>
      </c>
      <c r="G13" s="144">
        <v>11038.25</v>
      </c>
      <c r="H13" s="144">
        <v>42758.025000000001</v>
      </c>
      <c r="I13" s="144">
        <v>66797.22</v>
      </c>
      <c r="J13" s="144"/>
      <c r="K13" s="144"/>
      <c r="L13" s="144"/>
      <c r="M13" s="144"/>
      <c r="N13" s="144"/>
      <c r="O13" s="144"/>
      <c r="P13" s="300"/>
    </row>
    <row r="14" spans="1:16" ht="13.5" customHeight="1">
      <c r="A14" s="138" t="s">
        <v>280</v>
      </c>
      <c r="B14" s="87">
        <v>2020</v>
      </c>
      <c r="C14" s="327">
        <v>261537.3</v>
      </c>
      <c r="D14" s="144">
        <v>29554</v>
      </c>
      <c r="E14" s="144">
        <v>24919</v>
      </c>
      <c r="F14" s="144">
        <v>32128.6</v>
      </c>
      <c r="G14" s="144">
        <v>35592.5</v>
      </c>
      <c r="H14" s="144">
        <v>64726.400000000001</v>
      </c>
      <c r="I14" s="144">
        <v>74616.800000000003</v>
      </c>
      <c r="J14" s="144">
        <v>31019</v>
      </c>
      <c r="K14" s="144">
        <v>19677</v>
      </c>
      <c r="L14" s="144">
        <v>22120.6</v>
      </c>
      <c r="M14" s="144">
        <v>24477.5</v>
      </c>
      <c r="N14" s="144">
        <v>22620.5</v>
      </c>
      <c r="O14" s="144">
        <v>36145.5</v>
      </c>
      <c r="P14" s="300">
        <v>417597.39999999997</v>
      </c>
    </row>
    <row r="15" spans="1:16" ht="13.5" customHeight="1">
      <c r="A15" s="22"/>
      <c r="B15" s="87">
        <v>2021</v>
      </c>
      <c r="C15" s="327">
        <v>241876.15</v>
      </c>
      <c r="D15" s="144">
        <v>30900</v>
      </c>
      <c r="E15" s="144">
        <v>23172</v>
      </c>
      <c r="F15" s="144">
        <v>27261</v>
      </c>
      <c r="G15" s="144">
        <v>26808.5</v>
      </c>
      <c r="H15" s="144">
        <v>44795.4</v>
      </c>
      <c r="I15" s="144">
        <v>88939.25</v>
      </c>
      <c r="J15" s="144"/>
      <c r="K15" s="144"/>
      <c r="L15" s="144"/>
      <c r="M15" s="144"/>
      <c r="N15" s="144"/>
      <c r="O15" s="144"/>
      <c r="P15" s="300"/>
    </row>
    <row r="16" spans="1:16" ht="13.5" customHeight="1">
      <c r="A16" s="138" t="s">
        <v>147</v>
      </c>
      <c r="B16" s="87">
        <v>2020</v>
      </c>
      <c r="C16" s="327">
        <v>65241</v>
      </c>
      <c r="D16" s="144">
        <v>4</v>
      </c>
      <c r="E16" s="144">
        <v>16</v>
      </c>
      <c r="F16" s="144">
        <v>92</v>
      </c>
      <c r="G16" s="144">
        <v>11597</v>
      </c>
      <c r="H16" s="144">
        <v>22622</v>
      </c>
      <c r="I16" s="144">
        <v>30910</v>
      </c>
      <c r="J16" s="144">
        <v>37006.5</v>
      </c>
      <c r="K16" s="144">
        <v>18579</v>
      </c>
      <c r="L16" s="144">
        <v>4074</v>
      </c>
      <c r="M16" s="144">
        <v>309</v>
      </c>
      <c r="N16" s="144">
        <v>96</v>
      </c>
      <c r="O16" s="144">
        <v>30</v>
      </c>
      <c r="P16" s="300">
        <v>125335.5</v>
      </c>
    </row>
    <row r="17" spans="1:16" ht="13.5" customHeight="1">
      <c r="A17" s="22"/>
      <c r="B17" s="87">
        <v>2021</v>
      </c>
      <c r="C17" s="327">
        <v>57108</v>
      </c>
      <c r="D17" s="144">
        <v>22</v>
      </c>
      <c r="E17" s="144">
        <v>14</v>
      </c>
      <c r="F17" s="144">
        <v>126</v>
      </c>
      <c r="G17" s="144">
        <v>10772</v>
      </c>
      <c r="H17" s="144">
        <v>19279</v>
      </c>
      <c r="I17" s="144">
        <v>26895</v>
      </c>
      <c r="J17" s="144"/>
      <c r="K17" s="144"/>
      <c r="L17" s="144"/>
      <c r="M17" s="144"/>
      <c r="N17" s="144"/>
      <c r="O17" s="144"/>
      <c r="P17" s="300"/>
    </row>
    <row r="18" spans="1:16" ht="13.5" customHeight="1">
      <c r="A18" s="138" t="s">
        <v>62</v>
      </c>
      <c r="B18" s="87">
        <v>2020</v>
      </c>
      <c r="C18" s="327">
        <v>62510.5</v>
      </c>
      <c r="D18" s="144">
        <v>328</v>
      </c>
      <c r="E18" s="144">
        <v>1235</v>
      </c>
      <c r="F18" s="144">
        <v>4578</v>
      </c>
      <c r="G18" s="144">
        <v>29488.5</v>
      </c>
      <c r="H18" s="144">
        <v>19156</v>
      </c>
      <c r="I18" s="144">
        <v>7725</v>
      </c>
      <c r="J18" s="144">
        <v>2687.1</v>
      </c>
      <c r="K18" s="144">
        <v>674.5</v>
      </c>
      <c r="L18" s="144">
        <v>519</v>
      </c>
      <c r="M18" s="144">
        <v>371</v>
      </c>
      <c r="N18" s="144">
        <v>405</v>
      </c>
      <c r="O18" s="144">
        <v>471</v>
      </c>
      <c r="P18" s="300">
        <v>67638.100000000006</v>
      </c>
    </row>
    <row r="19" spans="1:16" ht="13.5" customHeight="1">
      <c r="A19" s="22"/>
      <c r="B19" s="87">
        <v>2021</v>
      </c>
      <c r="C19" s="327">
        <v>60998.5</v>
      </c>
      <c r="D19" s="144">
        <v>688</v>
      </c>
      <c r="E19" s="144">
        <v>742</v>
      </c>
      <c r="F19" s="144">
        <v>2331</v>
      </c>
      <c r="G19" s="144">
        <v>27219</v>
      </c>
      <c r="H19" s="144">
        <v>18505</v>
      </c>
      <c r="I19" s="144">
        <v>11513.5</v>
      </c>
      <c r="J19" s="144"/>
      <c r="K19" s="144"/>
      <c r="L19" s="144"/>
      <c r="M19" s="144"/>
      <c r="N19" s="144"/>
      <c r="O19" s="144"/>
      <c r="P19" s="300"/>
    </row>
    <row r="20" spans="1:16" ht="13.5" customHeight="1">
      <c r="A20" s="138" t="s">
        <v>215</v>
      </c>
      <c r="B20" s="87">
        <v>2020</v>
      </c>
      <c r="C20" s="327">
        <v>2364.7000000000003</v>
      </c>
      <c r="D20" s="144">
        <v>422.25</v>
      </c>
      <c r="E20" s="144">
        <v>362.1</v>
      </c>
      <c r="F20" s="144">
        <v>406.05</v>
      </c>
      <c r="G20" s="144">
        <v>418.7</v>
      </c>
      <c r="H20" s="144">
        <v>297.75</v>
      </c>
      <c r="I20" s="144">
        <v>457.85</v>
      </c>
      <c r="J20" s="144">
        <v>437.05</v>
      </c>
      <c r="K20" s="144">
        <v>252.75</v>
      </c>
      <c r="L20" s="144">
        <v>273.8</v>
      </c>
      <c r="M20" s="144">
        <v>251.8</v>
      </c>
      <c r="N20" s="144">
        <v>210.55</v>
      </c>
      <c r="O20" s="144">
        <v>279.3</v>
      </c>
      <c r="P20" s="300">
        <v>4069.9500000000012</v>
      </c>
    </row>
    <row r="21" spans="1:16" ht="13.5" customHeight="1">
      <c r="A21" s="22"/>
      <c r="B21" s="87">
        <v>2021</v>
      </c>
      <c r="C21" s="327">
        <v>2768.25</v>
      </c>
      <c r="D21" s="144">
        <v>503.75</v>
      </c>
      <c r="E21" s="144">
        <v>472.25</v>
      </c>
      <c r="F21" s="144">
        <v>458</v>
      </c>
      <c r="G21" s="144">
        <v>478.25</v>
      </c>
      <c r="H21" s="144">
        <v>345</v>
      </c>
      <c r="I21" s="144">
        <v>511</v>
      </c>
      <c r="J21" s="144"/>
      <c r="K21" s="144"/>
      <c r="L21" s="144"/>
      <c r="M21" s="144"/>
      <c r="N21" s="144"/>
      <c r="O21" s="144"/>
      <c r="P21" s="300"/>
    </row>
    <row r="22" spans="1:16" ht="13.5" customHeight="1">
      <c r="A22" s="138" t="s">
        <v>268</v>
      </c>
      <c r="B22" s="87">
        <v>2020</v>
      </c>
      <c r="C22" s="327">
        <v>234</v>
      </c>
      <c r="D22" s="144">
        <v>76</v>
      </c>
      <c r="E22" s="144">
        <v>80</v>
      </c>
      <c r="F22" s="144">
        <v>29</v>
      </c>
      <c r="G22" s="144">
        <v>6</v>
      </c>
      <c r="H22" s="144">
        <v>7</v>
      </c>
      <c r="I22" s="144">
        <v>36</v>
      </c>
      <c r="J22" s="144">
        <v>60</v>
      </c>
      <c r="K22" s="144">
        <v>109</v>
      </c>
      <c r="L22" s="144">
        <v>172</v>
      </c>
      <c r="M22" s="144">
        <v>206</v>
      </c>
      <c r="N22" s="144">
        <v>307</v>
      </c>
      <c r="O22" s="144">
        <v>188</v>
      </c>
      <c r="P22" s="300">
        <v>1276</v>
      </c>
    </row>
    <row r="23" spans="1:16" ht="13.5" customHeight="1">
      <c r="A23" s="22"/>
      <c r="B23" s="87">
        <v>2021</v>
      </c>
      <c r="C23" s="327">
        <v>315</v>
      </c>
      <c r="D23" s="144">
        <v>128</v>
      </c>
      <c r="E23" s="144">
        <v>91</v>
      </c>
      <c r="F23" s="144">
        <v>32</v>
      </c>
      <c r="G23" s="144">
        <v>6</v>
      </c>
      <c r="H23" s="144">
        <v>12</v>
      </c>
      <c r="I23" s="144">
        <v>46</v>
      </c>
      <c r="J23" s="144"/>
      <c r="K23" s="144"/>
      <c r="L23" s="144"/>
      <c r="M23" s="144"/>
      <c r="N23" s="144"/>
      <c r="O23" s="144"/>
      <c r="P23" s="300"/>
    </row>
    <row r="24" spans="1:16" ht="13.5" customHeight="1">
      <c r="A24" s="138" t="s">
        <v>145</v>
      </c>
      <c r="B24" s="87">
        <v>2020</v>
      </c>
      <c r="C24" s="327">
        <v>2246.6999999999998</v>
      </c>
      <c r="D24" s="144">
        <v>479.6</v>
      </c>
      <c r="E24" s="144">
        <v>347</v>
      </c>
      <c r="F24" s="144">
        <v>420</v>
      </c>
      <c r="G24" s="144">
        <v>385</v>
      </c>
      <c r="H24" s="144">
        <v>337.3</v>
      </c>
      <c r="I24" s="144">
        <v>277.8</v>
      </c>
      <c r="J24" s="144">
        <v>293.10000000000002</v>
      </c>
      <c r="K24" s="144">
        <v>373.1</v>
      </c>
      <c r="L24" s="144">
        <v>403.5</v>
      </c>
      <c r="M24" s="144">
        <v>505.75</v>
      </c>
      <c r="N24" s="144">
        <v>568.5</v>
      </c>
      <c r="O24" s="144">
        <v>456.7</v>
      </c>
      <c r="P24" s="300">
        <v>4847.3499999999995</v>
      </c>
    </row>
    <row r="25" spans="1:16" ht="13.5" customHeight="1">
      <c r="A25" s="22"/>
      <c r="B25" s="87">
        <v>2021</v>
      </c>
      <c r="C25" s="327">
        <v>2719.5</v>
      </c>
      <c r="D25" s="144">
        <v>512.54999999999995</v>
      </c>
      <c r="E25" s="144">
        <v>449.5</v>
      </c>
      <c r="F25" s="144">
        <v>487.75</v>
      </c>
      <c r="G25" s="144">
        <v>402.3</v>
      </c>
      <c r="H25" s="144">
        <v>451.9</v>
      </c>
      <c r="I25" s="144">
        <v>415.5</v>
      </c>
      <c r="J25" s="144"/>
      <c r="K25" s="144"/>
      <c r="L25" s="144"/>
      <c r="M25" s="144"/>
      <c r="N25" s="144"/>
      <c r="O25" s="144"/>
      <c r="P25" s="300"/>
    </row>
    <row r="26" spans="1:16" ht="13.5" customHeight="1">
      <c r="A26" s="138" t="s">
        <v>266</v>
      </c>
      <c r="B26" s="87">
        <v>2020</v>
      </c>
      <c r="C26" s="327">
        <v>4195.1499999999996</v>
      </c>
      <c r="D26" s="144">
        <v>452.45</v>
      </c>
      <c r="E26" s="144">
        <v>699.5</v>
      </c>
      <c r="F26" s="144">
        <v>804</v>
      </c>
      <c r="G26" s="144">
        <v>836.35</v>
      </c>
      <c r="H26" s="144">
        <v>976.85</v>
      </c>
      <c r="I26" s="144">
        <v>426</v>
      </c>
      <c r="J26" s="144">
        <v>449.35</v>
      </c>
      <c r="K26" s="144">
        <v>388.5</v>
      </c>
      <c r="L26" s="144">
        <v>545.5</v>
      </c>
      <c r="M26" s="144">
        <v>440.6</v>
      </c>
      <c r="N26" s="144">
        <v>409.6</v>
      </c>
      <c r="O26" s="144">
        <v>421.4</v>
      </c>
      <c r="P26" s="300">
        <v>6850.1</v>
      </c>
    </row>
    <row r="27" spans="1:16" ht="13.5" customHeight="1">
      <c r="A27" s="22"/>
      <c r="B27" s="87">
        <v>2021</v>
      </c>
      <c r="C27" s="327">
        <v>4493.1000000000004</v>
      </c>
      <c r="D27" s="144">
        <v>495</v>
      </c>
      <c r="E27" s="144">
        <v>748</v>
      </c>
      <c r="F27" s="144">
        <v>872</v>
      </c>
      <c r="G27" s="144">
        <v>832.25</v>
      </c>
      <c r="H27" s="144">
        <v>908.85</v>
      </c>
      <c r="I27" s="144">
        <v>637</v>
      </c>
      <c r="J27" s="144"/>
      <c r="K27" s="144"/>
      <c r="L27" s="144"/>
      <c r="M27" s="144"/>
      <c r="N27" s="144"/>
      <c r="O27" s="144"/>
      <c r="P27" s="300"/>
    </row>
    <row r="28" spans="1:16" ht="13.5" customHeight="1">
      <c r="A28" s="138" t="s">
        <v>205</v>
      </c>
      <c r="B28" s="87">
        <v>2020</v>
      </c>
      <c r="C28" s="327">
        <v>19927.2</v>
      </c>
      <c r="D28" s="144">
        <v>2656.5</v>
      </c>
      <c r="E28" s="144">
        <v>3470.25</v>
      </c>
      <c r="F28" s="144">
        <v>3689.5</v>
      </c>
      <c r="G28" s="144">
        <v>3078</v>
      </c>
      <c r="H28" s="144">
        <v>2926.95</v>
      </c>
      <c r="I28" s="144">
        <v>4106</v>
      </c>
      <c r="J28" s="144">
        <v>4252.1000000000004</v>
      </c>
      <c r="K28" s="144">
        <v>3664</v>
      </c>
      <c r="L28" s="144">
        <v>2743</v>
      </c>
      <c r="M28" s="144">
        <v>2404.5</v>
      </c>
      <c r="N28" s="144">
        <v>1055.5</v>
      </c>
      <c r="O28" s="144">
        <v>1144.75</v>
      </c>
      <c r="P28" s="300">
        <v>35191.050000000003</v>
      </c>
    </row>
    <row r="29" spans="1:16" ht="13.5" customHeight="1">
      <c r="A29" s="22"/>
      <c r="B29" s="87">
        <v>2021</v>
      </c>
      <c r="C29" s="327">
        <v>20319.95</v>
      </c>
      <c r="D29" s="144">
        <v>2580.9</v>
      </c>
      <c r="E29" s="144">
        <v>3398.55</v>
      </c>
      <c r="F29" s="144">
        <v>2985</v>
      </c>
      <c r="G29" s="144">
        <v>2980.9</v>
      </c>
      <c r="H29" s="144">
        <v>3216.65</v>
      </c>
      <c r="I29" s="144">
        <v>5157.95</v>
      </c>
      <c r="J29" s="144"/>
      <c r="K29" s="144"/>
      <c r="L29" s="144"/>
      <c r="M29" s="144"/>
      <c r="N29" s="144"/>
      <c r="O29" s="144"/>
      <c r="P29" s="300"/>
    </row>
    <row r="30" spans="1:16" ht="13.5" customHeight="1">
      <c r="A30" s="138" t="s">
        <v>265</v>
      </c>
      <c r="B30" s="87">
        <v>2020</v>
      </c>
      <c r="C30" s="327">
        <v>3983.75</v>
      </c>
      <c r="D30" s="144">
        <v>532.25</v>
      </c>
      <c r="E30" s="144">
        <v>560.25</v>
      </c>
      <c r="F30" s="144">
        <v>762.25</v>
      </c>
      <c r="G30" s="144">
        <v>749.45</v>
      </c>
      <c r="H30" s="144">
        <v>828.8</v>
      </c>
      <c r="I30" s="144">
        <v>550.75</v>
      </c>
      <c r="J30" s="144">
        <v>633</v>
      </c>
      <c r="K30" s="144">
        <v>706.85</v>
      </c>
      <c r="L30" s="144">
        <v>638.25</v>
      </c>
      <c r="M30" s="144">
        <v>635</v>
      </c>
      <c r="N30" s="144">
        <v>576.25</v>
      </c>
      <c r="O30" s="144">
        <v>464</v>
      </c>
      <c r="P30" s="300">
        <v>7637.1</v>
      </c>
    </row>
    <row r="31" spans="1:16" ht="13.5" customHeight="1">
      <c r="A31" s="22"/>
      <c r="B31" s="87">
        <v>2021</v>
      </c>
      <c r="C31" s="327">
        <v>3965.5</v>
      </c>
      <c r="D31" s="144">
        <v>537</v>
      </c>
      <c r="E31" s="144">
        <v>589.75</v>
      </c>
      <c r="F31" s="144">
        <v>706.75</v>
      </c>
      <c r="G31" s="144">
        <v>812.75</v>
      </c>
      <c r="H31" s="144">
        <v>674</v>
      </c>
      <c r="I31" s="144">
        <v>645.25</v>
      </c>
      <c r="J31" s="144"/>
      <c r="K31" s="144"/>
      <c r="L31" s="144"/>
      <c r="M31" s="144"/>
      <c r="N31" s="144"/>
      <c r="O31" s="144"/>
      <c r="P31" s="300"/>
    </row>
    <row r="32" spans="1:16" ht="13.5" customHeight="1">
      <c r="A32" s="138" t="s">
        <v>262</v>
      </c>
      <c r="B32" s="87">
        <v>2020</v>
      </c>
      <c r="C32" s="327">
        <v>2061.6999999999998</v>
      </c>
      <c r="D32" s="144">
        <v>279</v>
      </c>
      <c r="E32" s="144">
        <v>177</v>
      </c>
      <c r="F32" s="144">
        <v>234</v>
      </c>
      <c r="G32" s="144">
        <v>295</v>
      </c>
      <c r="H32" s="144">
        <v>492.3</v>
      </c>
      <c r="I32" s="144">
        <v>584.4</v>
      </c>
      <c r="J32" s="144">
        <v>343.6</v>
      </c>
      <c r="K32" s="144">
        <v>370</v>
      </c>
      <c r="L32" s="144">
        <v>559.5</v>
      </c>
      <c r="M32" s="144">
        <v>895</v>
      </c>
      <c r="N32" s="144">
        <v>2199.13</v>
      </c>
      <c r="O32" s="144">
        <v>1319.5</v>
      </c>
      <c r="P32" s="300">
        <v>7748.4299999999994</v>
      </c>
    </row>
    <row r="33" spans="1:16" ht="13.5" customHeight="1">
      <c r="A33" s="22"/>
      <c r="B33" s="87">
        <v>2021</v>
      </c>
      <c r="C33" s="327">
        <v>2141.67</v>
      </c>
      <c r="D33" s="144">
        <v>307.39999999999998</v>
      </c>
      <c r="E33" s="144">
        <v>263.77</v>
      </c>
      <c r="F33" s="144">
        <v>166.5</v>
      </c>
      <c r="G33" s="144">
        <v>245</v>
      </c>
      <c r="H33" s="144">
        <v>426</v>
      </c>
      <c r="I33" s="144">
        <v>733</v>
      </c>
      <c r="J33" s="144"/>
      <c r="K33" s="144"/>
      <c r="L33" s="144"/>
      <c r="M33" s="144"/>
      <c r="N33" s="144"/>
      <c r="O33" s="144"/>
      <c r="P33" s="300"/>
    </row>
    <row r="34" spans="1:16" ht="13.5" customHeight="1">
      <c r="A34" s="138" t="s">
        <v>288</v>
      </c>
      <c r="B34" s="87">
        <v>2020</v>
      </c>
      <c r="C34" s="327">
        <v>7086.45</v>
      </c>
      <c r="D34" s="144">
        <v>1294.5</v>
      </c>
      <c r="E34" s="144">
        <v>1017</v>
      </c>
      <c r="F34" s="144">
        <v>915.3</v>
      </c>
      <c r="G34" s="144">
        <v>1466.85</v>
      </c>
      <c r="H34" s="144">
        <v>1343.85</v>
      </c>
      <c r="I34" s="144">
        <v>1048.95</v>
      </c>
      <c r="J34" s="144">
        <v>1315.1</v>
      </c>
      <c r="K34" s="144">
        <v>1952.5</v>
      </c>
      <c r="L34" s="144">
        <v>1344</v>
      </c>
      <c r="M34" s="144">
        <v>942.5</v>
      </c>
      <c r="N34" s="144">
        <v>1277.5</v>
      </c>
      <c r="O34" s="144">
        <v>1214</v>
      </c>
      <c r="P34" s="300">
        <v>15132.05</v>
      </c>
    </row>
    <row r="35" spans="1:16" ht="13.5" customHeight="1">
      <c r="A35" s="22"/>
      <c r="B35" s="88">
        <v>2021</v>
      </c>
      <c r="C35" s="327">
        <v>8071.0999999999995</v>
      </c>
      <c r="D35" s="144">
        <v>1340.5</v>
      </c>
      <c r="E35" s="144">
        <v>1130.5</v>
      </c>
      <c r="F35" s="144">
        <v>892.59999999999991</v>
      </c>
      <c r="G35" s="144">
        <v>1737.8</v>
      </c>
      <c r="H35" s="144">
        <v>1247</v>
      </c>
      <c r="I35" s="144">
        <v>1722.7</v>
      </c>
      <c r="J35" s="144"/>
      <c r="K35" s="144"/>
      <c r="L35" s="144"/>
      <c r="M35" s="144"/>
      <c r="N35" s="144"/>
      <c r="O35" s="144"/>
      <c r="P35" s="300"/>
    </row>
    <row r="36" spans="1:16" ht="12.75">
      <c r="A36" s="133"/>
      <c r="B36" s="87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5" t="s">
        <v>152</v>
      </c>
    </row>
    <row r="37" spans="1:16" ht="12.75">
      <c r="A37" s="67" t="s">
        <v>317</v>
      </c>
      <c r="B37" s="87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</row>
    <row r="38" spans="1:16" ht="18" customHeight="1">
      <c r="A38" s="337" t="s">
        <v>57</v>
      </c>
      <c r="B38" s="367" t="s">
        <v>89</v>
      </c>
      <c r="C38" s="367" t="s">
        <v>470</v>
      </c>
      <c r="D38" s="317" t="s">
        <v>175</v>
      </c>
      <c r="E38" s="317" t="s">
        <v>176</v>
      </c>
      <c r="F38" s="317" t="s">
        <v>177</v>
      </c>
      <c r="G38" s="317" t="s">
        <v>178</v>
      </c>
      <c r="H38" s="317" t="s">
        <v>179</v>
      </c>
      <c r="I38" s="317" t="s">
        <v>180</v>
      </c>
      <c r="J38" s="317" t="s">
        <v>181</v>
      </c>
      <c r="K38" s="317" t="s">
        <v>296</v>
      </c>
      <c r="L38" s="317" t="s">
        <v>297</v>
      </c>
      <c r="M38" s="317" t="s">
        <v>298</v>
      </c>
      <c r="N38" s="317" t="s">
        <v>173</v>
      </c>
      <c r="O38" s="317" t="s">
        <v>174</v>
      </c>
      <c r="P38" s="337" t="s">
        <v>435</v>
      </c>
    </row>
    <row r="39" spans="1:16" ht="13.5" customHeight="1">
      <c r="A39" s="138" t="s">
        <v>252</v>
      </c>
      <c r="B39" s="87">
        <v>2020</v>
      </c>
      <c r="C39" s="327">
        <v>32108.899999999998</v>
      </c>
      <c r="D39" s="144">
        <v>2801.5</v>
      </c>
      <c r="E39" s="144">
        <v>3976.5</v>
      </c>
      <c r="F39" s="144">
        <v>5688.9</v>
      </c>
      <c r="G39" s="144">
        <v>9922.5499999999993</v>
      </c>
      <c r="H39" s="144">
        <v>7775.05</v>
      </c>
      <c r="I39" s="144">
        <v>1944.4</v>
      </c>
      <c r="J39" s="144">
        <v>1252.5</v>
      </c>
      <c r="K39" s="144">
        <v>1691</v>
      </c>
      <c r="L39" s="144">
        <v>2454.1999999999998</v>
      </c>
      <c r="M39" s="144">
        <v>2540.75</v>
      </c>
      <c r="N39" s="144">
        <v>1687.25</v>
      </c>
      <c r="O39" s="144">
        <v>2036.75</v>
      </c>
      <c r="P39" s="300">
        <v>43771.349999999991</v>
      </c>
    </row>
    <row r="40" spans="1:16" ht="13.5" customHeight="1">
      <c r="A40" s="22"/>
      <c r="B40" s="87">
        <v>2021</v>
      </c>
      <c r="C40" s="327">
        <v>32687.93</v>
      </c>
      <c r="D40" s="144">
        <v>2912.63</v>
      </c>
      <c r="E40" s="144">
        <v>3995.3500000000004</v>
      </c>
      <c r="F40" s="144">
        <v>5970.5</v>
      </c>
      <c r="G40" s="144">
        <v>9595.9500000000007</v>
      </c>
      <c r="H40" s="144">
        <v>6905.55</v>
      </c>
      <c r="I40" s="144">
        <v>3307.95</v>
      </c>
      <c r="J40" s="144"/>
      <c r="K40" s="144"/>
      <c r="L40" s="144"/>
      <c r="M40" s="144"/>
      <c r="N40" s="144"/>
      <c r="O40" s="144"/>
      <c r="P40" s="300"/>
    </row>
    <row r="41" spans="1:16" ht="13.5" customHeight="1">
      <c r="A41" s="138" t="s">
        <v>281</v>
      </c>
      <c r="B41" s="87">
        <v>2020</v>
      </c>
      <c r="C41" s="327">
        <v>266439.65000000002</v>
      </c>
      <c r="D41" s="144">
        <v>14652.3</v>
      </c>
      <c r="E41" s="144">
        <v>19728.25</v>
      </c>
      <c r="F41" s="144">
        <v>34701</v>
      </c>
      <c r="G41" s="144">
        <v>81035.199999999997</v>
      </c>
      <c r="H41" s="144">
        <v>78518.5</v>
      </c>
      <c r="I41" s="144">
        <v>37804.400000000001</v>
      </c>
      <c r="J41" s="144">
        <v>11442.9</v>
      </c>
      <c r="K41" s="144">
        <v>6083.5</v>
      </c>
      <c r="L41" s="144">
        <v>8051</v>
      </c>
      <c r="M41" s="144">
        <v>10892.65</v>
      </c>
      <c r="N41" s="144">
        <v>12961.3</v>
      </c>
      <c r="O41" s="144">
        <v>16023.75</v>
      </c>
      <c r="P41" s="300">
        <v>331894.75000000006</v>
      </c>
    </row>
    <row r="42" spans="1:16" ht="13.5" customHeight="1">
      <c r="A42" s="22"/>
      <c r="B42" s="139">
        <v>2021</v>
      </c>
      <c r="C42" s="327">
        <v>259932.44899999999</v>
      </c>
      <c r="D42" s="144">
        <v>16727.398999999998</v>
      </c>
      <c r="E42" s="144">
        <v>20032</v>
      </c>
      <c r="F42" s="144">
        <v>30585.1</v>
      </c>
      <c r="G42" s="144">
        <v>70050.850000000006</v>
      </c>
      <c r="H42" s="144">
        <v>80657.850000000006</v>
      </c>
      <c r="I42" s="144">
        <v>41879.25</v>
      </c>
      <c r="J42" s="144"/>
      <c r="K42" s="144"/>
      <c r="L42" s="144"/>
      <c r="M42" s="144"/>
      <c r="N42" s="144"/>
      <c r="O42" s="144"/>
      <c r="P42" s="300"/>
    </row>
    <row r="43" spans="1:16" ht="13.5" customHeight="1">
      <c r="A43" s="138" t="s">
        <v>287</v>
      </c>
      <c r="B43" s="139">
        <v>2020</v>
      </c>
      <c r="C43" s="327">
        <v>51804.600000000006</v>
      </c>
      <c r="D43" s="144">
        <v>8925.4500000000007</v>
      </c>
      <c r="E43" s="144">
        <v>8539</v>
      </c>
      <c r="F43" s="144">
        <v>8381.4500000000007</v>
      </c>
      <c r="G43" s="144">
        <v>7998.05</v>
      </c>
      <c r="H43" s="144">
        <v>9136.15</v>
      </c>
      <c r="I43" s="144">
        <v>8824.5</v>
      </c>
      <c r="J43" s="144">
        <v>8723</v>
      </c>
      <c r="K43" s="144">
        <v>8896.9500000000007</v>
      </c>
      <c r="L43" s="144">
        <v>8733.75</v>
      </c>
      <c r="M43" s="144">
        <v>9839.0499999999993</v>
      </c>
      <c r="N43" s="144">
        <v>10326.799999999999</v>
      </c>
      <c r="O43" s="144">
        <v>10042.65</v>
      </c>
      <c r="P43" s="300">
        <v>108366.8</v>
      </c>
    </row>
    <row r="44" spans="1:16" ht="13.5" customHeight="1">
      <c r="A44" s="22"/>
      <c r="B44" s="139">
        <v>2021</v>
      </c>
      <c r="C44" s="327">
        <v>49544.85</v>
      </c>
      <c r="D44" s="144">
        <v>8072</v>
      </c>
      <c r="E44" s="144">
        <v>8117.5</v>
      </c>
      <c r="F44" s="144">
        <v>8218.6</v>
      </c>
      <c r="G44" s="144">
        <v>7681.5</v>
      </c>
      <c r="H44" s="144">
        <v>8813.35</v>
      </c>
      <c r="I44" s="144">
        <v>8641.9</v>
      </c>
      <c r="J44" s="144"/>
      <c r="K44" s="144"/>
      <c r="L44" s="144"/>
      <c r="M44" s="144"/>
      <c r="N44" s="144"/>
      <c r="O44" s="144"/>
      <c r="P44" s="300"/>
    </row>
    <row r="45" spans="1:16" ht="13.5" customHeight="1">
      <c r="A45" s="138" t="s">
        <v>206</v>
      </c>
      <c r="B45" s="139">
        <v>2020</v>
      </c>
      <c r="C45" s="327">
        <v>7038.85</v>
      </c>
      <c r="D45" s="144">
        <v>1096</v>
      </c>
      <c r="E45" s="144">
        <v>1029.7</v>
      </c>
      <c r="F45" s="144">
        <v>1110.55</v>
      </c>
      <c r="G45" s="144">
        <v>1215.3499999999999</v>
      </c>
      <c r="H45" s="144">
        <v>1384</v>
      </c>
      <c r="I45" s="144">
        <v>1203.25</v>
      </c>
      <c r="J45" s="144">
        <v>1226.4000000000001</v>
      </c>
      <c r="K45" s="144">
        <v>919</v>
      </c>
      <c r="L45" s="144">
        <v>1156.5999999999999</v>
      </c>
      <c r="M45" s="144">
        <v>1527.6</v>
      </c>
      <c r="N45" s="144">
        <v>1669.85</v>
      </c>
      <c r="O45" s="144">
        <v>769.6</v>
      </c>
      <c r="P45" s="300">
        <v>14307.900000000001</v>
      </c>
    </row>
    <row r="46" spans="1:16" ht="13.5" customHeight="1">
      <c r="A46" s="22"/>
      <c r="B46" s="139">
        <v>2021</v>
      </c>
      <c r="C46" s="327">
        <v>5206.17</v>
      </c>
      <c r="D46" s="144">
        <v>1027.25</v>
      </c>
      <c r="E46" s="144">
        <v>706.55</v>
      </c>
      <c r="F46" s="144">
        <v>828.75</v>
      </c>
      <c r="G46" s="144">
        <v>930.97</v>
      </c>
      <c r="H46" s="144">
        <v>828.9</v>
      </c>
      <c r="I46" s="144">
        <v>883.75</v>
      </c>
      <c r="J46" s="144"/>
      <c r="K46" s="144"/>
      <c r="L46" s="144"/>
      <c r="M46" s="144"/>
      <c r="N46" s="144"/>
      <c r="O46" s="144"/>
      <c r="P46" s="300"/>
    </row>
    <row r="47" spans="1:16" ht="13.5" customHeight="1">
      <c r="A47" s="138" t="s">
        <v>267</v>
      </c>
      <c r="B47" s="139">
        <v>2020</v>
      </c>
      <c r="C47" s="327">
        <v>12455.5</v>
      </c>
      <c r="D47" s="144">
        <v>0</v>
      </c>
      <c r="E47" s="144">
        <v>14.5</v>
      </c>
      <c r="F47" s="144">
        <v>133.80000000000001</v>
      </c>
      <c r="G47" s="144">
        <v>3224.6</v>
      </c>
      <c r="H47" s="144">
        <v>5929.1</v>
      </c>
      <c r="I47" s="144">
        <v>3153.5</v>
      </c>
      <c r="J47" s="144">
        <v>1095</v>
      </c>
      <c r="K47" s="144">
        <v>237.5</v>
      </c>
      <c r="L47" s="144">
        <v>37</v>
      </c>
      <c r="M47" s="144">
        <v>0</v>
      </c>
      <c r="N47" s="144">
        <v>0</v>
      </c>
      <c r="O47" s="144">
        <v>0</v>
      </c>
      <c r="P47" s="300">
        <v>13825</v>
      </c>
    </row>
    <row r="48" spans="1:16" ht="13.5" customHeight="1">
      <c r="A48" s="22"/>
      <c r="B48" s="139">
        <v>2021</v>
      </c>
      <c r="C48" s="327">
        <v>11125.7</v>
      </c>
      <c r="D48" s="144">
        <v>1.5</v>
      </c>
      <c r="E48" s="144">
        <v>6.5</v>
      </c>
      <c r="F48" s="144">
        <v>97.5</v>
      </c>
      <c r="G48" s="144">
        <v>2985</v>
      </c>
      <c r="H48" s="144">
        <v>5018.95</v>
      </c>
      <c r="I48" s="144">
        <v>3016.25</v>
      </c>
      <c r="J48" s="144"/>
      <c r="K48" s="144"/>
      <c r="L48" s="144"/>
      <c r="M48" s="144"/>
      <c r="N48" s="144"/>
      <c r="O48" s="144"/>
      <c r="P48" s="300"/>
    </row>
    <row r="49" spans="1:16" ht="13.5" customHeight="1">
      <c r="A49" s="138" t="s">
        <v>300</v>
      </c>
      <c r="B49" s="139">
        <v>2020</v>
      </c>
      <c r="C49" s="327">
        <v>22508.85</v>
      </c>
      <c r="D49" s="144">
        <v>132</v>
      </c>
      <c r="E49" s="144">
        <v>377</v>
      </c>
      <c r="F49" s="144">
        <v>1279</v>
      </c>
      <c r="G49" s="144">
        <v>4899.05</v>
      </c>
      <c r="H49" s="144">
        <v>9710.75</v>
      </c>
      <c r="I49" s="144">
        <v>6111.05</v>
      </c>
      <c r="J49" s="144">
        <v>2193.5</v>
      </c>
      <c r="K49" s="144">
        <v>509.5</v>
      </c>
      <c r="L49" s="144">
        <v>123</v>
      </c>
      <c r="M49" s="144">
        <v>127</v>
      </c>
      <c r="N49" s="144">
        <v>156</v>
      </c>
      <c r="O49" s="144">
        <v>160</v>
      </c>
      <c r="P49" s="300">
        <v>25777.85</v>
      </c>
    </row>
    <row r="50" spans="1:16" ht="13.5" customHeight="1">
      <c r="A50" s="22"/>
      <c r="B50" s="139">
        <v>2021</v>
      </c>
      <c r="C50" s="327">
        <v>20391.2</v>
      </c>
      <c r="D50" s="144">
        <v>138.5</v>
      </c>
      <c r="E50" s="144">
        <v>443.5</v>
      </c>
      <c r="F50" s="144">
        <v>1261.5</v>
      </c>
      <c r="G50" s="144">
        <v>4253.75</v>
      </c>
      <c r="H50" s="144">
        <v>7865.95</v>
      </c>
      <c r="I50" s="144">
        <v>6428</v>
      </c>
      <c r="J50" s="144"/>
      <c r="K50" s="144"/>
      <c r="L50" s="144"/>
      <c r="M50" s="144"/>
      <c r="N50" s="144"/>
      <c r="O50" s="144"/>
      <c r="P50" s="300"/>
    </row>
    <row r="51" spans="1:16" ht="13.5" customHeight="1">
      <c r="A51" s="138" t="s">
        <v>45</v>
      </c>
      <c r="B51" s="139">
        <v>2020</v>
      </c>
      <c r="C51" s="327">
        <v>3522.5</v>
      </c>
      <c r="D51" s="144">
        <v>722</v>
      </c>
      <c r="E51" s="144">
        <v>809.6</v>
      </c>
      <c r="F51" s="144">
        <v>422.9</v>
      </c>
      <c r="G51" s="144">
        <v>397</v>
      </c>
      <c r="H51" s="144">
        <v>549</v>
      </c>
      <c r="I51" s="144">
        <v>622</v>
      </c>
      <c r="J51" s="144">
        <v>528</v>
      </c>
      <c r="K51" s="144">
        <v>772</v>
      </c>
      <c r="L51" s="144">
        <v>351.5</v>
      </c>
      <c r="M51" s="144">
        <v>310</v>
      </c>
      <c r="N51" s="144">
        <v>756</v>
      </c>
      <c r="O51" s="144">
        <v>381</v>
      </c>
      <c r="P51" s="300">
        <v>6621</v>
      </c>
    </row>
    <row r="52" spans="1:16" ht="13.5" customHeight="1">
      <c r="A52" s="22"/>
      <c r="B52" s="139">
        <v>2021</v>
      </c>
      <c r="C52" s="327">
        <v>2922</v>
      </c>
      <c r="D52" s="144">
        <v>508</v>
      </c>
      <c r="E52" s="144">
        <v>755</v>
      </c>
      <c r="F52" s="144">
        <v>345</v>
      </c>
      <c r="G52" s="144">
        <v>431</v>
      </c>
      <c r="H52" s="144">
        <v>464</v>
      </c>
      <c r="I52" s="144">
        <v>419</v>
      </c>
      <c r="J52" s="144"/>
      <c r="K52" s="144"/>
      <c r="L52" s="144"/>
      <c r="M52" s="144"/>
      <c r="N52" s="144"/>
      <c r="O52" s="144"/>
      <c r="P52" s="300"/>
    </row>
    <row r="53" spans="1:16" ht="13.5" customHeight="1">
      <c r="A53" s="138" t="s">
        <v>253</v>
      </c>
      <c r="B53" s="139">
        <v>2020</v>
      </c>
      <c r="C53" s="327">
        <v>31190.75</v>
      </c>
      <c r="D53" s="144">
        <v>1857.25</v>
      </c>
      <c r="E53" s="144">
        <v>1475</v>
      </c>
      <c r="F53" s="144">
        <v>2344</v>
      </c>
      <c r="G53" s="144">
        <v>3419.25</v>
      </c>
      <c r="H53" s="144">
        <v>9253.5</v>
      </c>
      <c r="I53" s="144">
        <v>12841.75</v>
      </c>
      <c r="J53" s="144">
        <v>12325.75</v>
      </c>
      <c r="K53" s="144">
        <v>12675.75</v>
      </c>
      <c r="L53" s="144">
        <v>6268.1</v>
      </c>
      <c r="M53" s="144">
        <v>3356</v>
      </c>
      <c r="N53" s="144">
        <v>1691.5</v>
      </c>
      <c r="O53" s="144">
        <v>970</v>
      </c>
      <c r="P53" s="300">
        <v>68477.850000000006</v>
      </c>
    </row>
    <row r="54" spans="1:16" ht="13.5" customHeight="1">
      <c r="A54" s="22"/>
      <c r="B54" s="139">
        <v>2021</v>
      </c>
      <c r="C54" s="327">
        <v>32784.25</v>
      </c>
      <c r="D54" s="144">
        <v>1881</v>
      </c>
      <c r="E54" s="144">
        <v>2100.5</v>
      </c>
      <c r="F54" s="144">
        <v>2758.5</v>
      </c>
      <c r="G54" s="144">
        <v>4946</v>
      </c>
      <c r="H54" s="144">
        <v>7580.25</v>
      </c>
      <c r="I54" s="144">
        <v>13518</v>
      </c>
      <c r="J54" s="144"/>
      <c r="K54" s="144"/>
      <c r="L54" s="144"/>
      <c r="M54" s="144"/>
      <c r="N54" s="144"/>
      <c r="O54" s="144"/>
      <c r="P54" s="300"/>
    </row>
    <row r="55" spans="1:16" ht="13.5" customHeight="1">
      <c r="A55" s="138" t="s">
        <v>117</v>
      </c>
      <c r="B55" s="139">
        <v>2020</v>
      </c>
      <c r="C55" s="327">
        <v>195</v>
      </c>
      <c r="D55" s="144">
        <v>46</v>
      </c>
      <c r="E55" s="144">
        <v>91</v>
      </c>
      <c r="F55" s="144">
        <v>14</v>
      </c>
      <c r="G55" s="144">
        <v>36</v>
      </c>
      <c r="H55" s="144">
        <v>8</v>
      </c>
      <c r="I55" s="144">
        <v>0</v>
      </c>
      <c r="J55" s="144">
        <v>53</v>
      </c>
      <c r="K55" s="144">
        <v>207</v>
      </c>
      <c r="L55" s="144">
        <v>453</v>
      </c>
      <c r="M55" s="144">
        <v>2925.5</v>
      </c>
      <c r="N55" s="144">
        <v>2081.5</v>
      </c>
      <c r="O55" s="144">
        <v>220.5</v>
      </c>
      <c r="P55" s="300">
        <v>6135.5</v>
      </c>
    </row>
    <row r="56" spans="1:16" ht="13.5" customHeight="1">
      <c r="A56" s="22"/>
      <c r="B56" s="139">
        <v>2021</v>
      </c>
      <c r="C56" s="327">
        <v>244</v>
      </c>
      <c r="D56" s="144">
        <v>127</v>
      </c>
      <c r="E56" s="144">
        <v>44</v>
      </c>
      <c r="F56" s="144">
        <v>41.5</v>
      </c>
      <c r="G56" s="144">
        <v>19.5</v>
      </c>
      <c r="H56" s="144">
        <v>5</v>
      </c>
      <c r="I56" s="144">
        <v>7</v>
      </c>
      <c r="J56" s="144"/>
      <c r="K56" s="144"/>
      <c r="L56" s="144"/>
      <c r="M56" s="144"/>
      <c r="N56" s="144"/>
      <c r="O56" s="144"/>
      <c r="P56" s="300"/>
    </row>
    <row r="57" spans="1:16" ht="13.5" customHeight="1">
      <c r="A57" s="138" t="s">
        <v>263</v>
      </c>
      <c r="B57" s="139">
        <v>2020</v>
      </c>
      <c r="C57" s="327">
        <v>40074.199999999997</v>
      </c>
      <c r="D57" s="144">
        <v>1</v>
      </c>
      <c r="E57" s="144">
        <v>0</v>
      </c>
      <c r="F57" s="144">
        <v>146</v>
      </c>
      <c r="G57" s="144">
        <v>9434.5</v>
      </c>
      <c r="H57" s="144">
        <v>13030.5</v>
      </c>
      <c r="I57" s="144">
        <v>17462.2</v>
      </c>
      <c r="J57" s="144">
        <v>10364</v>
      </c>
      <c r="K57" s="144">
        <v>3311.75</v>
      </c>
      <c r="L57" s="144">
        <v>372</v>
      </c>
      <c r="M57" s="144">
        <v>34</v>
      </c>
      <c r="N57" s="144">
        <v>32</v>
      </c>
      <c r="O57" s="144">
        <v>27</v>
      </c>
      <c r="P57" s="300">
        <v>54214.95</v>
      </c>
    </row>
    <row r="58" spans="1:16" ht="13.5" customHeight="1">
      <c r="A58" s="22"/>
      <c r="B58" s="139">
        <v>2021</v>
      </c>
      <c r="C58" s="327">
        <v>34512.25</v>
      </c>
      <c r="D58" s="144">
        <v>48</v>
      </c>
      <c r="E58" s="144">
        <v>46</v>
      </c>
      <c r="F58" s="144">
        <v>128</v>
      </c>
      <c r="G58" s="144">
        <v>9563</v>
      </c>
      <c r="H58" s="144">
        <v>8575.5</v>
      </c>
      <c r="I58" s="144">
        <v>16151.75</v>
      </c>
      <c r="J58" s="144"/>
      <c r="K58" s="144"/>
      <c r="L58" s="144"/>
      <c r="M58" s="144"/>
      <c r="N58" s="144"/>
      <c r="O58" s="144"/>
      <c r="P58" s="300"/>
    </row>
    <row r="59" spans="1:16" ht="13.5" customHeight="1">
      <c r="A59" s="138" t="s">
        <v>264</v>
      </c>
      <c r="B59" s="139">
        <v>2020</v>
      </c>
      <c r="C59" s="327">
        <v>15110</v>
      </c>
      <c r="D59" s="144">
        <v>1.5</v>
      </c>
      <c r="E59" s="144">
        <v>23</v>
      </c>
      <c r="F59" s="144">
        <v>193</v>
      </c>
      <c r="G59" s="144">
        <v>1580</v>
      </c>
      <c r="H59" s="144">
        <v>4974.5</v>
      </c>
      <c r="I59" s="144">
        <v>8338</v>
      </c>
      <c r="J59" s="144">
        <v>8956.5</v>
      </c>
      <c r="K59" s="144">
        <v>9257</v>
      </c>
      <c r="L59" s="144">
        <v>4538</v>
      </c>
      <c r="M59" s="144">
        <v>3071.5</v>
      </c>
      <c r="N59" s="144">
        <v>1512.25</v>
      </c>
      <c r="O59" s="144">
        <v>47</v>
      </c>
      <c r="P59" s="300">
        <v>42492.25</v>
      </c>
    </row>
    <row r="60" spans="1:16" ht="13.5" customHeight="1">
      <c r="A60" s="22"/>
      <c r="B60" s="139">
        <v>2021</v>
      </c>
      <c r="C60" s="327">
        <v>13981</v>
      </c>
      <c r="D60" s="144">
        <v>25</v>
      </c>
      <c r="E60" s="144">
        <v>458</v>
      </c>
      <c r="F60" s="144">
        <v>112</v>
      </c>
      <c r="G60" s="144">
        <v>1402</v>
      </c>
      <c r="H60" s="144">
        <v>3949.5</v>
      </c>
      <c r="I60" s="144">
        <v>8034.5</v>
      </c>
      <c r="J60" s="144"/>
      <c r="K60" s="144"/>
      <c r="L60" s="144"/>
      <c r="M60" s="144"/>
      <c r="N60" s="144"/>
      <c r="O60" s="144"/>
      <c r="P60" s="300"/>
    </row>
    <row r="61" spans="1:16" ht="13.5" customHeight="1">
      <c r="A61" s="138" t="s">
        <v>82</v>
      </c>
      <c r="B61" s="139">
        <v>2020</v>
      </c>
      <c r="C61" s="327">
        <v>38216.488821882922</v>
      </c>
      <c r="D61" s="144">
        <v>7522.045041947089</v>
      </c>
      <c r="E61" s="144">
        <v>6328.83</v>
      </c>
      <c r="F61" s="144">
        <v>5274.4187799358288</v>
      </c>
      <c r="G61" s="144">
        <v>5478.7800000000007</v>
      </c>
      <c r="H61" s="144">
        <v>6868.0199999999995</v>
      </c>
      <c r="I61" s="144">
        <v>6744.3950000000004</v>
      </c>
      <c r="J61" s="144">
        <v>6305.3190000000004</v>
      </c>
      <c r="K61" s="144">
        <v>6581.52</v>
      </c>
      <c r="L61" s="144">
        <v>7339.58</v>
      </c>
      <c r="M61" s="144">
        <v>8777.6990987676436</v>
      </c>
      <c r="N61" s="144">
        <v>8515.6170000000002</v>
      </c>
      <c r="O61" s="144">
        <v>8853.4399999999987</v>
      </c>
      <c r="P61" s="300">
        <v>84589.663920650564</v>
      </c>
    </row>
    <row r="62" spans="1:16" ht="13.5" customHeight="1">
      <c r="A62" s="138" t="s">
        <v>56</v>
      </c>
      <c r="B62" s="139">
        <v>2021</v>
      </c>
      <c r="C62" s="327">
        <v>31378.526383412463</v>
      </c>
      <c r="D62" s="144">
        <v>5945.37</v>
      </c>
      <c r="E62" s="144">
        <v>6808.76</v>
      </c>
      <c r="F62" s="144">
        <v>4712.6899999999996</v>
      </c>
      <c r="G62" s="144">
        <v>3845.26</v>
      </c>
      <c r="H62" s="144">
        <v>5042.9463834124626</v>
      </c>
      <c r="I62" s="144">
        <v>5023.5</v>
      </c>
      <c r="J62" s="144"/>
      <c r="K62" s="144"/>
      <c r="L62" s="144"/>
      <c r="M62" s="144"/>
      <c r="N62" s="144"/>
      <c r="O62" s="144"/>
      <c r="P62" s="300"/>
    </row>
    <row r="63" spans="1:16" ht="13.5" customHeight="1">
      <c r="A63" s="138" t="s">
        <v>46</v>
      </c>
      <c r="B63" s="139">
        <v>2020</v>
      </c>
      <c r="C63" s="327">
        <v>17700</v>
      </c>
      <c r="D63" s="144">
        <v>2761</v>
      </c>
      <c r="E63" s="144">
        <v>2899</v>
      </c>
      <c r="F63" s="144">
        <v>3044</v>
      </c>
      <c r="G63" s="144">
        <v>3025</v>
      </c>
      <c r="H63" s="144">
        <v>3153</v>
      </c>
      <c r="I63" s="144">
        <v>2818</v>
      </c>
      <c r="J63" s="144">
        <v>2844.5</v>
      </c>
      <c r="K63" s="144">
        <v>3322</v>
      </c>
      <c r="L63" s="144">
        <v>3021.5</v>
      </c>
      <c r="M63" s="144">
        <v>3022</v>
      </c>
      <c r="N63" s="144">
        <v>2956.5</v>
      </c>
      <c r="O63" s="144">
        <v>2856.5</v>
      </c>
      <c r="P63" s="300">
        <v>35723</v>
      </c>
    </row>
    <row r="64" spans="1:16" ht="13.5" customHeight="1">
      <c r="A64" s="22"/>
      <c r="B64" s="139">
        <v>2021</v>
      </c>
      <c r="C64" s="327">
        <v>18966</v>
      </c>
      <c r="D64" s="144">
        <v>3293.5</v>
      </c>
      <c r="E64" s="144">
        <v>3046</v>
      </c>
      <c r="F64" s="144">
        <v>3022.5</v>
      </c>
      <c r="G64" s="144">
        <v>3092</v>
      </c>
      <c r="H64" s="144">
        <v>3431.5</v>
      </c>
      <c r="I64" s="144">
        <v>3080.5</v>
      </c>
      <c r="J64" s="144"/>
      <c r="K64" s="144"/>
      <c r="L64" s="144"/>
      <c r="M64" s="144"/>
      <c r="N64" s="144"/>
      <c r="O64" s="144"/>
      <c r="P64" s="300"/>
    </row>
    <row r="65" spans="1:16" ht="13.5" customHeight="1">
      <c r="A65" s="138" t="s">
        <v>47</v>
      </c>
      <c r="B65" s="139">
        <v>2020</v>
      </c>
      <c r="C65" s="327">
        <v>18437.5</v>
      </c>
      <c r="D65" s="144">
        <v>110</v>
      </c>
      <c r="E65" s="144">
        <v>250.5</v>
      </c>
      <c r="F65" s="144">
        <v>711</v>
      </c>
      <c r="G65" s="144">
        <v>9272.5</v>
      </c>
      <c r="H65" s="144">
        <v>7733.5</v>
      </c>
      <c r="I65" s="144">
        <v>360</v>
      </c>
      <c r="J65" s="144">
        <v>192</v>
      </c>
      <c r="K65" s="144">
        <v>146</v>
      </c>
      <c r="L65" s="144">
        <v>113</v>
      </c>
      <c r="M65" s="144">
        <v>75</v>
      </c>
      <c r="N65" s="144">
        <v>102</v>
      </c>
      <c r="O65" s="144">
        <v>99</v>
      </c>
      <c r="P65" s="300">
        <v>19164.5</v>
      </c>
    </row>
    <row r="66" spans="1:16" ht="13.5" customHeight="1">
      <c r="A66" s="22"/>
      <c r="B66" s="139">
        <v>2021</v>
      </c>
      <c r="C66" s="327">
        <v>17248</v>
      </c>
      <c r="D66" s="144">
        <v>121</v>
      </c>
      <c r="E66" s="144">
        <v>240</v>
      </c>
      <c r="F66" s="144">
        <v>668</v>
      </c>
      <c r="G66" s="144">
        <v>8510.5</v>
      </c>
      <c r="H66" s="144">
        <v>7135.5</v>
      </c>
      <c r="I66" s="144">
        <v>573</v>
      </c>
      <c r="J66" s="144"/>
      <c r="K66" s="144"/>
      <c r="L66" s="144"/>
      <c r="M66" s="144"/>
      <c r="N66" s="144"/>
      <c r="O66" s="144"/>
      <c r="P66" s="300"/>
    </row>
    <row r="67" spans="1:16" ht="13.5" customHeight="1">
      <c r="A67" s="138" t="s">
        <v>48</v>
      </c>
      <c r="B67" s="139">
        <v>2020</v>
      </c>
      <c r="C67" s="327">
        <v>103485.51</v>
      </c>
      <c r="D67" s="237">
        <v>128.5</v>
      </c>
      <c r="E67" s="237">
        <v>478.5</v>
      </c>
      <c r="F67" s="237">
        <v>2916</v>
      </c>
      <c r="G67" s="237">
        <v>51178.5</v>
      </c>
      <c r="H67" s="237">
        <v>42453.5</v>
      </c>
      <c r="I67" s="237">
        <v>6330.51</v>
      </c>
      <c r="J67" s="237">
        <v>1219.5</v>
      </c>
      <c r="K67" s="237">
        <v>659.5</v>
      </c>
      <c r="L67" s="237">
        <v>249.5</v>
      </c>
      <c r="M67" s="237">
        <v>103.5</v>
      </c>
      <c r="N67" s="237">
        <v>100.5</v>
      </c>
      <c r="O67" s="237">
        <v>91.5</v>
      </c>
      <c r="P67" s="300">
        <v>105909.51</v>
      </c>
    </row>
    <row r="68" spans="1:16" ht="13.5" customHeight="1">
      <c r="A68" s="68"/>
      <c r="B68" s="142">
        <v>2021</v>
      </c>
      <c r="C68" s="330">
        <v>109523.2</v>
      </c>
      <c r="D68" s="145">
        <v>112.5</v>
      </c>
      <c r="E68" s="145">
        <v>385.5</v>
      </c>
      <c r="F68" s="145">
        <v>1668</v>
      </c>
      <c r="G68" s="145">
        <v>42758.7</v>
      </c>
      <c r="H68" s="145">
        <v>50897.5</v>
      </c>
      <c r="I68" s="145">
        <v>13701</v>
      </c>
      <c r="J68" s="145"/>
      <c r="K68" s="145"/>
      <c r="L68" s="145"/>
      <c r="M68" s="145"/>
      <c r="N68" s="145"/>
      <c r="O68" s="145"/>
      <c r="P68" s="336"/>
    </row>
    <row r="69" spans="1:16" ht="9" customHeight="1">
      <c r="A69" s="137" t="s">
        <v>91</v>
      </c>
      <c r="B69" s="147"/>
      <c r="C69" s="148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50"/>
    </row>
    <row r="70" spans="1:16" ht="9" customHeight="1">
      <c r="A70" s="137" t="s">
        <v>98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</row>
    <row r="71" spans="1:16" ht="9" customHeight="1">
      <c r="A71" s="128" t="s">
        <v>360</v>
      </c>
      <c r="B71" s="128"/>
      <c r="C71" s="128"/>
      <c r="D71" s="128"/>
      <c r="E71" s="128"/>
      <c r="F71" s="128"/>
      <c r="G71" s="128"/>
      <c r="H71" s="137"/>
      <c r="I71" s="137"/>
      <c r="J71" s="137"/>
      <c r="K71" s="137"/>
      <c r="L71" s="137"/>
      <c r="M71" s="137"/>
      <c r="N71" s="137"/>
      <c r="O71" s="137"/>
      <c r="P71" s="137"/>
    </row>
    <row r="72" spans="1:16" ht="17.25" customHeight="1">
      <c r="A72" s="161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topLeftCell="K1" zoomScaleNormal="100" workbookViewId="0">
      <selection activeCell="BE6" sqref="BE6"/>
    </sheetView>
  </sheetViews>
  <sheetFormatPr baseColWidth="10" defaultColWidth="10.7109375" defaultRowHeight="17.25" customHeight="1"/>
  <cols>
    <col min="1" max="1" width="10.7109375" style="162" customWidth="1"/>
    <col min="2" max="2" width="6" style="162" customWidth="1"/>
    <col min="3" max="3" width="5.140625" style="162" customWidth="1"/>
    <col min="4" max="4" width="6.85546875" style="162" customWidth="1"/>
    <col min="5" max="5" width="6.140625" style="162" customWidth="1"/>
    <col min="6" max="6" width="6.7109375" style="162" customWidth="1"/>
    <col min="7" max="7" width="6.140625" style="162" customWidth="1"/>
    <col min="8" max="8" width="5.7109375" style="162" customWidth="1"/>
    <col min="9" max="9" width="7.42578125" style="162" customWidth="1"/>
    <col min="10" max="10" width="7.140625" style="162" customWidth="1"/>
    <col min="11" max="11" width="5.85546875" style="162" customWidth="1"/>
    <col min="12" max="12" width="5.42578125" style="162" customWidth="1"/>
    <col min="13" max="13" width="6.140625" style="162" customWidth="1"/>
    <col min="14" max="14" width="10.7109375" style="162" customWidth="1"/>
    <col min="15" max="15" width="5.140625" style="162" customWidth="1"/>
    <col min="16" max="17" width="6.28515625" style="162" customWidth="1"/>
    <col min="18" max="18" width="6.7109375" style="162" customWidth="1"/>
    <col min="19" max="19" width="6.85546875" style="162" customWidth="1"/>
    <col min="20" max="20" width="5.85546875" style="162" customWidth="1"/>
    <col min="21" max="21" width="6.140625" style="162" customWidth="1"/>
    <col min="22" max="22" width="6.28515625" style="162" customWidth="1"/>
    <col min="23" max="23" width="6.140625" style="162" customWidth="1"/>
    <col min="24" max="24" width="6.7109375" style="162" customWidth="1"/>
    <col min="25" max="25" width="6" style="162" customWidth="1"/>
    <col min="26" max="26" width="6.42578125" style="162" bestFit="1" customWidth="1"/>
    <col min="27" max="27" width="10.7109375" style="162" customWidth="1"/>
    <col min="28" max="28" width="5.140625" style="162" customWidth="1"/>
    <col min="29" max="29" width="6.7109375" style="162" customWidth="1"/>
    <col min="30" max="30" width="6.85546875" style="162" customWidth="1"/>
    <col min="31" max="31" width="7" style="162" customWidth="1"/>
    <col min="32" max="32" width="6.28515625" style="162" customWidth="1"/>
    <col min="33" max="34" width="7" style="162" customWidth="1"/>
    <col min="35" max="35" width="6.42578125" style="162" customWidth="1"/>
    <col min="36" max="36" width="7.140625" style="162" customWidth="1"/>
    <col min="37" max="37" width="7" style="162" customWidth="1"/>
    <col min="38" max="38" width="6.7109375" style="162" customWidth="1"/>
    <col min="39" max="39" width="10.7109375" style="162" customWidth="1"/>
    <col min="40" max="40" width="4.7109375" style="162" customWidth="1"/>
    <col min="41" max="41" width="6.42578125" style="162" bestFit="1" customWidth="1"/>
    <col min="42" max="42" width="6.28515625" style="162" customWidth="1"/>
    <col min="43" max="43" width="6.85546875" style="162" customWidth="1"/>
    <col min="44" max="44" width="6.42578125" style="162" customWidth="1"/>
    <col min="45" max="45" width="6.140625" style="162" customWidth="1"/>
    <col min="46" max="46" width="5.42578125" style="162" bestFit="1" customWidth="1"/>
    <col min="47" max="47" width="5.85546875" style="162" customWidth="1"/>
    <col min="48" max="48" width="7.28515625" style="162" customWidth="1"/>
    <col min="49" max="49" width="6.140625" style="162" customWidth="1"/>
    <col min="50" max="50" width="6" style="162" customWidth="1"/>
    <col min="51" max="51" width="6.7109375" style="162" customWidth="1"/>
    <col min="52" max="52" width="10.7109375" style="162" customWidth="1"/>
    <col min="53" max="53" width="5.140625" style="162" customWidth="1"/>
    <col min="54" max="54" width="7.140625" style="162" customWidth="1"/>
    <col min="55" max="55" width="5.140625" style="162" customWidth="1"/>
    <col min="56" max="56" width="5.28515625" style="162" customWidth="1"/>
    <col min="57" max="57" width="7.28515625" style="162" customWidth="1"/>
    <col min="58" max="58" width="6.85546875" style="162" customWidth="1"/>
    <col min="59" max="59" width="6" style="162" customWidth="1"/>
    <col min="60" max="61" width="6.7109375" style="162" customWidth="1"/>
    <col min="62" max="63" width="6" style="162" customWidth="1"/>
    <col min="64" max="64" width="7" style="162" customWidth="1"/>
    <col min="65" max="65" width="6.28515625" style="162" customWidth="1"/>
    <col min="66" max="16384" width="10.7109375" style="162"/>
  </cols>
  <sheetData>
    <row r="1" spans="1:66" ht="16.5" customHeight="1">
      <c r="A1" s="178" t="s">
        <v>451</v>
      </c>
      <c r="B1" s="176"/>
      <c r="C1" s="176"/>
      <c r="D1" s="176"/>
      <c r="E1" s="24"/>
    </row>
    <row r="2" spans="1:66" ht="13.5">
      <c r="A2" s="15" t="s">
        <v>157</v>
      </c>
      <c r="B2" s="24"/>
      <c r="C2" s="24"/>
      <c r="D2" s="24"/>
      <c r="E2" s="24"/>
      <c r="N2" s="67" t="s">
        <v>316</v>
      </c>
      <c r="AA2" s="67" t="s">
        <v>316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67" t="s">
        <v>316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67" t="s">
        <v>316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332" t="s">
        <v>49</v>
      </c>
      <c r="B4" s="332" t="s">
        <v>121</v>
      </c>
      <c r="C4" s="332" t="s">
        <v>256</v>
      </c>
      <c r="D4" s="332" t="s">
        <v>69</v>
      </c>
      <c r="E4" s="332" t="s">
        <v>240</v>
      </c>
      <c r="F4" s="332" t="s">
        <v>280</v>
      </c>
      <c r="G4" s="332" t="s">
        <v>241</v>
      </c>
      <c r="H4" s="332" t="s">
        <v>62</v>
      </c>
      <c r="I4" s="332" t="s">
        <v>282</v>
      </c>
      <c r="J4" s="332" t="s">
        <v>291</v>
      </c>
      <c r="K4" s="332" t="s">
        <v>215</v>
      </c>
      <c r="L4" s="332" t="s">
        <v>268</v>
      </c>
      <c r="M4" s="332" t="s">
        <v>216</v>
      </c>
      <c r="N4" s="332" t="s">
        <v>49</v>
      </c>
      <c r="O4" s="332" t="s">
        <v>121</v>
      </c>
      <c r="P4" s="332" t="s">
        <v>145</v>
      </c>
      <c r="Q4" s="332" t="s">
        <v>266</v>
      </c>
      <c r="R4" s="332" t="s">
        <v>83</v>
      </c>
      <c r="S4" s="332" t="s">
        <v>265</v>
      </c>
      <c r="T4" s="332" t="s">
        <v>262</v>
      </c>
      <c r="U4" s="332" t="s">
        <v>288</v>
      </c>
      <c r="V4" s="332" t="s">
        <v>252</v>
      </c>
      <c r="W4" s="332" t="s">
        <v>258</v>
      </c>
      <c r="X4" s="332" t="s">
        <v>284</v>
      </c>
      <c r="Y4" s="332" t="s">
        <v>254</v>
      </c>
      <c r="Z4" s="332" t="s">
        <v>61</v>
      </c>
      <c r="AA4" s="332" t="s">
        <v>49</v>
      </c>
      <c r="AB4" s="332" t="s">
        <v>121</v>
      </c>
      <c r="AC4" s="332" t="s">
        <v>207</v>
      </c>
      <c r="AD4" s="332" t="s">
        <v>118</v>
      </c>
      <c r="AE4" s="332" t="s">
        <v>432</v>
      </c>
      <c r="AF4" s="332" t="s">
        <v>257</v>
      </c>
      <c r="AG4" s="332" t="s">
        <v>144</v>
      </c>
      <c r="AH4" s="332" t="s">
        <v>116</v>
      </c>
      <c r="AI4" s="332" t="s">
        <v>290</v>
      </c>
      <c r="AJ4" s="332" t="s">
        <v>261</v>
      </c>
      <c r="AK4" s="332" t="s">
        <v>84</v>
      </c>
      <c r="AL4" s="332" t="s">
        <v>63</v>
      </c>
      <c r="AM4" s="332" t="s">
        <v>49</v>
      </c>
      <c r="AN4" s="332" t="s">
        <v>121</v>
      </c>
      <c r="AO4" s="332" t="s">
        <v>146</v>
      </c>
      <c r="AP4" s="332" t="s">
        <v>301</v>
      </c>
      <c r="AQ4" s="332" t="s">
        <v>281</v>
      </c>
      <c r="AR4" s="332" t="s">
        <v>287</v>
      </c>
      <c r="AS4" s="332" t="s">
        <v>206</v>
      </c>
      <c r="AT4" s="332" t="s">
        <v>267</v>
      </c>
      <c r="AU4" s="332" t="s">
        <v>300</v>
      </c>
      <c r="AV4" s="332" t="s">
        <v>81</v>
      </c>
      <c r="AW4" s="332" t="s">
        <v>255</v>
      </c>
      <c r="AX4" s="332" t="s">
        <v>45</v>
      </c>
      <c r="AY4" s="332" t="s">
        <v>3</v>
      </c>
      <c r="AZ4" s="332" t="s">
        <v>49</v>
      </c>
      <c r="BA4" s="332" t="s">
        <v>121</v>
      </c>
      <c r="BB4" s="332" t="s">
        <v>117</v>
      </c>
      <c r="BC4" s="332" t="s">
        <v>86</v>
      </c>
      <c r="BD4" s="332" t="s">
        <v>242</v>
      </c>
      <c r="BE4" s="332" t="s">
        <v>82</v>
      </c>
      <c r="BF4" s="332" t="s">
        <v>283</v>
      </c>
      <c r="BG4" s="332" t="s">
        <v>427</v>
      </c>
      <c r="BH4" s="332" t="s">
        <v>47</v>
      </c>
      <c r="BI4" s="332" t="s">
        <v>48</v>
      </c>
      <c r="BJ4" s="332" t="s">
        <v>285</v>
      </c>
      <c r="BK4" s="332" t="s">
        <v>88</v>
      </c>
      <c r="BL4" s="332" t="s">
        <v>171</v>
      </c>
    </row>
    <row r="5" spans="1:66" ht="11.25" customHeight="1">
      <c r="A5" s="521" t="s">
        <v>306</v>
      </c>
      <c r="B5" s="333" t="s">
        <v>345</v>
      </c>
      <c r="C5" s="315">
        <v>51120.828000000001</v>
      </c>
      <c r="D5" s="315">
        <v>578654.31800000009</v>
      </c>
      <c r="E5" s="315">
        <v>229851.72600000002</v>
      </c>
      <c r="F5" s="315">
        <v>2327742.1880000001</v>
      </c>
      <c r="G5" s="315">
        <v>98645.072</v>
      </c>
      <c r="H5" s="315">
        <v>88137.337</v>
      </c>
      <c r="I5" s="315">
        <v>187188.43899999998</v>
      </c>
      <c r="J5" s="315">
        <v>20138.400000000001</v>
      </c>
      <c r="K5" s="315">
        <v>24998.138000000003</v>
      </c>
      <c r="L5" s="315">
        <v>6988</v>
      </c>
      <c r="M5" s="315">
        <v>22804.99</v>
      </c>
      <c r="N5" s="521" t="s">
        <v>436</v>
      </c>
      <c r="O5" s="333" t="s">
        <v>345</v>
      </c>
      <c r="P5" s="315">
        <v>98961.964999999997</v>
      </c>
      <c r="Q5" s="315">
        <v>104122.174</v>
      </c>
      <c r="R5" s="315">
        <v>82468.693999999989</v>
      </c>
      <c r="S5" s="315">
        <v>93078.123000000021</v>
      </c>
      <c r="T5" s="315">
        <v>16897.298999999999</v>
      </c>
      <c r="U5" s="315">
        <v>249061.44599999997</v>
      </c>
      <c r="V5" s="315">
        <v>281601.91299999994</v>
      </c>
      <c r="W5" s="315">
        <v>493535.74300000007</v>
      </c>
      <c r="X5" s="315">
        <v>1153759.6119999997</v>
      </c>
      <c r="Y5" s="315">
        <v>385084.24900000001</v>
      </c>
      <c r="Z5" s="315">
        <v>92540.863000000012</v>
      </c>
      <c r="AA5" s="521" t="s">
        <v>436</v>
      </c>
      <c r="AB5" s="333" t="s">
        <v>345</v>
      </c>
      <c r="AC5" s="315">
        <v>288717.03999999998</v>
      </c>
      <c r="AD5" s="315">
        <v>26225.518999999997</v>
      </c>
      <c r="AE5" s="315">
        <v>181026.932</v>
      </c>
      <c r="AF5" s="315">
        <v>262731.29600000003</v>
      </c>
      <c r="AG5" s="315">
        <v>261465.883</v>
      </c>
      <c r="AH5" s="315">
        <v>37324.698000000004</v>
      </c>
      <c r="AI5" s="315">
        <v>344155.01300000004</v>
      </c>
      <c r="AJ5" s="315">
        <v>85896.277000000002</v>
      </c>
      <c r="AK5" s="315">
        <v>23554.142</v>
      </c>
      <c r="AL5" s="315">
        <v>59218.054999999993</v>
      </c>
      <c r="AM5" s="521" t="s">
        <v>436</v>
      </c>
      <c r="AN5" s="333" t="s">
        <v>345</v>
      </c>
      <c r="AO5" s="315">
        <v>163732.73000000001</v>
      </c>
      <c r="AP5" s="315">
        <v>408734.16499999998</v>
      </c>
      <c r="AQ5" s="315">
        <v>4112658.5200000005</v>
      </c>
      <c r="AR5" s="315">
        <v>646288.90199999989</v>
      </c>
      <c r="AS5" s="315">
        <v>127434.336</v>
      </c>
      <c r="AT5" s="315">
        <v>90630.57</v>
      </c>
      <c r="AU5" s="315">
        <v>159380.71000000002</v>
      </c>
      <c r="AV5" s="315">
        <v>273671.39899999998</v>
      </c>
      <c r="AW5" s="315">
        <v>87826.813999999998</v>
      </c>
      <c r="AX5" s="315">
        <v>21108.25</v>
      </c>
      <c r="AY5" s="315">
        <v>40366.896000000008</v>
      </c>
      <c r="AZ5" s="521" t="s">
        <v>436</v>
      </c>
      <c r="BA5" s="333" t="s">
        <v>345</v>
      </c>
      <c r="BB5" s="315">
        <v>306.84999999999997</v>
      </c>
      <c r="BC5" s="315">
        <v>60128.911000000007</v>
      </c>
      <c r="BD5" s="315">
        <v>20756.093999999997</v>
      </c>
      <c r="BE5" s="315">
        <v>4791396.7530000005</v>
      </c>
      <c r="BF5" s="315">
        <v>4398613.7519999994</v>
      </c>
      <c r="BG5" s="315">
        <v>899670.97000000009</v>
      </c>
      <c r="BH5" s="315">
        <v>408991.23100000003</v>
      </c>
      <c r="BI5" s="315">
        <v>2712513.6799999997</v>
      </c>
      <c r="BJ5" s="315">
        <v>16038.918999999998</v>
      </c>
      <c r="BK5" s="315">
        <v>6707.5689999999995</v>
      </c>
      <c r="BL5" s="315">
        <v>10791.909000000001</v>
      </c>
    </row>
    <row r="6" spans="1:66" ht="11.25" customHeight="1">
      <c r="A6" s="522"/>
      <c r="B6" s="334" t="s">
        <v>353</v>
      </c>
      <c r="C6" s="316">
        <v>40163.984999999993</v>
      </c>
      <c r="D6" s="316">
        <v>611801.37699999986</v>
      </c>
      <c r="E6" s="316">
        <v>222157.00599999994</v>
      </c>
      <c r="F6" s="316">
        <v>2161777.4020000007</v>
      </c>
      <c r="G6" s="316">
        <v>88043.455000000002</v>
      </c>
      <c r="H6" s="316">
        <v>91432.838000000003</v>
      </c>
      <c r="I6" s="316">
        <v>161949.97</v>
      </c>
      <c r="J6" s="316">
        <v>26373.061999999998</v>
      </c>
      <c r="K6" s="316">
        <v>29661.701000000001</v>
      </c>
      <c r="L6" s="316">
        <v>9585.68</v>
      </c>
      <c r="M6" s="316">
        <v>21451.598999999998</v>
      </c>
      <c r="N6" s="523"/>
      <c r="O6" s="334" t="s">
        <v>353</v>
      </c>
      <c r="P6" s="316">
        <v>121163.12899999999</v>
      </c>
      <c r="Q6" s="316">
        <v>114630.47500000001</v>
      </c>
      <c r="R6" s="316">
        <v>82859.538999999975</v>
      </c>
      <c r="S6" s="316">
        <v>90133.396999999997</v>
      </c>
      <c r="T6" s="316">
        <v>18737.877</v>
      </c>
      <c r="U6" s="316">
        <v>300804.679</v>
      </c>
      <c r="V6" s="316">
        <v>286595.49</v>
      </c>
      <c r="W6" s="316">
        <v>535908.39099999995</v>
      </c>
      <c r="X6" s="316">
        <v>1143596.8680000002</v>
      </c>
      <c r="Y6" s="316">
        <v>351782.57399999996</v>
      </c>
      <c r="Z6" s="316">
        <v>97895.917000000001</v>
      </c>
      <c r="AA6" s="523"/>
      <c r="AB6" s="334" t="s">
        <v>353</v>
      </c>
      <c r="AC6" s="316">
        <v>293479.23000000004</v>
      </c>
      <c r="AD6" s="316">
        <v>28875.633000000002</v>
      </c>
      <c r="AE6" s="316">
        <v>184699.10199999996</v>
      </c>
      <c r="AF6" s="316">
        <v>270039.59099999996</v>
      </c>
      <c r="AG6" s="316">
        <v>305840.45699999994</v>
      </c>
      <c r="AH6" s="316">
        <v>38558.340000000004</v>
      </c>
      <c r="AI6" s="316">
        <v>411293.848</v>
      </c>
      <c r="AJ6" s="316">
        <v>84801.524999999994</v>
      </c>
      <c r="AK6" s="316">
        <v>23451.279000000002</v>
      </c>
      <c r="AL6" s="316">
        <v>48805.481999999996</v>
      </c>
      <c r="AM6" s="523"/>
      <c r="AN6" s="334" t="s">
        <v>353</v>
      </c>
      <c r="AO6" s="316">
        <v>133989.60999999999</v>
      </c>
      <c r="AP6" s="316">
        <v>519791.96900000004</v>
      </c>
      <c r="AQ6" s="316">
        <v>4203418.5639999993</v>
      </c>
      <c r="AR6" s="316">
        <v>628654.66700000002</v>
      </c>
      <c r="AS6" s="316">
        <v>88246.645999999993</v>
      </c>
      <c r="AT6" s="316">
        <v>91028.007000000012</v>
      </c>
      <c r="AU6" s="316">
        <v>156937.36799999999</v>
      </c>
      <c r="AV6" s="316">
        <v>260733.89899999998</v>
      </c>
      <c r="AW6" s="316">
        <v>83465.75</v>
      </c>
      <c r="AX6" s="316">
        <v>18582.167999999998</v>
      </c>
      <c r="AY6" s="316">
        <v>44167.60100000001</v>
      </c>
      <c r="AZ6" s="523"/>
      <c r="BA6" s="334" t="s">
        <v>353</v>
      </c>
      <c r="BB6" s="316">
        <v>276.55</v>
      </c>
      <c r="BC6" s="316">
        <v>56160.500999999997</v>
      </c>
      <c r="BD6" s="316">
        <v>22099.59</v>
      </c>
      <c r="BE6" s="316">
        <v>4295766.8232284887</v>
      </c>
      <c r="BF6" s="316">
        <v>4396468.8209999995</v>
      </c>
      <c r="BG6" s="316">
        <v>971468.86600000004</v>
      </c>
      <c r="BH6" s="316">
        <v>370591.72100000002</v>
      </c>
      <c r="BI6" s="316">
        <v>3033665.5190000003</v>
      </c>
      <c r="BJ6" s="316">
        <v>9920.896999999999</v>
      </c>
      <c r="BK6" s="316">
        <v>6494.8590000000004</v>
      </c>
      <c r="BL6" s="316">
        <v>13365.7</v>
      </c>
    </row>
    <row r="7" spans="1:66" ht="11.25" customHeight="1">
      <c r="A7" s="13" t="s">
        <v>23</v>
      </c>
      <c r="B7" s="157" t="s">
        <v>346</v>
      </c>
      <c r="C7" s="193">
        <v>9.4969999999999999</v>
      </c>
      <c r="D7" s="193">
        <v>15834.795</v>
      </c>
      <c r="E7" s="193">
        <v>1037.9000000000001</v>
      </c>
      <c r="F7" s="193">
        <v>226499.14999999997</v>
      </c>
      <c r="G7" s="193">
        <v>0.96</v>
      </c>
      <c r="H7" s="193">
        <v>0</v>
      </c>
      <c r="I7" s="193">
        <v>0</v>
      </c>
      <c r="J7" s="193">
        <v>0</v>
      </c>
      <c r="K7" s="193">
        <v>112.95</v>
      </c>
      <c r="L7" s="193">
        <v>0</v>
      </c>
      <c r="M7" s="193">
        <v>0</v>
      </c>
      <c r="N7" s="13" t="s">
        <v>23</v>
      </c>
      <c r="O7" s="157" t="s">
        <v>346</v>
      </c>
      <c r="P7" s="193">
        <v>633.55000000000007</v>
      </c>
      <c r="Q7" s="193">
        <v>855.94999999999993</v>
      </c>
      <c r="R7" s="193">
        <v>714.08</v>
      </c>
      <c r="S7" s="193">
        <v>1814.26</v>
      </c>
      <c r="T7" s="193">
        <v>11.6</v>
      </c>
      <c r="U7" s="193">
        <v>7</v>
      </c>
      <c r="V7" s="193">
        <v>4445.5</v>
      </c>
      <c r="W7" s="193">
        <v>771.1099999999999</v>
      </c>
      <c r="X7" s="193">
        <v>55507.839</v>
      </c>
      <c r="Y7" s="193">
        <v>1426.16</v>
      </c>
      <c r="Z7" s="193">
        <v>7567.2899999999991</v>
      </c>
      <c r="AA7" s="13" t="s">
        <v>23</v>
      </c>
      <c r="AB7" s="157" t="s">
        <v>346</v>
      </c>
      <c r="AC7" s="193">
        <v>10040.899999999998</v>
      </c>
      <c r="AD7" s="193">
        <v>694.17899999999986</v>
      </c>
      <c r="AE7" s="193">
        <v>3516.096</v>
      </c>
      <c r="AF7" s="193">
        <v>3735.63</v>
      </c>
      <c r="AG7" s="193">
        <v>0</v>
      </c>
      <c r="AH7" s="193">
        <v>0</v>
      </c>
      <c r="AI7" s="193">
        <v>0</v>
      </c>
      <c r="AJ7" s="193">
        <v>5</v>
      </c>
      <c r="AK7" s="193">
        <v>109.55699999999999</v>
      </c>
      <c r="AL7" s="193">
        <v>0</v>
      </c>
      <c r="AM7" s="13" t="s">
        <v>23</v>
      </c>
      <c r="AN7" s="157" t="s">
        <v>346</v>
      </c>
      <c r="AO7" s="193">
        <v>0</v>
      </c>
      <c r="AP7" s="193">
        <v>0</v>
      </c>
      <c r="AQ7" s="193">
        <v>36053.468999999997</v>
      </c>
      <c r="AR7" s="193">
        <v>105252.15</v>
      </c>
      <c r="AS7" s="193">
        <v>169.5</v>
      </c>
      <c r="AT7" s="193">
        <v>255.1</v>
      </c>
      <c r="AU7" s="193">
        <v>819.44</v>
      </c>
      <c r="AV7" s="193">
        <v>27887.341999999997</v>
      </c>
      <c r="AW7" s="193">
        <v>2527.2350000000001</v>
      </c>
      <c r="AX7" s="193">
        <v>0</v>
      </c>
      <c r="AY7" s="193">
        <v>1724.5599999999997</v>
      </c>
      <c r="AZ7" s="13" t="s">
        <v>23</v>
      </c>
      <c r="BA7" s="157" t="s">
        <v>346</v>
      </c>
      <c r="BB7" s="193">
        <v>0</v>
      </c>
      <c r="BC7" s="193">
        <v>57.489999999999995</v>
      </c>
      <c r="BD7" s="193">
        <v>54.855000000000004</v>
      </c>
      <c r="BE7" s="193">
        <v>0</v>
      </c>
      <c r="BF7" s="193">
        <v>6391.5499999999993</v>
      </c>
      <c r="BG7" s="193">
        <v>0</v>
      </c>
      <c r="BH7" s="193">
        <v>0</v>
      </c>
      <c r="BI7" s="193">
        <v>0</v>
      </c>
      <c r="BJ7" s="193">
        <v>0</v>
      </c>
      <c r="BK7" s="193">
        <v>0</v>
      </c>
      <c r="BL7" s="193">
        <v>0</v>
      </c>
      <c r="BN7" s="130"/>
    </row>
    <row r="8" spans="1:66" ht="11.25" customHeight="1">
      <c r="A8" s="13"/>
      <c r="B8" s="157" t="s">
        <v>355</v>
      </c>
      <c r="C8" s="193">
        <v>17.68</v>
      </c>
      <c r="D8" s="193">
        <v>20880.738999999998</v>
      </c>
      <c r="E8" s="193">
        <v>1422.2499999999998</v>
      </c>
      <c r="F8" s="193">
        <v>210750.4</v>
      </c>
      <c r="G8" s="193">
        <v>10.56</v>
      </c>
      <c r="H8" s="193">
        <v>0</v>
      </c>
      <c r="I8" s="193">
        <v>0</v>
      </c>
      <c r="J8" s="193">
        <v>0</v>
      </c>
      <c r="K8" s="193">
        <v>117.32</v>
      </c>
      <c r="L8" s="193">
        <v>0</v>
      </c>
      <c r="M8" s="193">
        <v>0</v>
      </c>
      <c r="N8" s="13"/>
      <c r="O8" s="157" t="s">
        <v>355</v>
      </c>
      <c r="P8" s="193">
        <v>1228.8999999999999</v>
      </c>
      <c r="Q8" s="193">
        <v>445.34999999999997</v>
      </c>
      <c r="R8" s="193">
        <v>1044.5500000000002</v>
      </c>
      <c r="S8" s="193">
        <v>1854.3899999999999</v>
      </c>
      <c r="T8" s="193">
        <v>11.3</v>
      </c>
      <c r="U8" s="193">
        <v>7</v>
      </c>
      <c r="V8" s="193">
        <v>7681.25</v>
      </c>
      <c r="W8" s="193">
        <v>662.72599999999989</v>
      </c>
      <c r="X8" s="193">
        <v>42922.01</v>
      </c>
      <c r="Y8" s="193">
        <v>1415.34</v>
      </c>
      <c r="Z8" s="193">
        <v>7105.9999999999991</v>
      </c>
      <c r="AA8" s="13"/>
      <c r="AB8" s="157" t="s">
        <v>355</v>
      </c>
      <c r="AC8" s="193">
        <v>9548.7999999999993</v>
      </c>
      <c r="AD8" s="193">
        <v>668.64999999999986</v>
      </c>
      <c r="AE8" s="193">
        <v>3392.1859999999997</v>
      </c>
      <c r="AF8" s="193">
        <v>3447.29</v>
      </c>
      <c r="AG8" s="193">
        <v>0</v>
      </c>
      <c r="AH8" s="193">
        <v>0</v>
      </c>
      <c r="AI8" s="193">
        <v>0</v>
      </c>
      <c r="AJ8" s="193">
        <v>5</v>
      </c>
      <c r="AK8" s="193">
        <v>83.198000000000008</v>
      </c>
      <c r="AL8" s="193">
        <v>0</v>
      </c>
      <c r="AM8" s="13"/>
      <c r="AN8" s="157" t="s">
        <v>355</v>
      </c>
      <c r="AO8" s="193">
        <v>0</v>
      </c>
      <c r="AP8" s="193">
        <v>0</v>
      </c>
      <c r="AQ8" s="193">
        <v>33092.339</v>
      </c>
      <c r="AR8" s="193">
        <v>66381.39</v>
      </c>
      <c r="AS8" s="193">
        <v>131.5</v>
      </c>
      <c r="AT8" s="193">
        <v>235.35</v>
      </c>
      <c r="AU8" s="193">
        <v>846.65900000000011</v>
      </c>
      <c r="AV8" s="193">
        <v>30782.6</v>
      </c>
      <c r="AW8" s="193">
        <v>2181.4030000000002</v>
      </c>
      <c r="AX8" s="193">
        <v>0</v>
      </c>
      <c r="AY8" s="193">
        <v>2097.1999999999998</v>
      </c>
      <c r="AZ8" s="13"/>
      <c r="BA8" s="157" t="s">
        <v>355</v>
      </c>
      <c r="BB8" s="193">
        <v>0</v>
      </c>
      <c r="BC8" s="193">
        <v>56.4</v>
      </c>
      <c r="BD8" s="193">
        <v>60.710000000000008</v>
      </c>
      <c r="BE8" s="193">
        <v>0</v>
      </c>
      <c r="BF8" s="193">
        <v>6833.2189999999991</v>
      </c>
      <c r="BG8" s="193">
        <v>0</v>
      </c>
      <c r="BH8" s="193">
        <v>0</v>
      </c>
      <c r="BI8" s="193">
        <v>0</v>
      </c>
      <c r="BJ8" s="193">
        <v>0</v>
      </c>
      <c r="BK8" s="193">
        <v>0</v>
      </c>
      <c r="BL8" s="193">
        <v>0</v>
      </c>
      <c r="BN8" s="130"/>
    </row>
    <row r="9" spans="1:66" ht="11.25" customHeight="1">
      <c r="A9" s="13" t="s">
        <v>24</v>
      </c>
      <c r="B9" s="159" t="s">
        <v>346</v>
      </c>
      <c r="C9" s="193">
        <v>982</v>
      </c>
      <c r="D9" s="193">
        <v>67503.5</v>
      </c>
      <c r="E9" s="193">
        <v>5121.54</v>
      </c>
      <c r="F9" s="193">
        <v>73185</v>
      </c>
      <c r="G9" s="193">
        <v>468</v>
      </c>
      <c r="H9" s="193">
        <v>57.399999999999991</v>
      </c>
      <c r="I9" s="193">
        <v>6946</v>
      </c>
      <c r="J9" s="193">
        <v>0</v>
      </c>
      <c r="K9" s="193">
        <v>229.2</v>
      </c>
      <c r="L9" s="193">
        <v>0</v>
      </c>
      <c r="M9" s="193">
        <v>0</v>
      </c>
      <c r="N9" s="13" t="s">
        <v>24</v>
      </c>
      <c r="O9" s="159" t="s">
        <v>346</v>
      </c>
      <c r="P9" s="193">
        <v>1966</v>
      </c>
      <c r="Q9" s="193">
        <v>3853</v>
      </c>
      <c r="R9" s="193">
        <v>1315.1999999999998</v>
      </c>
      <c r="S9" s="193">
        <v>914</v>
      </c>
      <c r="T9" s="193">
        <v>87</v>
      </c>
      <c r="U9" s="193">
        <v>2150</v>
      </c>
      <c r="V9" s="193">
        <v>36905.599999999999</v>
      </c>
      <c r="W9" s="193">
        <v>15500.400000000001</v>
      </c>
      <c r="X9" s="193">
        <v>900</v>
      </c>
      <c r="Y9" s="193">
        <v>37459</v>
      </c>
      <c r="Z9" s="193">
        <v>95</v>
      </c>
      <c r="AA9" s="13" t="s">
        <v>24</v>
      </c>
      <c r="AB9" s="159" t="s">
        <v>346</v>
      </c>
      <c r="AC9" s="193">
        <v>0</v>
      </c>
      <c r="AD9" s="193">
        <v>28</v>
      </c>
      <c r="AE9" s="193">
        <v>446</v>
      </c>
      <c r="AF9" s="193">
        <v>1674</v>
      </c>
      <c r="AG9" s="193">
        <v>0</v>
      </c>
      <c r="AH9" s="193">
        <v>0</v>
      </c>
      <c r="AI9" s="193">
        <v>2059</v>
      </c>
      <c r="AJ9" s="193">
        <v>3172.15</v>
      </c>
      <c r="AK9" s="193">
        <v>2476</v>
      </c>
      <c r="AL9" s="193">
        <v>1538</v>
      </c>
      <c r="AM9" s="13" t="s">
        <v>24</v>
      </c>
      <c r="AN9" s="159" t="s">
        <v>346</v>
      </c>
      <c r="AO9" s="193">
        <v>0</v>
      </c>
      <c r="AP9" s="193">
        <v>0</v>
      </c>
      <c r="AQ9" s="193">
        <v>93994.150000000009</v>
      </c>
      <c r="AR9" s="193">
        <v>1660</v>
      </c>
      <c r="AS9" s="193">
        <v>8612</v>
      </c>
      <c r="AT9" s="193">
        <v>694.8</v>
      </c>
      <c r="AU9" s="193">
        <v>1860.3500000000001</v>
      </c>
      <c r="AV9" s="193">
        <v>0</v>
      </c>
      <c r="AW9" s="193">
        <v>0</v>
      </c>
      <c r="AX9" s="193">
        <v>977</v>
      </c>
      <c r="AY9" s="193">
        <v>601.25</v>
      </c>
      <c r="AZ9" s="13" t="s">
        <v>24</v>
      </c>
      <c r="BA9" s="159" t="s">
        <v>346</v>
      </c>
      <c r="BB9" s="193">
        <v>82</v>
      </c>
      <c r="BC9" s="193">
        <v>721.5</v>
      </c>
      <c r="BD9" s="193">
        <v>410.2</v>
      </c>
      <c r="BE9" s="193">
        <v>540493.16899999999</v>
      </c>
      <c r="BF9" s="193">
        <v>130370</v>
      </c>
      <c r="BG9" s="193">
        <v>7005</v>
      </c>
      <c r="BH9" s="193">
        <v>0</v>
      </c>
      <c r="BI9" s="193">
        <v>0</v>
      </c>
      <c r="BJ9" s="193">
        <v>2402</v>
      </c>
      <c r="BK9" s="193">
        <v>0</v>
      </c>
      <c r="BL9" s="193">
        <v>976</v>
      </c>
      <c r="BN9" s="130"/>
    </row>
    <row r="10" spans="1:66" ht="11.25" customHeight="1">
      <c r="A10" s="13"/>
      <c r="B10" s="159" t="s">
        <v>355</v>
      </c>
      <c r="C10" s="193">
        <v>1759</v>
      </c>
      <c r="D10" s="193">
        <v>62221.7</v>
      </c>
      <c r="E10" s="193">
        <v>6087</v>
      </c>
      <c r="F10" s="193">
        <v>74223</v>
      </c>
      <c r="G10" s="193">
        <v>833</v>
      </c>
      <c r="H10" s="193">
        <v>67.900000000000006</v>
      </c>
      <c r="I10" s="193">
        <v>7540</v>
      </c>
      <c r="J10" s="193">
        <v>830</v>
      </c>
      <c r="K10" s="193">
        <v>265</v>
      </c>
      <c r="L10" s="193">
        <v>0</v>
      </c>
      <c r="M10" s="193">
        <v>0</v>
      </c>
      <c r="N10" s="13"/>
      <c r="O10" s="159" t="s">
        <v>355</v>
      </c>
      <c r="P10" s="193">
        <v>3290</v>
      </c>
      <c r="Q10" s="193">
        <v>5978</v>
      </c>
      <c r="R10" s="193">
        <v>1533</v>
      </c>
      <c r="S10" s="193">
        <v>1860</v>
      </c>
      <c r="T10" s="193">
        <v>16</v>
      </c>
      <c r="U10" s="193">
        <v>1845</v>
      </c>
      <c r="V10" s="193">
        <v>43038.3</v>
      </c>
      <c r="W10" s="193">
        <v>15847.1</v>
      </c>
      <c r="X10" s="193">
        <v>859</v>
      </c>
      <c r="Y10" s="193">
        <v>38036</v>
      </c>
      <c r="Z10" s="193">
        <v>85</v>
      </c>
      <c r="AA10" s="13"/>
      <c r="AB10" s="159" t="s">
        <v>355</v>
      </c>
      <c r="AC10" s="193">
        <v>0</v>
      </c>
      <c r="AD10" s="193">
        <v>37</v>
      </c>
      <c r="AE10" s="193">
        <v>442</v>
      </c>
      <c r="AF10" s="193">
        <v>1842</v>
      </c>
      <c r="AG10" s="193">
        <v>0</v>
      </c>
      <c r="AH10" s="193">
        <v>0</v>
      </c>
      <c r="AI10" s="193">
        <v>2199</v>
      </c>
      <c r="AJ10" s="193">
        <v>2761.2000000000003</v>
      </c>
      <c r="AK10" s="193">
        <v>2192</v>
      </c>
      <c r="AL10" s="193">
        <v>1638</v>
      </c>
      <c r="AM10" s="13"/>
      <c r="AN10" s="159" t="s">
        <v>355</v>
      </c>
      <c r="AO10" s="193">
        <v>0</v>
      </c>
      <c r="AP10" s="193">
        <v>0</v>
      </c>
      <c r="AQ10" s="193">
        <v>102813.9</v>
      </c>
      <c r="AR10" s="193">
        <v>2039</v>
      </c>
      <c r="AS10" s="193">
        <v>15976</v>
      </c>
      <c r="AT10" s="193">
        <v>601.09999999999991</v>
      </c>
      <c r="AU10" s="193">
        <v>2586.7799999999997</v>
      </c>
      <c r="AV10" s="193">
        <v>0</v>
      </c>
      <c r="AW10" s="193">
        <v>0</v>
      </c>
      <c r="AX10" s="193">
        <v>1540</v>
      </c>
      <c r="AY10" s="193">
        <v>246.9</v>
      </c>
      <c r="AZ10" s="13"/>
      <c r="BA10" s="159" t="s">
        <v>355</v>
      </c>
      <c r="BB10" s="193">
        <v>29</v>
      </c>
      <c r="BC10" s="193">
        <v>758</v>
      </c>
      <c r="BD10" s="193">
        <v>345</v>
      </c>
      <c r="BE10" s="193">
        <v>355151.56980308634</v>
      </c>
      <c r="BF10" s="193">
        <v>142784</v>
      </c>
      <c r="BG10" s="193">
        <v>5122</v>
      </c>
      <c r="BH10" s="193">
        <v>0</v>
      </c>
      <c r="BI10" s="193">
        <v>0</v>
      </c>
      <c r="BJ10" s="193">
        <v>2197</v>
      </c>
      <c r="BK10" s="193">
        <v>0</v>
      </c>
      <c r="BL10" s="193">
        <v>1835</v>
      </c>
      <c r="BN10" s="130"/>
    </row>
    <row r="11" spans="1:66" ht="11.25" customHeight="1">
      <c r="A11" s="13" t="s">
        <v>25</v>
      </c>
      <c r="B11" s="159" t="s">
        <v>346</v>
      </c>
      <c r="C11" s="193">
        <v>5713.36</v>
      </c>
      <c r="D11" s="193">
        <v>2874.19</v>
      </c>
      <c r="E11" s="193">
        <v>41310</v>
      </c>
      <c r="F11" s="193">
        <v>0</v>
      </c>
      <c r="G11" s="193">
        <v>6797.5499999999993</v>
      </c>
      <c r="H11" s="193">
        <v>10907.98</v>
      </c>
      <c r="I11" s="193">
        <v>0</v>
      </c>
      <c r="J11" s="193">
        <v>0</v>
      </c>
      <c r="K11" s="193">
        <v>36</v>
      </c>
      <c r="L11" s="193">
        <v>0</v>
      </c>
      <c r="M11" s="193">
        <v>0</v>
      </c>
      <c r="N11" s="13" t="s">
        <v>25</v>
      </c>
      <c r="O11" s="159" t="s">
        <v>346</v>
      </c>
      <c r="P11" s="193">
        <v>1101.5</v>
      </c>
      <c r="Q11" s="193">
        <v>2939</v>
      </c>
      <c r="R11" s="193">
        <v>2878.0199999999995</v>
      </c>
      <c r="S11" s="193">
        <v>2095.2000000000003</v>
      </c>
      <c r="T11" s="193">
        <v>466.76</v>
      </c>
      <c r="U11" s="193">
        <v>1016.3000000000001</v>
      </c>
      <c r="V11" s="193">
        <v>15368.849999999999</v>
      </c>
      <c r="W11" s="193">
        <v>3785.2999999999997</v>
      </c>
      <c r="X11" s="193">
        <v>232.2</v>
      </c>
      <c r="Y11" s="193">
        <v>275.10000000000002</v>
      </c>
      <c r="Z11" s="193">
        <v>496.20000000000005</v>
      </c>
      <c r="AA11" s="13" t="s">
        <v>25</v>
      </c>
      <c r="AB11" s="159" t="s">
        <v>346</v>
      </c>
      <c r="AC11" s="193">
        <v>0</v>
      </c>
      <c r="AD11" s="193">
        <v>62.1</v>
      </c>
      <c r="AE11" s="193">
        <v>253.50999999999996</v>
      </c>
      <c r="AF11" s="193">
        <v>239.79999999999998</v>
      </c>
      <c r="AG11" s="193">
        <v>0</v>
      </c>
      <c r="AH11" s="193">
        <v>0</v>
      </c>
      <c r="AI11" s="193">
        <v>0</v>
      </c>
      <c r="AJ11" s="193">
        <v>837.95</v>
      </c>
      <c r="AK11" s="193">
        <v>960.99</v>
      </c>
      <c r="AL11" s="193">
        <v>6134.33</v>
      </c>
      <c r="AM11" s="13" t="s">
        <v>25</v>
      </c>
      <c r="AN11" s="159" t="s">
        <v>346</v>
      </c>
      <c r="AO11" s="193">
        <v>0</v>
      </c>
      <c r="AP11" s="193">
        <v>0</v>
      </c>
      <c r="AQ11" s="193">
        <v>320126.02999999997</v>
      </c>
      <c r="AR11" s="193">
        <v>305</v>
      </c>
      <c r="AS11" s="193">
        <v>712</v>
      </c>
      <c r="AT11" s="193">
        <v>11575.65</v>
      </c>
      <c r="AU11" s="193">
        <v>23958.5</v>
      </c>
      <c r="AV11" s="193">
        <v>0</v>
      </c>
      <c r="AW11" s="193">
        <v>0</v>
      </c>
      <c r="AX11" s="193">
        <v>0</v>
      </c>
      <c r="AY11" s="193">
        <v>6415.25</v>
      </c>
      <c r="AZ11" s="13" t="s">
        <v>25</v>
      </c>
      <c r="BA11" s="159" t="s">
        <v>346</v>
      </c>
      <c r="BB11" s="193">
        <v>13</v>
      </c>
      <c r="BC11" s="193">
        <v>6692.93</v>
      </c>
      <c r="BD11" s="193">
        <v>1656.46</v>
      </c>
      <c r="BE11" s="193">
        <v>0</v>
      </c>
      <c r="BF11" s="193">
        <v>91733.349000000002</v>
      </c>
      <c r="BG11" s="193">
        <v>0</v>
      </c>
      <c r="BH11" s="193">
        <v>7886.5</v>
      </c>
      <c r="BI11" s="193">
        <v>9896</v>
      </c>
      <c r="BJ11" s="193">
        <v>0</v>
      </c>
      <c r="BK11" s="193">
        <v>18.399999999999999</v>
      </c>
      <c r="BL11" s="193">
        <v>0</v>
      </c>
      <c r="BN11" s="130"/>
    </row>
    <row r="12" spans="1:66" ht="11.25" customHeight="1">
      <c r="A12" s="13"/>
      <c r="B12" s="159" t="s">
        <v>355</v>
      </c>
      <c r="C12" s="193">
        <v>5044.4000000000005</v>
      </c>
      <c r="D12" s="193">
        <v>4298.8999999999996</v>
      </c>
      <c r="E12" s="193">
        <v>40573.1</v>
      </c>
      <c r="F12" s="193">
        <v>0</v>
      </c>
      <c r="G12" s="193">
        <v>7185.68</v>
      </c>
      <c r="H12" s="193">
        <v>9295.2999999999993</v>
      </c>
      <c r="I12" s="193">
        <v>0</v>
      </c>
      <c r="J12" s="193">
        <v>0</v>
      </c>
      <c r="K12" s="193">
        <v>36</v>
      </c>
      <c r="L12" s="193">
        <v>0</v>
      </c>
      <c r="M12" s="193">
        <v>0</v>
      </c>
      <c r="N12" s="13"/>
      <c r="O12" s="159" t="s">
        <v>355</v>
      </c>
      <c r="P12" s="193">
        <v>1284</v>
      </c>
      <c r="Q12" s="193">
        <v>2225.5</v>
      </c>
      <c r="R12" s="193">
        <v>3230.33</v>
      </c>
      <c r="S12" s="193">
        <v>1890.1</v>
      </c>
      <c r="T12" s="193">
        <v>507</v>
      </c>
      <c r="U12" s="193">
        <v>1030.8</v>
      </c>
      <c r="V12" s="193">
        <v>14327.7</v>
      </c>
      <c r="W12" s="193">
        <v>3963.8</v>
      </c>
      <c r="X12" s="193">
        <v>281</v>
      </c>
      <c r="Y12" s="193">
        <v>332.45</v>
      </c>
      <c r="Z12" s="193">
        <v>440.3</v>
      </c>
      <c r="AA12" s="13"/>
      <c r="AB12" s="159" t="s">
        <v>355</v>
      </c>
      <c r="AC12" s="193">
        <v>0</v>
      </c>
      <c r="AD12" s="193">
        <v>70.599999999999994</v>
      </c>
      <c r="AE12" s="193">
        <v>231.86000000000004</v>
      </c>
      <c r="AF12" s="193">
        <v>184.5</v>
      </c>
      <c r="AG12" s="193">
        <v>0</v>
      </c>
      <c r="AH12" s="193">
        <v>0</v>
      </c>
      <c r="AI12" s="193">
        <v>0</v>
      </c>
      <c r="AJ12" s="193">
        <v>858.34</v>
      </c>
      <c r="AK12" s="193">
        <v>928.1099999999999</v>
      </c>
      <c r="AL12" s="193">
        <v>5580.9</v>
      </c>
      <c r="AM12" s="13"/>
      <c r="AN12" s="159" t="s">
        <v>355</v>
      </c>
      <c r="AO12" s="193">
        <v>0</v>
      </c>
      <c r="AP12" s="193">
        <v>0</v>
      </c>
      <c r="AQ12" s="193">
        <v>322615.93</v>
      </c>
      <c r="AR12" s="193">
        <v>458</v>
      </c>
      <c r="AS12" s="193">
        <v>695</v>
      </c>
      <c r="AT12" s="193">
        <v>10651.5</v>
      </c>
      <c r="AU12" s="193">
        <v>22304.799999999999</v>
      </c>
      <c r="AV12" s="193">
        <v>0</v>
      </c>
      <c r="AW12" s="193">
        <v>0</v>
      </c>
      <c r="AX12" s="193">
        <v>0</v>
      </c>
      <c r="AY12" s="193">
        <v>7344.6999999999989</v>
      </c>
      <c r="AZ12" s="13"/>
      <c r="BA12" s="159" t="s">
        <v>355</v>
      </c>
      <c r="BB12" s="193">
        <v>9</v>
      </c>
      <c r="BC12" s="193">
        <v>5154.13</v>
      </c>
      <c r="BD12" s="193">
        <v>2514.4899999999998</v>
      </c>
      <c r="BE12" s="193">
        <v>0</v>
      </c>
      <c r="BF12" s="193">
        <v>146424.32700000002</v>
      </c>
      <c r="BG12" s="193">
        <v>0</v>
      </c>
      <c r="BH12" s="193">
        <v>10115.4</v>
      </c>
      <c r="BI12" s="193">
        <v>7045</v>
      </c>
      <c r="BJ12" s="193">
        <v>0</v>
      </c>
      <c r="BK12" s="193">
        <v>0</v>
      </c>
      <c r="BL12" s="193">
        <v>0</v>
      </c>
      <c r="BN12" s="130"/>
    </row>
    <row r="13" spans="1:66" ht="11.25" customHeight="1">
      <c r="A13" s="13" t="s">
        <v>26</v>
      </c>
      <c r="B13" s="159" t="s">
        <v>346</v>
      </c>
      <c r="C13" s="193">
        <v>102.51799999999997</v>
      </c>
      <c r="D13" s="193">
        <v>78.719000000000008</v>
      </c>
      <c r="E13" s="193">
        <v>7116.759</v>
      </c>
      <c r="F13" s="193">
        <v>284336.14199999999</v>
      </c>
      <c r="G13" s="193">
        <v>465.25899999999996</v>
      </c>
      <c r="H13" s="193">
        <v>1978.4990000000003</v>
      </c>
      <c r="I13" s="193">
        <v>0</v>
      </c>
      <c r="J13" s="193">
        <v>8234</v>
      </c>
      <c r="K13" s="193">
        <v>1539.9</v>
      </c>
      <c r="L13" s="193">
        <v>0</v>
      </c>
      <c r="M13" s="193">
        <v>0</v>
      </c>
      <c r="N13" s="13" t="s">
        <v>26</v>
      </c>
      <c r="O13" s="159" t="s">
        <v>346</v>
      </c>
      <c r="P13" s="193">
        <v>16519.305</v>
      </c>
      <c r="Q13" s="193">
        <v>27640.326000000001</v>
      </c>
      <c r="R13" s="193">
        <v>7831.4660000000003</v>
      </c>
      <c r="S13" s="193">
        <v>42404.754999999997</v>
      </c>
      <c r="T13" s="193">
        <v>4612.049</v>
      </c>
      <c r="U13" s="193">
        <v>144937.79599999997</v>
      </c>
      <c r="V13" s="193">
        <v>981.57799999999986</v>
      </c>
      <c r="W13" s="193">
        <v>18128.137999999999</v>
      </c>
      <c r="X13" s="193">
        <v>0</v>
      </c>
      <c r="Y13" s="193">
        <v>154.07999999999998</v>
      </c>
      <c r="Z13" s="193">
        <v>30.64</v>
      </c>
      <c r="AA13" s="13" t="s">
        <v>26</v>
      </c>
      <c r="AB13" s="159" t="s">
        <v>346</v>
      </c>
      <c r="AC13" s="193">
        <v>0</v>
      </c>
      <c r="AD13" s="193">
        <v>0</v>
      </c>
      <c r="AE13" s="193">
        <v>35.54</v>
      </c>
      <c r="AF13" s="193">
        <v>128.69999999999999</v>
      </c>
      <c r="AG13" s="193">
        <v>3299</v>
      </c>
      <c r="AH13" s="193">
        <v>0</v>
      </c>
      <c r="AI13" s="193">
        <v>15126.513000000001</v>
      </c>
      <c r="AJ13" s="193">
        <v>966.75900000000001</v>
      </c>
      <c r="AK13" s="193">
        <v>757.23</v>
      </c>
      <c r="AL13" s="193">
        <v>3257.6480000000001</v>
      </c>
      <c r="AM13" s="13" t="s">
        <v>26</v>
      </c>
      <c r="AN13" s="159" t="s">
        <v>346</v>
      </c>
      <c r="AO13" s="193">
        <v>40873.269999999997</v>
      </c>
      <c r="AP13" s="193">
        <v>0</v>
      </c>
      <c r="AQ13" s="193">
        <v>98208.209999999992</v>
      </c>
      <c r="AR13" s="193">
        <v>138.65</v>
      </c>
      <c r="AS13" s="193">
        <v>473.084</v>
      </c>
      <c r="AT13" s="193">
        <v>41.2</v>
      </c>
      <c r="AU13" s="193">
        <v>84.937999999999988</v>
      </c>
      <c r="AV13" s="193">
        <v>0</v>
      </c>
      <c r="AW13" s="193">
        <v>0</v>
      </c>
      <c r="AX13" s="193">
        <v>5801.66</v>
      </c>
      <c r="AY13" s="193">
        <v>284.24</v>
      </c>
      <c r="AZ13" s="13" t="s">
        <v>26</v>
      </c>
      <c r="BA13" s="159" t="s">
        <v>346</v>
      </c>
      <c r="BB13" s="193">
        <v>0</v>
      </c>
      <c r="BC13" s="193">
        <v>652.32300000000009</v>
      </c>
      <c r="BD13" s="193">
        <v>4.58</v>
      </c>
      <c r="BE13" s="193">
        <v>25199.111000000001</v>
      </c>
      <c r="BF13" s="193">
        <v>1333613.3910000001</v>
      </c>
      <c r="BG13" s="193">
        <v>464007.38100000005</v>
      </c>
      <c r="BH13" s="193">
        <v>4845.7610000000004</v>
      </c>
      <c r="BI13" s="193">
        <v>4807.7110000000002</v>
      </c>
      <c r="BJ13" s="193">
        <v>392.36</v>
      </c>
      <c r="BK13" s="193">
        <v>925.79</v>
      </c>
      <c r="BL13" s="193">
        <v>0</v>
      </c>
      <c r="BN13" s="130"/>
    </row>
    <row r="14" spans="1:66" ht="11.25" customHeight="1">
      <c r="A14" s="13"/>
      <c r="B14" s="159" t="s">
        <v>355</v>
      </c>
      <c r="C14" s="193">
        <v>110.33999999999997</v>
      </c>
      <c r="D14" s="193">
        <v>925.05800000000011</v>
      </c>
      <c r="E14" s="193">
        <v>7617.2419999999993</v>
      </c>
      <c r="F14" s="193">
        <v>284103.78499999997</v>
      </c>
      <c r="G14" s="193">
        <v>451.41199999999998</v>
      </c>
      <c r="H14" s="193">
        <v>1594.1559999999997</v>
      </c>
      <c r="I14" s="193">
        <v>0</v>
      </c>
      <c r="J14" s="193">
        <v>16044</v>
      </c>
      <c r="K14" s="193">
        <v>1323.701</v>
      </c>
      <c r="L14" s="193">
        <v>0</v>
      </c>
      <c r="M14" s="193">
        <v>0</v>
      </c>
      <c r="N14" s="13"/>
      <c r="O14" s="159" t="s">
        <v>355</v>
      </c>
      <c r="P14" s="193">
        <v>20298.75</v>
      </c>
      <c r="Q14" s="193">
        <v>27530.529000000002</v>
      </c>
      <c r="R14" s="193">
        <v>7401.8820000000005</v>
      </c>
      <c r="S14" s="193">
        <v>38811.077000000005</v>
      </c>
      <c r="T14" s="193">
        <v>5020.3469999999998</v>
      </c>
      <c r="U14" s="193">
        <v>198568.39500000002</v>
      </c>
      <c r="V14" s="193">
        <v>1822.7279999999998</v>
      </c>
      <c r="W14" s="193">
        <v>15418.36</v>
      </c>
      <c r="X14" s="193">
        <v>0</v>
      </c>
      <c r="Y14" s="193">
        <v>165.85000000000002</v>
      </c>
      <c r="Z14" s="193">
        <v>30.779999999999998</v>
      </c>
      <c r="AA14" s="13"/>
      <c r="AB14" s="159" t="s">
        <v>355</v>
      </c>
      <c r="AC14" s="193">
        <v>0</v>
      </c>
      <c r="AD14" s="193">
        <v>0</v>
      </c>
      <c r="AE14" s="193">
        <v>40.309999999999995</v>
      </c>
      <c r="AF14" s="193">
        <v>105.7</v>
      </c>
      <c r="AG14" s="193">
        <v>10525</v>
      </c>
      <c r="AH14" s="193">
        <v>0</v>
      </c>
      <c r="AI14" s="193">
        <v>14712.688</v>
      </c>
      <c r="AJ14" s="193">
        <v>954.92799999999988</v>
      </c>
      <c r="AK14" s="193">
        <v>796.87099999999998</v>
      </c>
      <c r="AL14" s="193">
        <v>2666.4789999999998</v>
      </c>
      <c r="AM14" s="13"/>
      <c r="AN14" s="159" t="s">
        <v>355</v>
      </c>
      <c r="AO14" s="193">
        <v>21514.799999999999</v>
      </c>
      <c r="AP14" s="193">
        <v>0</v>
      </c>
      <c r="AQ14" s="193">
        <v>81762.369000000006</v>
      </c>
      <c r="AR14" s="193">
        <v>100.8</v>
      </c>
      <c r="AS14" s="193">
        <v>477.483</v>
      </c>
      <c r="AT14" s="193">
        <v>39.893999999999998</v>
      </c>
      <c r="AU14" s="193">
        <v>64.468999999999994</v>
      </c>
      <c r="AV14" s="193">
        <v>0</v>
      </c>
      <c r="AW14" s="193">
        <v>0</v>
      </c>
      <c r="AX14" s="193">
        <v>8029.4639999999999</v>
      </c>
      <c r="AY14" s="193">
        <v>789.12000000000012</v>
      </c>
      <c r="AZ14" s="13"/>
      <c r="BA14" s="159" t="s">
        <v>355</v>
      </c>
      <c r="BB14" s="193">
        <v>0</v>
      </c>
      <c r="BC14" s="193">
        <v>859.52900000000022</v>
      </c>
      <c r="BD14" s="193">
        <v>6.17</v>
      </c>
      <c r="BE14" s="193">
        <v>28940.523000000001</v>
      </c>
      <c r="BF14" s="193">
        <v>1296900.7850000001</v>
      </c>
      <c r="BG14" s="193">
        <v>502739.516</v>
      </c>
      <c r="BH14" s="193">
        <v>5094.8209999999999</v>
      </c>
      <c r="BI14" s="193">
        <v>5084.5999999999995</v>
      </c>
      <c r="BJ14" s="193">
        <v>180.88</v>
      </c>
      <c r="BK14" s="193">
        <v>995.01</v>
      </c>
      <c r="BL14" s="193">
        <v>0</v>
      </c>
      <c r="BN14" s="130"/>
    </row>
    <row r="15" spans="1:66" ht="11.25" customHeight="1">
      <c r="A15" s="13" t="s">
        <v>27</v>
      </c>
      <c r="B15" s="159" t="s">
        <v>346</v>
      </c>
      <c r="C15" s="193">
        <v>9206</v>
      </c>
      <c r="D15" s="193">
        <v>1988</v>
      </c>
      <c r="E15" s="193">
        <v>21927</v>
      </c>
      <c r="F15" s="193">
        <v>56</v>
      </c>
      <c r="G15" s="193">
        <v>13025</v>
      </c>
      <c r="H15" s="193">
        <v>22888</v>
      </c>
      <c r="I15" s="193">
        <v>0</v>
      </c>
      <c r="J15" s="193">
        <v>0</v>
      </c>
      <c r="K15" s="193">
        <v>65</v>
      </c>
      <c r="L15" s="193">
        <v>0</v>
      </c>
      <c r="M15" s="193">
        <v>0</v>
      </c>
      <c r="N15" s="13" t="s">
        <v>27</v>
      </c>
      <c r="O15" s="159" t="s">
        <v>346</v>
      </c>
      <c r="P15" s="193">
        <v>522</v>
      </c>
      <c r="Q15" s="193">
        <v>467</v>
      </c>
      <c r="R15" s="193">
        <v>4681</v>
      </c>
      <c r="S15" s="193">
        <v>767</v>
      </c>
      <c r="T15" s="193">
        <v>1509</v>
      </c>
      <c r="U15" s="193">
        <v>3367</v>
      </c>
      <c r="V15" s="193">
        <v>10402</v>
      </c>
      <c r="W15" s="193">
        <v>20021</v>
      </c>
      <c r="X15" s="193">
        <v>419</v>
      </c>
      <c r="Y15" s="193">
        <v>223</v>
      </c>
      <c r="Z15" s="193">
        <v>309</v>
      </c>
      <c r="AA15" s="13" t="s">
        <v>27</v>
      </c>
      <c r="AB15" s="159" t="s">
        <v>346</v>
      </c>
      <c r="AC15" s="193">
        <v>77</v>
      </c>
      <c r="AD15" s="193">
        <v>111</v>
      </c>
      <c r="AE15" s="193">
        <v>465</v>
      </c>
      <c r="AF15" s="193">
        <v>1660</v>
      </c>
      <c r="AG15" s="193">
        <v>294</v>
      </c>
      <c r="AH15" s="193">
        <v>191</v>
      </c>
      <c r="AI15" s="193">
        <v>48</v>
      </c>
      <c r="AJ15" s="193">
        <v>777</v>
      </c>
      <c r="AK15" s="193">
        <v>3942</v>
      </c>
      <c r="AL15" s="193">
        <v>18931</v>
      </c>
      <c r="AM15" s="13" t="s">
        <v>27</v>
      </c>
      <c r="AN15" s="159" t="s">
        <v>346</v>
      </c>
      <c r="AO15" s="193">
        <v>0</v>
      </c>
      <c r="AP15" s="193">
        <v>0</v>
      </c>
      <c r="AQ15" s="193">
        <v>425090</v>
      </c>
      <c r="AR15" s="193">
        <v>2947</v>
      </c>
      <c r="AS15" s="193">
        <v>382</v>
      </c>
      <c r="AT15" s="193">
        <v>8765</v>
      </c>
      <c r="AU15" s="193">
        <v>14384</v>
      </c>
      <c r="AV15" s="193">
        <v>1852</v>
      </c>
      <c r="AW15" s="193">
        <v>3533</v>
      </c>
      <c r="AX15" s="193">
        <v>0</v>
      </c>
      <c r="AY15" s="193">
        <v>1954</v>
      </c>
      <c r="AZ15" s="13" t="s">
        <v>27</v>
      </c>
      <c r="BA15" s="159" t="s">
        <v>346</v>
      </c>
      <c r="BB15" s="193">
        <v>11</v>
      </c>
      <c r="BC15" s="193">
        <v>8602</v>
      </c>
      <c r="BD15" s="193">
        <v>5565</v>
      </c>
      <c r="BE15" s="193">
        <v>0</v>
      </c>
      <c r="BF15" s="193">
        <v>120771</v>
      </c>
      <c r="BG15" s="193">
        <v>0</v>
      </c>
      <c r="BH15" s="193">
        <v>155</v>
      </c>
      <c r="BI15" s="193">
        <v>125489</v>
      </c>
      <c r="BJ15" s="193">
        <v>0</v>
      </c>
      <c r="BK15" s="193">
        <v>21</v>
      </c>
      <c r="BL15" s="193">
        <v>0</v>
      </c>
      <c r="BN15" s="130"/>
    </row>
    <row r="16" spans="1:66" ht="11.25" customHeight="1">
      <c r="A16" s="13"/>
      <c r="B16" s="159" t="s">
        <v>355</v>
      </c>
      <c r="C16" s="193">
        <v>6848.3900000000012</v>
      </c>
      <c r="D16" s="193">
        <v>1372</v>
      </c>
      <c r="E16" s="193">
        <v>19553.55</v>
      </c>
      <c r="F16" s="193">
        <v>27</v>
      </c>
      <c r="G16" s="193">
        <v>9710.4000000000015</v>
      </c>
      <c r="H16" s="193">
        <v>20520.099999999999</v>
      </c>
      <c r="I16" s="193">
        <v>0</v>
      </c>
      <c r="J16" s="193">
        <v>0</v>
      </c>
      <c r="K16" s="193">
        <v>38</v>
      </c>
      <c r="L16" s="193">
        <v>0</v>
      </c>
      <c r="M16" s="193">
        <v>0</v>
      </c>
      <c r="N16" s="13"/>
      <c r="O16" s="159" t="s">
        <v>355</v>
      </c>
      <c r="P16" s="193">
        <v>508</v>
      </c>
      <c r="Q16" s="193">
        <v>441</v>
      </c>
      <c r="R16" s="193">
        <v>4113</v>
      </c>
      <c r="S16" s="193">
        <v>1353</v>
      </c>
      <c r="T16" s="193">
        <v>1038</v>
      </c>
      <c r="U16" s="193">
        <v>3522</v>
      </c>
      <c r="V16" s="193">
        <v>8676</v>
      </c>
      <c r="W16" s="193">
        <v>13604</v>
      </c>
      <c r="X16" s="193">
        <v>506</v>
      </c>
      <c r="Y16" s="193">
        <v>68</v>
      </c>
      <c r="Z16" s="193">
        <v>174</v>
      </c>
      <c r="AA16" s="13"/>
      <c r="AB16" s="159" t="s">
        <v>355</v>
      </c>
      <c r="AC16" s="193">
        <v>60</v>
      </c>
      <c r="AD16" s="193">
        <v>27</v>
      </c>
      <c r="AE16" s="193">
        <v>223</v>
      </c>
      <c r="AF16" s="193">
        <v>827</v>
      </c>
      <c r="AG16" s="193">
        <v>154</v>
      </c>
      <c r="AH16" s="193">
        <v>128</v>
      </c>
      <c r="AI16" s="193">
        <v>22</v>
      </c>
      <c r="AJ16" s="193">
        <v>250</v>
      </c>
      <c r="AK16" s="193">
        <v>1448</v>
      </c>
      <c r="AL16" s="193">
        <v>12722</v>
      </c>
      <c r="AM16" s="13"/>
      <c r="AN16" s="159" t="s">
        <v>355</v>
      </c>
      <c r="AO16" s="193">
        <v>0</v>
      </c>
      <c r="AP16" s="193">
        <v>0</v>
      </c>
      <c r="AQ16" s="193">
        <v>339161.1</v>
      </c>
      <c r="AR16" s="193">
        <v>5124</v>
      </c>
      <c r="AS16" s="193">
        <v>257</v>
      </c>
      <c r="AT16" s="193">
        <v>13046.1</v>
      </c>
      <c r="AU16" s="193">
        <v>15843.699999999999</v>
      </c>
      <c r="AV16" s="193">
        <v>1472</v>
      </c>
      <c r="AW16" s="193">
        <v>3014</v>
      </c>
      <c r="AX16" s="193">
        <v>0</v>
      </c>
      <c r="AY16" s="193">
        <v>1976.6</v>
      </c>
      <c r="AZ16" s="13"/>
      <c r="BA16" s="159" t="s">
        <v>355</v>
      </c>
      <c r="BB16" s="193">
        <v>18</v>
      </c>
      <c r="BC16" s="193">
        <v>10522.400000000001</v>
      </c>
      <c r="BD16" s="193">
        <v>7064.99</v>
      </c>
      <c r="BE16" s="193">
        <v>0</v>
      </c>
      <c r="BF16" s="193">
        <v>121159.85</v>
      </c>
      <c r="BG16" s="193">
        <v>0</v>
      </c>
      <c r="BH16" s="193">
        <v>46</v>
      </c>
      <c r="BI16" s="193">
        <v>112439</v>
      </c>
      <c r="BJ16" s="193">
        <v>0</v>
      </c>
      <c r="BK16" s="193">
        <v>0</v>
      </c>
      <c r="BL16" s="193">
        <v>0</v>
      </c>
      <c r="BN16" s="130"/>
    </row>
    <row r="17" spans="1:66" ht="11.25" customHeight="1">
      <c r="A17" s="13" t="s">
        <v>28</v>
      </c>
      <c r="B17" s="159" t="s">
        <v>346</v>
      </c>
      <c r="C17" s="193">
        <v>3226.4700000000003</v>
      </c>
      <c r="D17" s="193">
        <v>34341.527999999998</v>
      </c>
      <c r="E17" s="193">
        <v>21532.845999999998</v>
      </c>
      <c r="F17" s="193">
        <v>81864.918000000005</v>
      </c>
      <c r="G17" s="193">
        <v>1661.876</v>
      </c>
      <c r="H17" s="193">
        <v>343.70799999999997</v>
      </c>
      <c r="I17" s="193">
        <v>0</v>
      </c>
      <c r="J17" s="193">
        <v>0</v>
      </c>
      <c r="K17" s="193">
        <v>0</v>
      </c>
      <c r="L17" s="193">
        <v>0</v>
      </c>
      <c r="M17" s="193">
        <v>0</v>
      </c>
      <c r="N17" s="13" t="s">
        <v>28</v>
      </c>
      <c r="O17" s="159" t="s">
        <v>346</v>
      </c>
      <c r="P17" s="193">
        <v>812.47</v>
      </c>
      <c r="Q17" s="193">
        <v>10518.777999999998</v>
      </c>
      <c r="R17" s="193">
        <v>9212.6509999999998</v>
      </c>
      <c r="S17" s="193">
        <v>5361.2699999999995</v>
      </c>
      <c r="T17" s="193">
        <v>2854.5</v>
      </c>
      <c r="U17" s="193">
        <v>945.44</v>
      </c>
      <c r="V17" s="193">
        <v>22729.389000000003</v>
      </c>
      <c r="W17" s="193">
        <v>3360.6130000000003</v>
      </c>
      <c r="X17" s="193">
        <v>20187.628999999997</v>
      </c>
      <c r="Y17" s="193">
        <v>8021.87</v>
      </c>
      <c r="Z17" s="193">
        <v>1558.4559999999999</v>
      </c>
      <c r="AA17" s="13" t="s">
        <v>28</v>
      </c>
      <c r="AB17" s="159" t="s">
        <v>346</v>
      </c>
      <c r="AC17" s="193">
        <v>2641.2020000000002</v>
      </c>
      <c r="AD17" s="193">
        <v>1787.175</v>
      </c>
      <c r="AE17" s="193">
        <v>353.29700000000003</v>
      </c>
      <c r="AF17" s="193">
        <v>3028.3009999999999</v>
      </c>
      <c r="AG17" s="193">
        <v>0</v>
      </c>
      <c r="AH17" s="193">
        <v>0</v>
      </c>
      <c r="AI17" s="193">
        <v>256</v>
      </c>
      <c r="AJ17" s="193">
        <v>324</v>
      </c>
      <c r="AK17" s="193">
        <v>0</v>
      </c>
      <c r="AL17" s="193">
        <v>282.5</v>
      </c>
      <c r="AM17" s="13" t="s">
        <v>28</v>
      </c>
      <c r="AN17" s="159" t="s">
        <v>346</v>
      </c>
      <c r="AO17" s="193">
        <v>0</v>
      </c>
      <c r="AP17" s="193">
        <v>0</v>
      </c>
      <c r="AQ17" s="193">
        <v>259799.91600000003</v>
      </c>
      <c r="AR17" s="193">
        <v>25914.226999999999</v>
      </c>
      <c r="AS17" s="193">
        <v>2805.6400000000003</v>
      </c>
      <c r="AT17" s="193">
        <v>4104.4979999999996</v>
      </c>
      <c r="AU17" s="193">
        <v>10559.923000000001</v>
      </c>
      <c r="AV17" s="193">
        <v>37018.862000000001</v>
      </c>
      <c r="AW17" s="193">
        <v>748.95500000000004</v>
      </c>
      <c r="AX17" s="193">
        <v>72</v>
      </c>
      <c r="AY17" s="193">
        <v>8240.8000000000011</v>
      </c>
      <c r="AZ17" s="13" t="s">
        <v>28</v>
      </c>
      <c r="BA17" s="159" t="s">
        <v>346</v>
      </c>
      <c r="BB17" s="193">
        <v>0</v>
      </c>
      <c r="BC17" s="193">
        <v>2719.5749999999998</v>
      </c>
      <c r="BD17" s="193">
        <v>820.12999999999988</v>
      </c>
      <c r="BE17" s="193">
        <v>0</v>
      </c>
      <c r="BF17" s="193">
        <v>86427.31299999998</v>
      </c>
      <c r="BG17" s="193">
        <v>1183.26</v>
      </c>
      <c r="BH17" s="193">
        <v>0</v>
      </c>
      <c r="BI17" s="193">
        <v>11438.3</v>
      </c>
      <c r="BJ17" s="193">
        <v>0</v>
      </c>
      <c r="BK17" s="193">
        <v>0</v>
      </c>
      <c r="BL17" s="193">
        <v>0</v>
      </c>
      <c r="BN17" s="130"/>
    </row>
    <row r="18" spans="1:66" ht="11.25" customHeight="1">
      <c r="A18" s="13"/>
      <c r="B18" s="159" t="s">
        <v>355</v>
      </c>
      <c r="C18" s="193">
        <v>2650.2190000000001</v>
      </c>
      <c r="D18" s="193">
        <v>40438.038</v>
      </c>
      <c r="E18" s="193">
        <v>23667.345999999998</v>
      </c>
      <c r="F18" s="193">
        <v>90235.400000000023</v>
      </c>
      <c r="G18" s="193">
        <v>998.23</v>
      </c>
      <c r="H18" s="193">
        <v>269.60000000000002</v>
      </c>
      <c r="I18" s="193">
        <v>0</v>
      </c>
      <c r="J18" s="193">
        <v>0</v>
      </c>
      <c r="K18" s="193">
        <v>0</v>
      </c>
      <c r="L18" s="193">
        <v>0</v>
      </c>
      <c r="M18" s="193">
        <v>0</v>
      </c>
      <c r="N18" s="13"/>
      <c r="O18" s="159" t="s">
        <v>355</v>
      </c>
      <c r="P18" s="193">
        <v>932.01999999999987</v>
      </c>
      <c r="Q18" s="193">
        <v>9406.527</v>
      </c>
      <c r="R18" s="193">
        <v>11489.558999999999</v>
      </c>
      <c r="S18" s="193">
        <v>3955.8500000000004</v>
      </c>
      <c r="T18" s="193">
        <v>3998.08</v>
      </c>
      <c r="U18" s="193">
        <v>747.48</v>
      </c>
      <c r="V18" s="193">
        <v>23947.279999999999</v>
      </c>
      <c r="W18" s="193">
        <v>3669.1669999999999</v>
      </c>
      <c r="X18" s="193">
        <v>21163.02</v>
      </c>
      <c r="Y18" s="193">
        <v>10209.877999999999</v>
      </c>
      <c r="Z18" s="193">
        <v>1957.337</v>
      </c>
      <c r="AA18" s="13"/>
      <c r="AB18" s="159" t="s">
        <v>355</v>
      </c>
      <c r="AC18" s="193">
        <v>3027.2180000000003</v>
      </c>
      <c r="AD18" s="193">
        <v>1771.2089999999998</v>
      </c>
      <c r="AE18" s="193">
        <v>370.73699999999997</v>
      </c>
      <c r="AF18" s="193">
        <v>3114.7370000000001</v>
      </c>
      <c r="AG18" s="193">
        <v>0</v>
      </c>
      <c r="AH18" s="193">
        <v>0</v>
      </c>
      <c r="AI18" s="193">
        <v>272</v>
      </c>
      <c r="AJ18" s="193">
        <v>252</v>
      </c>
      <c r="AK18" s="193">
        <v>0</v>
      </c>
      <c r="AL18" s="193">
        <v>162.35</v>
      </c>
      <c r="AM18" s="13"/>
      <c r="AN18" s="159" t="s">
        <v>355</v>
      </c>
      <c r="AO18" s="193">
        <v>0</v>
      </c>
      <c r="AP18" s="193">
        <v>0</v>
      </c>
      <c r="AQ18" s="193">
        <v>264380.34600000002</v>
      </c>
      <c r="AR18" s="193">
        <v>22469.54</v>
      </c>
      <c r="AS18" s="193">
        <v>2553.12</v>
      </c>
      <c r="AT18" s="193">
        <v>1560.4250000000002</v>
      </c>
      <c r="AU18" s="193">
        <v>7635.2999999999993</v>
      </c>
      <c r="AV18" s="193">
        <v>37660.199999999997</v>
      </c>
      <c r="AW18" s="193">
        <v>779.79300000000001</v>
      </c>
      <c r="AX18" s="193">
        <v>0</v>
      </c>
      <c r="AY18" s="193">
        <v>9678.9709999999995</v>
      </c>
      <c r="AZ18" s="13"/>
      <c r="BA18" s="159" t="s">
        <v>355</v>
      </c>
      <c r="BB18" s="193">
        <v>0</v>
      </c>
      <c r="BC18" s="193">
        <v>3054.2820000000002</v>
      </c>
      <c r="BD18" s="193">
        <v>1153.68</v>
      </c>
      <c r="BE18" s="193">
        <v>0</v>
      </c>
      <c r="BF18" s="193">
        <v>91276.700000000012</v>
      </c>
      <c r="BG18" s="193">
        <v>1677.5</v>
      </c>
      <c r="BH18" s="193">
        <v>0</v>
      </c>
      <c r="BI18" s="193">
        <v>14556</v>
      </c>
      <c r="BJ18" s="193">
        <v>0</v>
      </c>
      <c r="BK18" s="193">
        <v>0</v>
      </c>
      <c r="BL18" s="193">
        <v>0</v>
      </c>
      <c r="BN18" s="130"/>
    </row>
    <row r="19" spans="1:66" ht="11.25" customHeight="1">
      <c r="A19" s="13" t="s">
        <v>293</v>
      </c>
      <c r="B19" s="159" t="s">
        <v>346</v>
      </c>
      <c r="C19" s="193">
        <v>0</v>
      </c>
      <c r="D19" s="193">
        <v>0</v>
      </c>
      <c r="E19" s="193">
        <v>0</v>
      </c>
      <c r="F19" s="193">
        <v>0</v>
      </c>
      <c r="G19" s="193">
        <v>0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3" t="s">
        <v>293</v>
      </c>
      <c r="O19" s="159" t="s">
        <v>346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3" t="s">
        <v>293</v>
      </c>
      <c r="AB19" s="159" t="s">
        <v>346</v>
      </c>
      <c r="AC19" s="193">
        <v>0</v>
      </c>
      <c r="AD19" s="193">
        <v>0</v>
      </c>
      <c r="AE19" s="193">
        <v>0</v>
      </c>
      <c r="AF19" s="193">
        <v>0</v>
      </c>
      <c r="AG19" s="193">
        <v>0</v>
      </c>
      <c r="AH19" s="193">
        <v>0</v>
      </c>
      <c r="AI19" s="193">
        <v>0</v>
      </c>
      <c r="AJ19" s="193">
        <v>0</v>
      </c>
      <c r="AK19" s="193">
        <v>0</v>
      </c>
      <c r="AL19" s="193">
        <v>0</v>
      </c>
      <c r="AM19" s="13" t="s">
        <v>293</v>
      </c>
      <c r="AN19" s="159" t="s">
        <v>346</v>
      </c>
      <c r="AO19" s="193">
        <v>0</v>
      </c>
      <c r="AP19" s="193">
        <v>0</v>
      </c>
      <c r="AQ19" s="193">
        <v>0</v>
      </c>
      <c r="AR19" s="193">
        <v>0</v>
      </c>
      <c r="AS19" s="193">
        <v>0</v>
      </c>
      <c r="AT19" s="193">
        <v>0</v>
      </c>
      <c r="AU19" s="193">
        <v>0</v>
      </c>
      <c r="AV19" s="193">
        <v>0</v>
      </c>
      <c r="AW19" s="193">
        <v>0</v>
      </c>
      <c r="AX19" s="193">
        <v>0</v>
      </c>
      <c r="AY19" s="193">
        <v>0</v>
      </c>
      <c r="AZ19" s="13" t="s">
        <v>293</v>
      </c>
      <c r="BA19" s="159" t="s">
        <v>346</v>
      </c>
      <c r="BB19" s="193">
        <v>0</v>
      </c>
      <c r="BC19" s="193">
        <v>0</v>
      </c>
      <c r="BD19" s="193">
        <v>0</v>
      </c>
      <c r="BE19" s="193">
        <v>0</v>
      </c>
      <c r="BF19" s="193">
        <v>0</v>
      </c>
      <c r="BG19" s="193">
        <v>0</v>
      </c>
      <c r="BH19" s="193">
        <v>0</v>
      </c>
      <c r="BI19" s="193">
        <v>0</v>
      </c>
      <c r="BJ19" s="193">
        <v>0</v>
      </c>
      <c r="BK19" s="193">
        <v>0</v>
      </c>
      <c r="BL19" s="193">
        <v>0</v>
      </c>
      <c r="BN19" s="130"/>
    </row>
    <row r="20" spans="1:66" ht="11.25" customHeight="1">
      <c r="A20" s="13"/>
      <c r="B20" s="159" t="s">
        <v>355</v>
      </c>
      <c r="C20" s="193">
        <v>0</v>
      </c>
      <c r="D20" s="193">
        <v>0</v>
      </c>
      <c r="E20" s="193">
        <v>0</v>
      </c>
      <c r="F20" s="193">
        <v>0</v>
      </c>
      <c r="G20" s="193">
        <v>0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3"/>
      <c r="O20" s="159" t="s">
        <v>355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3"/>
      <c r="AB20" s="159" t="s">
        <v>355</v>
      </c>
      <c r="AC20" s="193">
        <v>0</v>
      </c>
      <c r="AD20" s="193">
        <v>0</v>
      </c>
      <c r="AE20" s="193">
        <v>0</v>
      </c>
      <c r="AF20" s="193">
        <v>0</v>
      </c>
      <c r="AG20" s="193">
        <v>0</v>
      </c>
      <c r="AH20" s="193">
        <v>0</v>
      </c>
      <c r="AI20" s="193">
        <v>0</v>
      </c>
      <c r="AJ20" s="193">
        <v>0</v>
      </c>
      <c r="AK20" s="193">
        <v>0</v>
      </c>
      <c r="AL20" s="193">
        <v>0</v>
      </c>
      <c r="AM20" s="13"/>
      <c r="AN20" s="159" t="s">
        <v>355</v>
      </c>
      <c r="AO20" s="193">
        <v>0</v>
      </c>
      <c r="AP20" s="193">
        <v>0</v>
      </c>
      <c r="AQ20" s="193">
        <v>0</v>
      </c>
      <c r="AR20" s="193">
        <v>0</v>
      </c>
      <c r="AS20" s="193">
        <v>0</v>
      </c>
      <c r="AT20" s="193">
        <v>0</v>
      </c>
      <c r="AU20" s="193">
        <v>0</v>
      </c>
      <c r="AV20" s="193">
        <v>0</v>
      </c>
      <c r="AW20" s="193">
        <v>0</v>
      </c>
      <c r="AX20" s="193">
        <v>0</v>
      </c>
      <c r="AY20" s="193">
        <v>0</v>
      </c>
      <c r="AZ20" s="13"/>
      <c r="BA20" s="159" t="s">
        <v>355</v>
      </c>
      <c r="BB20" s="193">
        <v>0</v>
      </c>
      <c r="BC20" s="193">
        <v>0</v>
      </c>
      <c r="BD20" s="193">
        <v>0</v>
      </c>
      <c r="BE20" s="193">
        <v>0</v>
      </c>
      <c r="BF20" s="193">
        <v>0</v>
      </c>
      <c r="BG20" s="193">
        <v>0</v>
      </c>
      <c r="BH20" s="193">
        <v>0</v>
      </c>
      <c r="BI20" s="193">
        <v>0</v>
      </c>
      <c r="BJ20" s="193">
        <v>0</v>
      </c>
      <c r="BK20" s="193">
        <v>0</v>
      </c>
      <c r="BL20" s="193">
        <v>0</v>
      </c>
      <c r="BN20" s="130"/>
    </row>
    <row r="21" spans="1:66" ht="11.25" customHeight="1">
      <c r="A21" s="13" t="s">
        <v>29</v>
      </c>
      <c r="B21" s="159" t="s">
        <v>346</v>
      </c>
      <c r="C21" s="193">
        <v>9246.5000000000018</v>
      </c>
      <c r="D21" s="193">
        <v>5649.3590000000004</v>
      </c>
      <c r="E21" s="193">
        <v>58838.1</v>
      </c>
      <c r="F21" s="193">
        <v>2028.8</v>
      </c>
      <c r="G21" s="193">
        <v>15896.15</v>
      </c>
      <c r="H21" s="193">
        <v>6383.6999999999989</v>
      </c>
      <c r="I21" s="193">
        <v>0</v>
      </c>
      <c r="J21" s="193">
        <v>8110</v>
      </c>
      <c r="K21" s="193">
        <v>0</v>
      </c>
      <c r="L21" s="193">
        <v>0</v>
      </c>
      <c r="M21" s="193">
        <v>0</v>
      </c>
      <c r="N21" s="13" t="s">
        <v>29</v>
      </c>
      <c r="O21" s="159" t="s">
        <v>346</v>
      </c>
      <c r="P21" s="193">
        <v>428</v>
      </c>
      <c r="Q21" s="193">
        <v>3142</v>
      </c>
      <c r="R21" s="193">
        <v>1643.5</v>
      </c>
      <c r="S21" s="193">
        <v>5795</v>
      </c>
      <c r="T21" s="193">
        <v>0</v>
      </c>
      <c r="U21" s="193">
        <v>3738.5</v>
      </c>
      <c r="V21" s="193">
        <v>32252</v>
      </c>
      <c r="W21" s="193">
        <v>7207.3</v>
      </c>
      <c r="X21" s="193">
        <v>16176.4</v>
      </c>
      <c r="Y21" s="193">
        <v>193.3</v>
      </c>
      <c r="Z21" s="193">
        <v>3394</v>
      </c>
      <c r="AA21" s="13" t="s">
        <v>29</v>
      </c>
      <c r="AB21" s="159" t="s">
        <v>346</v>
      </c>
      <c r="AC21" s="193">
        <v>2955.1</v>
      </c>
      <c r="AD21" s="193">
        <v>851</v>
      </c>
      <c r="AE21" s="193">
        <v>1207.9000000000001</v>
      </c>
      <c r="AF21" s="193">
        <v>10255</v>
      </c>
      <c r="AG21" s="193">
        <v>1284.7</v>
      </c>
      <c r="AH21" s="193">
        <v>0</v>
      </c>
      <c r="AI21" s="193">
        <v>0</v>
      </c>
      <c r="AJ21" s="193">
        <v>452</v>
      </c>
      <c r="AK21" s="193">
        <v>1785</v>
      </c>
      <c r="AL21" s="193">
        <v>14170</v>
      </c>
      <c r="AM21" s="13" t="s">
        <v>29</v>
      </c>
      <c r="AN21" s="159" t="s">
        <v>346</v>
      </c>
      <c r="AO21" s="193">
        <v>0</v>
      </c>
      <c r="AP21" s="193">
        <v>0</v>
      </c>
      <c r="AQ21" s="193">
        <v>427567</v>
      </c>
      <c r="AR21" s="193">
        <v>23214.2</v>
      </c>
      <c r="AS21" s="193">
        <v>376.6</v>
      </c>
      <c r="AT21" s="193">
        <v>15121.5</v>
      </c>
      <c r="AU21" s="193">
        <v>29997.5</v>
      </c>
      <c r="AV21" s="193">
        <v>21762.799999999999</v>
      </c>
      <c r="AW21" s="193">
        <v>5786.4</v>
      </c>
      <c r="AX21" s="193">
        <v>0</v>
      </c>
      <c r="AY21" s="193">
        <v>2650.4900000000002</v>
      </c>
      <c r="AZ21" s="13" t="s">
        <v>29</v>
      </c>
      <c r="BA21" s="159" t="s">
        <v>346</v>
      </c>
      <c r="BB21" s="193">
        <v>0</v>
      </c>
      <c r="BC21" s="193">
        <v>13082.05</v>
      </c>
      <c r="BD21" s="193">
        <v>2931.35</v>
      </c>
      <c r="BE21" s="193">
        <v>0</v>
      </c>
      <c r="BF21" s="193">
        <v>100734.31599999999</v>
      </c>
      <c r="BG21" s="193">
        <v>0</v>
      </c>
      <c r="BH21" s="193">
        <v>16205</v>
      </c>
      <c r="BI21" s="193">
        <v>256406</v>
      </c>
      <c r="BJ21" s="193">
        <v>0</v>
      </c>
      <c r="BK21" s="193">
        <v>0</v>
      </c>
      <c r="BL21" s="193">
        <v>0</v>
      </c>
      <c r="BN21" s="130"/>
    </row>
    <row r="22" spans="1:66" ht="11.25" customHeight="1">
      <c r="A22" s="13"/>
      <c r="B22" s="159" t="s">
        <v>355</v>
      </c>
      <c r="C22" s="193">
        <v>4535.7</v>
      </c>
      <c r="D22" s="193">
        <v>4901.8</v>
      </c>
      <c r="E22" s="193">
        <v>64171.89</v>
      </c>
      <c r="F22" s="193">
        <v>1987.6</v>
      </c>
      <c r="G22" s="193">
        <v>11012.1</v>
      </c>
      <c r="H22" s="193">
        <v>11170</v>
      </c>
      <c r="I22" s="193">
        <v>0</v>
      </c>
      <c r="J22" s="193">
        <v>6239.9619999999995</v>
      </c>
      <c r="K22" s="193">
        <v>0</v>
      </c>
      <c r="L22" s="193">
        <v>0</v>
      </c>
      <c r="M22" s="193">
        <v>0</v>
      </c>
      <c r="N22" s="13"/>
      <c r="O22" s="159" t="s">
        <v>355</v>
      </c>
      <c r="P22" s="193">
        <v>633</v>
      </c>
      <c r="Q22" s="193">
        <v>3070</v>
      </c>
      <c r="R22" s="193">
        <v>2616.5</v>
      </c>
      <c r="S22" s="193">
        <v>5792.5</v>
      </c>
      <c r="T22" s="193">
        <v>0</v>
      </c>
      <c r="U22" s="193">
        <v>4745</v>
      </c>
      <c r="V22" s="193">
        <v>35951.5</v>
      </c>
      <c r="W22" s="193">
        <v>6565.6</v>
      </c>
      <c r="X22" s="193">
        <v>15929.9</v>
      </c>
      <c r="Y22" s="193">
        <v>198.5</v>
      </c>
      <c r="Z22" s="193">
        <v>3209.2</v>
      </c>
      <c r="AA22" s="13"/>
      <c r="AB22" s="159" t="s">
        <v>355</v>
      </c>
      <c r="AC22" s="193">
        <v>3477</v>
      </c>
      <c r="AD22" s="193">
        <v>873.2</v>
      </c>
      <c r="AE22" s="193">
        <v>958.30000000000007</v>
      </c>
      <c r="AF22" s="193">
        <v>10214.799999999999</v>
      </c>
      <c r="AG22" s="193">
        <v>910.8</v>
      </c>
      <c r="AH22" s="193">
        <v>0</v>
      </c>
      <c r="AI22" s="193">
        <v>0</v>
      </c>
      <c r="AJ22" s="193">
        <v>609</v>
      </c>
      <c r="AK22" s="193">
        <v>1487</v>
      </c>
      <c r="AL22" s="193">
        <v>11560</v>
      </c>
      <c r="AM22" s="13"/>
      <c r="AN22" s="159" t="s">
        <v>355</v>
      </c>
      <c r="AO22" s="193">
        <v>0</v>
      </c>
      <c r="AP22" s="193">
        <v>0</v>
      </c>
      <c r="AQ22" s="193">
        <v>415152.05</v>
      </c>
      <c r="AR22" s="193">
        <v>17595.099999999999</v>
      </c>
      <c r="AS22" s="193">
        <v>318.20000000000005</v>
      </c>
      <c r="AT22" s="193">
        <v>15834</v>
      </c>
      <c r="AU22" s="193">
        <v>30079</v>
      </c>
      <c r="AV22" s="193">
        <v>24301.89</v>
      </c>
      <c r="AW22" s="193">
        <v>5877.8799999999992</v>
      </c>
      <c r="AX22" s="193">
        <v>0</v>
      </c>
      <c r="AY22" s="193">
        <v>3334.3</v>
      </c>
      <c r="AZ22" s="13"/>
      <c r="BA22" s="159" t="s">
        <v>355</v>
      </c>
      <c r="BB22" s="193">
        <v>0</v>
      </c>
      <c r="BC22" s="193">
        <v>10901</v>
      </c>
      <c r="BD22" s="193">
        <v>2642.2999999999997</v>
      </c>
      <c r="BE22" s="193">
        <v>0</v>
      </c>
      <c r="BF22" s="193">
        <v>100387.35</v>
      </c>
      <c r="BG22" s="193">
        <v>0</v>
      </c>
      <c r="BH22" s="193">
        <v>18583</v>
      </c>
      <c r="BI22" s="193">
        <v>354670</v>
      </c>
      <c r="BJ22" s="193">
        <v>0</v>
      </c>
      <c r="BK22" s="193">
        <v>0</v>
      </c>
      <c r="BL22" s="193">
        <v>0</v>
      </c>
      <c r="BN22" s="130"/>
    </row>
    <row r="23" spans="1:66" ht="11.25" customHeight="1">
      <c r="A23" s="13" t="s">
        <v>30</v>
      </c>
      <c r="B23" s="159" t="s">
        <v>346</v>
      </c>
      <c r="C23" s="193">
        <v>4242.6000000000004</v>
      </c>
      <c r="D23" s="193">
        <v>298.7</v>
      </c>
      <c r="E23" s="193">
        <v>27858.6</v>
      </c>
      <c r="F23" s="193">
        <v>0</v>
      </c>
      <c r="G23" s="193">
        <v>14058.699999999995</v>
      </c>
      <c r="H23" s="193">
        <v>1692.4500000000003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3" t="s">
        <v>30</v>
      </c>
      <c r="O23" s="159" t="s">
        <v>346</v>
      </c>
      <c r="P23" s="193">
        <v>53.9</v>
      </c>
      <c r="Q23" s="193">
        <v>2180.4500000000003</v>
      </c>
      <c r="R23" s="193">
        <v>17596.95</v>
      </c>
      <c r="S23" s="193">
        <v>225.8</v>
      </c>
      <c r="T23" s="193">
        <v>496.80000000000007</v>
      </c>
      <c r="U23" s="193">
        <v>56.5</v>
      </c>
      <c r="V23" s="193">
        <v>7180.9</v>
      </c>
      <c r="W23" s="193">
        <v>13203.7</v>
      </c>
      <c r="X23" s="193">
        <v>861.30000000000007</v>
      </c>
      <c r="Y23" s="193">
        <v>117.89999999999999</v>
      </c>
      <c r="Z23" s="193">
        <v>289.10000000000002</v>
      </c>
      <c r="AA23" s="13" t="s">
        <v>30</v>
      </c>
      <c r="AB23" s="159" t="s">
        <v>346</v>
      </c>
      <c r="AC23" s="193">
        <v>0</v>
      </c>
      <c r="AD23" s="193">
        <v>47.7</v>
      </c>
      <c r="AE23" s="193">
        <v>156.79999999999998</v>
      </c>
      <c r="AF23" s="193">
        <v>221.39999999999998</v>
      </c>
      <c r="AG23" s="193">
        <v>0</v>
      </c>
      <c r="AH23" s="193">
        <v>0</v>
      </c>
      <c r="AI23" s="193">
        <v>0</v>
      </c>
      <c r="AJ23" s="193">
        <v>163.69999999999999</v>
      </c>
      <c r="AK23" s="193">
        <v>283.14999999999998</v>
      </c>
      <c r="AL23" s="193">
        <v>5856.1</v>
      </c>
      <c r="AM23" s="13" t="s">
        <v>30</v>
      </c>
      <c r="AN23" s="159" t="s">
        <v>346</v>
      </c>
      <c r="AO23" s="193">
        <v>0</v>
      </c>
      <c r="AP23" s="193">
        <v>0</v>
      </c>
      <c r="AQ23" s="193">
        <v>280364.25</v>
      </c>
      <c r="AR23" s="193">
        <v>0</v>
      </c>
      <c r="AS23" s="193">
        <v>56.4</v>
      </c>
      <c r="AT23" s="193">
        <v>2596.9500000000003</v>
      </c>
      <c r="AU23" s="193">
        <v>15334.77</v>
      </c>
      <c r="AV23" s="193">
        <v>1.02</v>
      </c>
      <c r="AW23" s="193">
        <v>0</v>
      </c>
      <c r="AX23" s="193">
        <v>0</v>
      </c>
      <c r="AY23" s="193">
        <v>8933.5000000000018</v>
      </c>
      <c r="AZ23" s="13" t="s">
        <v>30</v>
      </c>
      <c r="BA23" s="159" t="s">
        <v>346</v>
      </c>
      <c r="BB23" s="193">
        <v>0</v>
      </c>
      <c r="BC23" s="193">
        <v>7865.9500000000007</v>
      </c>
      <c r="BD23" s="193">
        <v>4325</v>
      </c>
      <c r="BE23" s="193">
        <v>0</v>
      </c>
      <c r="BF23" s="193">
        <v>129290.9</v>
      </c>
      <c r="BG23" s="193">
        <v>0</v>
      </c>
      <c r="BH23" s="193">
        <v>0</v>
      </c>
      <c r="BI23" s="193">
        <v>21240.799999999999</v>
      </c>
      <c r="BJ23" s="193">
        <v>0</v>
      </c>
      <c r="BK23" s="193">
        <v>0</v>
      </c>
      <c r="BL23" s="193">
        <v>0</v>
      </c>
      <c r="BN23" s="130"/>
    </row>
    <row r="24" spans="1:66" ht="11.25" customHeight="1">
      <c r="A24" s="13"/>
      <c r="B24" s="159" t="s">
        <v>355</v>
      </c>
      <c r="C24" s="193">
        <v>2366.6499999999996</v>
      </c>
      <c r="D24" s="193">
        <v>546.20000000000005</v>
      </c>
      <c r="E24" s="193">
        <v>20269.995000000003</v>
      </c>
      <c r="F24" s="193">
        <v>0</v>
      </c>
      <c r="G24" s="193">
        <v>9733.6499999999978</v>
      </c>
      <c r="H24" s="193">
        <v>1819.65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3"/>
      <c r="O24" s="159" t="s">
        <v>355</v>
      </c>
      <c r="P24" s="193">
        <v>270.89999999999998</v>
      </c>
      <c r="Q24" s="193">
        <v>7280.2</v>
      </c>
      <c r="R24" s="193">
        <v>11597.349999999999</v>
      </c>
      <c r="S24" s="193">
        <v>968.49999999999989</v>
      </c>
      <c r="T24" s="193">
        <v>428.3</v>
      </c>
      <c r="U24" s="193">
        <v>283.79999999999995</v>
      </c>
      <c r="V24" s="193">
        <v>6117.1000000000013</v>
      </c>
      <c r="W24" s="193">
        <v>15386.678999999998</v>
      </c>
      <c r="X24" s="193">
        <v>882.40000000000009</v>
      </c>
      <c r="Y24" s="193">
        <v>106.4</v>
      </c>
      <c r="Z24" s="193">
        <v>256</v>
      </c>
      <c r="AA24" s="13"/>
      <c r="AB24" s="159" t="s">
        <v>355</v>
      </c>
      <c r="AC24" s="193">
        <v>0</v>
      </c>
      <c r="AD24" s="193">
        <v>10.45</v>
      </c>
      <c r="AE24" s="193">
        <v>160</v>
      </c>
      <c r="AF24" s="193">
        <v>221.95</v>
      </c>
      <c r="AG24" s="193">
        <v>0</v>
      </c>
      <c r="AH24" s="193">
        <v>0</v>
      </c>
      <c r="AI24" s="193">
        <v>0</v>
      </c>
      <c r="AJ24" s="193">
        <v>144.64999999999998</v>
      </c>
      <c r="AK24" s="193">
        <v>245.7</v>
      </c>
      <c r="AL24" s="193">
        <v>6071.7500000000009</v>
      </c>
      <c r="AM24" s="13"/>
      <c r="AN24" s="159" t="s">
        <v>355</v>
      </c>
      <c r="AO24" s="193">
        <v>0</v>
      </c>
      <c r="AP24" s="193">
        <v>0</v>
      </c>
      <c r="AQ24" s="193">
        <v>229388.89999999997</v>
      </c>
      <c r="AR24" s="193">
        <v>0</v>
      </c>
      <c r="AS24" s="193">
        <v>24.1</v>
      </c>
      <c r="AT24" s="193">
        <v>2579.4</v>
      </c>
      <c r="AU24" s="193">
        <v>11741.149999999998</v>
      </c>
      <c r="AV24" s="193">
        <v>0</v>
      </c>
      <c r="AW24" s="193">
        <v>0</v>
      </c>
      <c r="AX24" s="193">
        <v>0</v>
      </c>
      <c r="AY24" s="193">
        <v>9376.3499999999985</v>
      </c>
      <c r="AZ24" s="13"/>
      <c r="BA24" s="159" t="s">
        <v>355</v>
      </c>
      <c r="BB24" s="193">
        <v>1.2</v>
      </c>
      <c r="BC24" s="193">
        <v>5495.1499999999987</v>
      </c>
      <c r="BD24" s="193">
        <v>3256.7</v>
      </c>
      <c r="BE24" s="193">
        <v>0</v>
      </c>
      <c r="BF24" s="193">
        <v>130996.09999999999</v>
      </c>
      <c r="BG24" s="193">
        <v>0</v>
      </c>
      <c r="BH24" s="193">
        <v>223</v>
      </c>
      <c r="BI24" s="193">
        <v>31960.550000000003</v>
      </c>
      <c r="BJ24" s="193">
        <v>0</v>
      </c>
      <c r="BK24" s="193">
        <v>0</v>
      </c>
      <c r="BL24" s="193">
        <v>0</v>
      </c>
      <c r="BN24" s="130"/>
    </row>
    <row r="25" spans="1:66" ht="11.25" customHeight="1">
      <c r="A25" s="13" t="s">
        <v>155</v>
      </c>
      <c r="B25" s="159" t="s">
        <v>346</v>
      </c>
      <c r="C25" s="193">
        <v>5287</v>
      </c>
      <c r="D25" s="193">
        <v>28438</v>
      </c>
      <c r="E25" s="193">
        <v>8527</v>
      </c>
      <c r="F25" s="193">
        <v>21854</v>
      </c>
      <c r="G25" s="193">
        <v>3214</v>
      </c>
      <c r="H25" s="193">
        <v>513.09999999999991</v>
      </c>
      <c r="I25" s="193">
        <v>0</v>
      </c>
      <c r="J25" s="193">
        <v>0</v>
      </c>
      <c r="K25" s="193">
        <v>180.70000000000005</v>
      </c>
      <c r="L25" s="193">
        <v>0</v>
      </c>
      <c r="M25" s="193">
        <v>0</v>
      </c>
      <c r="N25" s="13" t="s">
        <v>155</v>
      </c>
      <c r="O25" s="159" t="s">
        <v>346</v>
      </c>
      <c r="P25" s="193">
        <v>431</v>
      </c>
      <c r="Q25" s="193">
        <v>13657</v>
      </c>
      <c r="R25" s="193">
        <v>8123</v>
      </c>
      <c r="S25" s="193">
        <v>1743</v>
      </c>
      <c r="T25" s="193">
        <v>187</v>
      </c>
      <c r="U25" s="193">
        <v>1034</v>
      </c>
      <c r="V25" s="193">
        <v>6692.4</v>
      </c>
      <c r="W25" s="193">
        <v>1026.5</v>
      </c>
      <c r="X25" s="193">
        <v>113237</v>
      </c>
      <c r="Y25" s="193">
        <v>322.8</v>
      </c>
      <c r="Z25" s="193">
        <v>1090.5</v>
      </c>
      <c r="AA25" s="13" t="s">
        <v>155</v>
      </c>
      <c r="AB25" s="159" t="s">
        <v>346</v>
      </c>
      <c r="AC25" s="193">
        <v>4153</v>
      </c>
      <c r="AD25" s="193">
        <v>1279.7</v>
      </c>
      <c r="AE25" s="193">
        <v>777</v>
      </c>
      <c r="AF25" s="193">
        <v>3780</v>
      </c>
      <c r="AG25" s="193">
        <v>837</v>
      </c>
      <c r="AH25" s="193">
        <v>0</v>
      </c>
      <c r="AI25" s="193">
        <v>0</v>
      </c>
      <c r="AJ25" s="193">
        <v>95</v>
      </c>
      <c r="AK25" s="193">
        <v>1333</v>
      </c>
      <c r="AL25" s="193">
        <v>151.69999999999999</v>
      </c>
      <c r="AM25" s="13" t="s">
        <v>155</v>
      </c>
      <c r="AN25" s="159" t="s">
        <v>346</v>
      </c>
      <c r="AO25" s="193">
        <v>0</v>
      </c>
      <c r="AP25" s="193">
        <v>17245</v>
      </c>
      <c r="AQ25" s="193">
        <v>366813</v>
      </c>
      <c r="AR25" s="193">
        <v>29007</v>
      </c>
      <c r="AS25" s="193">
        <v>2570</v>
      </c>
      <c r="AT25" s="193">
        <v>4321</v>
      </c>
      <c r="AU25" s="193">
        <v>14929</v>
      </c>
      <c r="AV25" s="193">
        <v>7149</v>
      </c>
      <c r="AW25" s="193">
        <v>7717</v>
      </c>
      <c r="AX25" s="193">
        <v>0</v>
      </c>
      <c r="AY25" s="193">
        <v>1791</v>
      </c>
      <c r="AZ25" s="13" t="s">
        <v>155</v>
      </c>
      <c r="BA25" s="159" t="s">
        <v>346</v>
      </c>
      <c r="BB25" s="193">
        <v>0</v>
      </c>
      <c r="BC25" s="193">
        <v>1536</v>
      </c>
      <c r="BD25" s="193">
        <v>690.99900000000002</v>
      </c>
      <c r="BE25" s="193">
        <v>0</v>
      </c>
      <c r="BF25" s="193">
        <v>15804</v>
      </c>
      <c r="BG25" s="193">
        <v>4792</v>
      </c>
      <c r="BH25" s="193">
        <v>0</v>
      </c>
      <c r="BI25" s="193">
        <v>18468</v>
      </c>
      <c r="BJ25" s="193">
        <v>0</v>
      </c>
      <c r="BK25" s="193">
        <v>0</v>
      </c>
      <c r="BL25" s="193">
        <v>0</v>
      </c>
      <c r="BN25" s="130"/>
    </row>
    <row r="26" spans="1:66" ht="11.25" customHeight="1">
      <c r="A26" s="13"/>
      <c r="B26" s="159" t="s">
        <v>355</v>
      </c>
      <c r="C26" s="193">
        <v>5018</v>
      </c>
      <c r="D26" s="193">
        <v>21522</v>
      </c>
      <c r="E26" s="193">
        <v>7595</v>
      </c>
      <c r="F26" s="193">
        <v>19096</v>
      </c>
      <c r="G26" s="193">
        <v>3391.5</v>
      </c>
      <c r="H26" s="193">
        <v>629</v>
      </c>
      <c r="I26" s="193">
        <v>0</v>
      </c>
      <c r="J26" s="193">
        <v>0</v>
      </c>
      <c r="K26" s="193">
        <v>180.50000000000003</v>
      </c>
      <c r="L26" s="193">
        <v>0</v>
      </c>
      <c r="M26" s="193">
        <v>0</v>
      </c>
      <c r="N26" s="13"/>
      <c r="O26" s="159" t="s">
        <v>355</v>
      </c>
      <c r="P26" s="193">
        <v>570</v>
      </c>
      <c r="Q26" s="193">
        <v>20092</v>
      </c>
      <c r="R26" s="193">
        <v>8906.5</v>
      </c>
      <c r="S26" s="193">
        <v>2352</v>
      </c>
      <c r="T26" s="193">
        <v>193.5</v>
      </c>
      <c r="U26" s="193">
        <v>1071</v>
      </c>
      <c r="V26" s="193">
        <v>7259</v>
      </c>
      <c r="W26" s="193">
        <v>1138</v>
      </c>
      <c r="X26" s="193">
        <v>113817</v>
      </c>
      <c r="Y26" s="193">
        <v>298</v>
      </c>
      <c r="Z26" s="193">
        <v>1135</v>
      </c>
      <c r="AA26" s="13"/>
      <c r="AB26" s="159" t="s">
        <v>355</v>
      </c>
      <c r="AC26" s="193">
        <v>4187.5</v>
      </c>
      <c r="AD26" s="193">
        <v>1210.5</v>
      </c>
      <c r="AE26" s="193">
        <v>789.5</v>
      </c>
      <c r="AF26" s="193">
        <v>3906</v>
      </c>
      <c r="AG26" s="193">
        <v>864</v>
      </c>
      <c r="AH26" s="193">
        <v>0</v>
      </c>
      <c r="AI26" s="193">
        <v>0</v>
      </c>
      <c r="AJ26" s="193">
        <v>96</v>
      </c>
      <c r="AK26" s="193">
        <v>1389.5</v>
      </c>
      <c r="AL26" s="193">
        <v>151</v>
      </c>
      <c r="AM26" s="13"/>
      <c r="AN26" s="159" t="s">
        <v>355</v>
      </c>
      <c r="AO26" s="193">
        <v>0</v>
      </c>
      <c r="AP26" s="193">
        <v>18494</v>
      </c>
      <c r="AQ26" s="193">
        <v>393988</v>
      </c>
      <c r="AR26" s="193">
        <v>29431</v>
      </c>
      <c r="AS26" s="193">
        <v>2417</v>
      </c>
      <c r="AT26" s="193">
        <v>4544</v>
      </c>
      <c r="AU26" s="193">
        <v>16880.3</v>
      </c>
      <c r="AV26" s="193">
        <v>7246</v>
      </c>
      <c r="AW26" s="193">
        <v>8301.7000000000007</v>
      </c>
      <c r="AX26" s="193">
        <v>0</v>
      </c>
      <c r="AY26" s="193">
        <v>2065</v>
      </c>
      <c r="AZ26" s="13"/>
      <c r="BA26" s="159" t="s">
        <v>355</v>
      </c>
      <c r="BB26" s="193">
        <v>0</v>
      </c>
      <c r="BC26" s="193">
        <v>1529</v>
      </c>
      <c r="BD26" s="193">
        <v>748</v>
      </c>
      <c r="BE26" s="193">
        <v>0</v>
      </c>
      <c r="BF26" s="193">
        <v>18548</v>
      </c>
      <c r="BG26" s="193">
        <v>4895</v>
      </c>
      <c r="BH26" s="193">
        <v>725</v>
      </c>
      <c r="BI26" s="193">
        <v>18438</v>
      </c>
      <c r="BJ26" s="193">
        <v>0</v>
      </c>
      <c r="BK26" s="193">
        <v>0</v>
      </c>
      <c r="BL26" s="193">
        <v>0</v>
      </c>
      <c r="BN26" s="130"/>
    </row>
    <row r="27" spans="1:66" ht="11.25" customHeight="1">
      <c r="A27" s="13" t="s">
        <v>31</v>
      </c>
      <c r="B27" s="159" t="s">
        <v>346</v>
      </c>
      <c r="C27" s="193">
        <v>20.25</v>
      </c>
      <c r="D27" s="193">
        <v>95156.290000000008</v>
      </c>
      <c r="E27" s="193">
        <v>34.299999999999997</v>
      </c>
      <c r="F27" s="193">
        <v>0</v>
      </c>
      <c r="G27" s="193">
        <v>76.5</v>
      </c>
      <c r="H27" s="193">
        <v>6.3</v>
      </c>
      <c r="I27" s="193">
        <v>88894.459000000003</v>
      </c>
      <c r="J27" s="193">
        <v>0</v>
      </c>
      <c r="K27" s="193">
        <v>2643.75</v>
      </c>
      <c r="L27" s="193">
        <v>0</v>
      </c>
      <c r="M27" s="193">
        <v>44.18</v>
      </c>
      <c r="N27" s="13" t="s">
        <v>31</v>
      </c>
      <c r="O27" s="159" t="s">
        <v>346</v>
      </c>
      <c r="P27" s="193">
        <v>48989.55</v>
      </c>
      <c r="Q27" s="193">
        <v>5371.85</v>
      </c>
      <c r="R27" s="193">
        <v>244.14000000000001</v>
      </c>
      <c r="S27" s="193">
        <v>142.80000000000001</v>
      </c>
      <c r="T27" s="193">
        <v>22.1</v>
      </c>
      <c r="U27" s="193">
        <v>46562.880000000005</v>
      </c>
      <c r="V27" s="193">
        <v>379.79899999999998</v>
      </c>
      <c r="W27" s="193">
        <v>59385.429000000004</v>
      </c>
      <c r="X27" s="193">
        <v>1334.35</v>
      </c>
      <c r="Y27" s="193">
        <v>7977.7570000000005</v>
      </c>
      <c r="Z27" s="193">
        <v>144.55000000000001</v>
      </c>
      <c r="AA27" s="13" t="s">
        <v>31</v>
      </c>
      <c r="AB27" s="159" t="s">
        <v>346</v>
      </c>
      <c r="AC27" s="193">
        <v>0</v>
      </c>
      <c r="AD27" s="193">
        <v>9.5</v>
      </c>
      <c r="AE27" s="193">
        <v>1099.2</v>
      </c>
      <c r="AF27" s="193">
        <v>2424.37</v>
      </c>
      <c r="AG27" s="193">
        <v>107411.35</v>
      </c>
      <c r="AH27" s="193">
        <v>1333.9</v>
      </c>
      <c r="AI27" s="193">
        <v>212650.91</v>
      </c>
      <c r="AJ27" s="193">
        <v>1126.6299999999999</v>
      </c>
      <c r="AK27" s="193">
        <v>547.5</v>
      </c>
      <c r="AL27" s="193">
        <v>926.94799999999998</v>
      </c>
      <c r="AM27" s="13" t="s">
        <v>31</v>
      </c>
      <c r="AN27" s="159" t="s">
        <v>346</v>
      </c>
      <c r="AO27" s="193">
        <v>6712.58</v>
      </c>
      <c r="AP27" s="193">
        <v>0</v>
      </c>
      <c r="AQ27" s="193">
        <v>611.61</v>
      </c>
      <c r="AR27" s="193">
        <v>2155.6</v>
      </c>
      <c r="AS27" s="193">
        <v>13133</v>
      </c>
      <c r="AT27" s="193">
        <v>24.8</v>
      </c>
      <c r="AU27" s="193">
        <v>0</v>
      </c>
      <c r="AV27" s="193">
        <v>0</v>
      </c>
      <c r="AW27" s="193">
        <v>0</v>
      </c>
      <c r="AX27" s="193">
        <v>1182.0899999999999</v>
      </c>
      <c r="AY27" s="193">
        <v>18.899999999999999</v>
      </c>
      <c r="AZ27" s="13" t="s">
        <v>31</v>
      </c>
      <c r="BA27" s="159" t="s">
        <v>346</v>
      </c>
      <c r="BB27" s="193">
        <v>101.95</v>
      </c>
      <c r="BC27" s="193">
        <v>0</v>
      </c>
      <c r="BD27" s="193">
        <v>0</v>
      </c>
      <c r="BE27" s="193">
        <v>0</v>
      </c>
      <c r="BF27" s="193">
        <v>65791.829000000012</v>
      </c>
      <c r="BG27" s="193">
        <v>0</v>
      </c>
      <c r="BH27" s="193">
        <v>0</v>
      </c>
      <c r="BI27" s="193">
        <v>0</v>
      </c>
      <c r="BJ27" s="193">
        <v>10345.988999999998</v>
      </c>
      <c r="BK27" s="193">
        <v>0</v>
      </c>
      <c r="BL27" s="193">
        <v>1.5</v>
      </c>
      <c r="BN27" s="130"/>
    </row>
    <row r="28" spans="1:66" ht="11.25" customHeight="1">
      <c r="A28" s="13"/>
      <c r="B28" s="159" t="s">
        <v>355</v>
      </c>
      <c r="C28" s="193">
        <v>38.775999999999996</v>
      </c>
      <c r="D28" s="193">
        <v>132412.408</v>
      </c>
      <c r="E28" s="193">
        <v>215.70099999999999</v>
      </c>
      <c r="F28" s="193">
        <v>0</v>
      </c>
      <c r="G28" s="193">
        <v>108.557</v>
      </c>
      <c r="H28" s="193">
        <v>16.698999999999998</v>
      </c>
      <c r="I28" s="193">
        <v>68895.469999999987</v>
      </c>
      <c r="J28" s="193">
        <v>0</v>
      </c>
      <c r="K28" s="193">
        <v>4202.2699999999995</v>
      </c>
      <c r="L28" s="193">
        <v>0</v>
      </c>
      <c r="M28" s="193">
        <v>243.55</v>
      </c>
      <c r="N28" s="13"/>
      <c r="O28" s="159" t="s">
        <v>355</v>
      </c>
      <c r="P28" s="193">
        <v>58802.651000000005</v>
      </c>
      <c r="Q28" s="193">
        <v>5707.82</v>
      </c>
      <c r="R28" s="193">
        <v>202.929</v>
      </c>
      <c r="S28" s="193">
        <v>17.8</v>
      </c>
      <c r="T28" s="193">
        <v>0</v>
      </c>
      <c r="U28" s="193">
        <v>46124.813999999998</v>
      </c>
      <c r="V28" s="193">
        <v>150.6</v>
      </c>
      <c r="W28" s="193">
        <v>61285.858999999997</v>
      </c>
      <c r="X28" s="193">
        <v>1298.05</v>
      </c>
      <c r="Y28" s="193">
        <v>7409.8390000000009</v>
      </c>
      <c r="Z28" s="193">
        <v>171.8</v>
      </c>
      <c r="AA28" s="13"/>
      <c r="AB28" s="159" t="s">
        <v>355</v>
      </c>
      <c r="AC28" s="193">
        <v>0</v>
      </c>
      <c r="AD28" s="193">
        <v>12</v>
      </c>
      <c r="AE28" s="193">
        <v>459.41900000000004</v>
      </c>
      <c r="AF28" s="193">
        <v>2568.9099999999994</v>
      </c>
      <c r="AG28" s="193">
        <v>111369.54999999999</v>
      </c>
      <c r="AH28" s="193">
        <v>1837.4</v>
      </c>
      <c r="AI28" s="193">
        <v>275002.92</v>
      </c>
      <c r="AJ28" s="193">
        <v>1125.77</v>
      </c>
      <c r="AK28" s="193">
        <v>575.25</v>
      </c>
      <c r="AL28" s="193">
        <v>944.60000000000014</v>
      </c>
      <c r="AM28" s="13"/>
      <c r="AN28" s="159" t="s">
        <v>355</v>
      </c>
      <c r="AO28" s="193">
        <v>5602.7</v>
      </c>
      <c r="AP28" s="193">
        <v>0</v>
      </c>
      <c r="AQ28" s="193">
        <v>1714.9300000000003</v>
      </c>
      <c r="AR28" s="193">
        <v>4371.1419999999998</v>
      </c>
      <c r="AS28" s="193">
        <v>9930.6329999999998</v>
      </c>
      <c r="AT28" s="193">
        <v>0</v>
      </c>
      <c r="AU28" s="193">
        <v>13.65</v>
      </c>
      <c r="AV28" s="193">
        <v>0</v>
      </c>
      <c r="AW28" s="193">
        <v>0</v>
      </c>
      <c r="AX28" s="193">
        <v>1719.204</v>
      </c>
      <c r="AY28" s="193">
        <v>29.821999999999996</v>
      </c>
      <c r="AZ28" s="13"/>
      <c r="BA28" s="159" t="s">
        <v>355</v>
      </c>
      <c r="BB28" s="193">
        <v>188.35</v>
      </c>
      <c r="BC28" s="193">
        <v>0</v>
      </c>
      <c r="BD28" s="193">
        <v>0</v>
      </c>
      <c r="BE28" s="193">
        <v>0</v>
      </c>
      <c r="BF28" s="193">
        <v>71632.438999999998</v>
      </c>
      <c r="BG28" s="193">
        <v>0</v>
      </c>
      <c r="BH28" s="193">
        <v>0</v>
      </c>
      <c r="BI28" s="193">
        <v>0</v>
      </c>
      <c r="BJ28" s="193">
        <v>6280.4880000000003</v>
      </c>
      <c r="BK28" s="193">
        <v>0</v>
      </c>
      <c r="BL28" s="193">
        <v>293.5</v>
      </c>
      <c r="BN28" s="130"/>
    </row>
    <row r="29" spans="1:66" ht="11.25" customHeight="1">
      <c r="A29" s="13" t="s">
        <v>156</v>
      </c>
      <c r="B29" s="159" t="s">
        <v>346</v>
      </c>
      <c r="C29" s="193">
        <v>3847.0000000000005</v>
      </c>
      <c r="D29" s="193">
        <v>19710.5</v>
      </c>
      <c r="E29" s="193">
        <v>11660.650000000003</v>
      </c>
      <c r="F29" s="193">
        <v>1256.8</v>
      </c>
      <c r="G29" s="193">
        <v>10297.099999999999</v>
      </c>
      <c r="H29" s="193">
        <v>2815.2</v>
      </c>
      <c r="I29" s="193">
        <v>0</v>
      </c>
      <c r="J29" s="193">
        <v>2452.3999999999996</v>
      </c>
      <c r="K29" s="193">
        <v>1012.6</v>
      </c>
      <c r="L29" s="193">
        <v>0</v>
      </c>
      <c r="M29" s="193">
        <v>0</v>
      </c>
      <c r="N29" s="13" t="s">
        <v>156</v>
      </c>
      <c r="O29" s="159" t="s">
        <v>346</v>
      </c>
      <c r="P29" s="193">
        <v>57.4</v>
      </c>
      <c r="Q29" s="193">
        <v>2277.3000000000002</v>
      </c>
      <c r="R29" s="193">
        <v>21495.199999999997</v>
      </c>
      <c r="S29" s="193">
        <v>20636.800000000003</v>
      </c>
      <c r="T29" s="193">
        <v>2972.7</v>
      </c>
      <c r="U29" s="193">
        <v>1838.8000000000002</v>
      </c>
      <c r="V29" s="193">
        <v>94014.999999999985</v>
      </c>
      <c r="W29" s="193">
        <v>22956.6</v>
      </c>
      <c r="X29" s="193">
        <v>105001.48</v>
      </c>
      <c r="Y29" s="193">
        <v>814.15000000000009</v>
      </c>
      <c r="Z29" s="193">
        <v>5613.9480000000003</v>
      </c>
      <c r="AA29" s="13" t="s">
        <v>156</v>
      </c>
      <c r="AB29" s="159" t="s">
        <v>346</v>
      </c>
      <c r="AC29" s="193">
        <v>233506.3</v>
      </c>
      <c r="AD29" s="193">
        <v>5607.5</v>
      </c>
      <c r="AE29" s="193">
        <v>1922.8500000000004</v>
      </c>
      <c r="AF29" s="193">
        <v>151309.95000000001</v>
      </c>
      <c r="AG29" s="193">
        <v>32027.65</v>
      </c>
      <c r="AH29" s="193">
        <v>30945.599999999999</v>
      </c>
      <c r="AI29" s="193">
        <v>0</v>
      </c>
      <c r="AJ29" s="193">
        <v>116.60000000000001</v>
      </c>
      <c r="AK29" s="193">
        <v>288.30000000000007</v>
      </c>
      <c r="AL29" s="193">
        <v>169.6</v>
      </c>
      <c r="AM29" s="13" t="s">
        <v>156</v>
      </c>
      <c r="AN29" s="159" t="s">
        <v>346</v>
      </c>
      <c r="AO29" s="193">
        <v>0</v>
      </c>
      <c r="AP29" s="193">
        <v>0</v>
      </c>
      <c r="AQ29" s="193">
        <v>354910.25900000008</v>
      </c>
      <c r="AR29" s="193">
        <v>53318.5</v>
      </c>
      <c r="AS29" s="193">
        <v>0</v>
      </c>
      <c r="AT29" s="193">
        <v>3440.7</v>
      </c>
      <c r="AU29" s="193">
        <v>16717.870000000003</v>
      </c>
      <c r="AV29" s="193">
        <v>62509.907000000007</v>
      </c>
      <c r="AW29" s="193">
        <v>15728.992</v>
      </c>
      <c r="AX29" s="193">
        <v>0</v>
      </c>
      <c r="AY29" s="193">
        <v>1936.1</v>
      </c>
      <c r="AZ29" s="13" t="s">
        <v>156</v>
      </c>
      <c r="BA29" s="159" t="s">
        <v>346</v>
      </c>
      <c r="BB29" s="193">
        <v>0</v>
      </c>
      <c r="BC29" s="193">
        <v>2880.9390000000003</v>
      </c>
      <c r="BD29" s="193">
        <v>1472.5000000000002</v>
      </c>
      <c r="BE29" s="193">
        <v>0</v>
      </c>
      <c r="BF29" s="193">
        <v>73303.89999999998</v>
      </c>
      <c r="BG29" s="193">
        <v>0</v>
      </c>
      <c r="BH29" s="193">
        <v>4477.7</v>
      </c>
      <c r="BI29" s="193">
        <v>82796.2</v>
      </c>
      <c r="BJ29" s="193">
        <v>0</v>
      </c>
      <c r="BK29" s="193">
        <v>31.15</v>
      </c>
      <c r="BL29" s="193">
        <v>0</v>
      </c>
      <c r="BN29" s="130"/>
    </row>
    <row r="30" spans="1:66" ht="11.25" customHeight="1">
      <c r="A30" s="13"/>
      <c r="B30" s="159" t="s">
        <v>355</v>
      </c>
      <c r="C30" s="193">
        <v>3897.9999999999995</v>
      </c>
      <c r="D30" s="193">
        <v>20704.849999999999</v>
      </c>
      <c r="E30" s="193">
        <v>9780.6489999999994</v>
      </c>
      <c r="F30" s="193">
        <v>1126.6500000000001</v>
      </c>
      <c r="G30" s="193">
        <v>10782.299999999997</v>
      </c>
      <c r="H30" s="193">
        <v>3703.1999999999989</v>
      </c>
      <c r="I30" s="193">
        <v>0</v>
      </c>
      <c r="J30" s="193">
        <v>2347.2999999999993</v>
      </c>
      <c r="K30" s="193">
        <v>1185.9000000000001</v>
      </c>
      <c r="L30" s="193">
        <v>0</v>
      </c>
      <c r="M30" s="193">
        <v>0</v>
      </c>
      <c r="N30" s="13"/>
      <c r="O30" s="159" t="s">
        <v>355</v>
      </c>
      <c r="P30" s="193">
        <v>60.1</v>
      </c>
      <c r="Q30" s="193">
        <v>2711.6999999999994</v>
      </c>
      <c r="R30" s="193">
        <v>22099.199999999997</v>
      </c>
      <c r="S30" s="193">
        <v>20638.399999999998</v>
      </c>
      <c r="T30" s="193">
        <v>2817</v>
      </c>
      <c r="U30" s="193">
        <v>1691.5000000000002</v>
      </c>
      <c r="V30" s="193">
        <v>92586.400000000009</v>
      </c>
      <c r="W30" s="193">
        <v>26746.129000000001</v>
      </c>
      <c r="X30" s="193">
        <v>109500.45999999999</v>
      </c>
      <c r="Y30" s="193">
        <v>847.7</v>
      </c>
      <c r="Z30" s="193">
        <v>6644.14</v>
      </c>
      <c r="AA30" s="13"/>
      <c r="AB30" s="159" t="s">
        <v>355</v>
      </c>
      <c r="AC30" s="193">
        <v>238332.55</v>
      </c>
      <c r="AD30" s="193">
        <v>5015.76</v>
      </c>
      <c r="AE30" s="193">
        <v>1997.2799999999997</v>
      </c>
      <c r="AF30" s="193">
        <v>153512.84</v>
      </c>
      <c r="AG30" s="193">
        <v>32863.219000000005</v>
      </c>
      <c r="AH30" s="193">
        <v>31201.460000000003</v>
      </c>
      <c r="AI30" s="193">
        <v>0</v>
      </c>
      <c r="AJ30" s="193">
        <v>131.29999999999998</v>
      </c>
      <c r="AK30" s="193">
        <v>330.3</v>
      </c>
      <c r="AL30" s="193">
        <v>164.5</v>
      </c>
      <c r="AM30" s="13"/>
      <c r="AN30" s="159" t="s">
        <v>355</v>
      </c>
      <c r="AO30" s="193">
        <v>0</v>
      </c>
      <c r="AP30" s="193">
        <v>0</v>
      </c>
      <c r="AQ30" s="193">
        <v>358848.8</v>
      </c>
      <c r="AR30" s="193">
        <v>51722.5</v>
      </c>
      <c r="AS30" s="193">
        <v>0</v>
      </c>
      <c r="AT30" s="193">
        <v>3522.0000000000009</v>
      </c>
      <c r="AU30" s="193">
        <v>17755.099999999999</v>
      </c>
      <c r="AV30" s="193">
        <v>60397.809000000001</v>
      </c>
      <c r="AW30" s="193">
        <v>16366.224999999999</v>
      </c>
      <c r="AX30" s="193">
        <v>0</v>
      </c>
      <c r="AY30" s="193">
        <v>2031.5800000000002</v>
      </c>
      <c r="AZ30" s="13"/>
      <c r="BA30" s="159" t="s">
        <v>355</v>
      </c>
      <c r="BB30" s="193">
        <v>0</v>
      </c>
      <c r="BC30" s="193">
        <v>2529.4700000000003</v>
      </c>
      <c r="BD30" s="193">
        <v>1133.17</v>
      </c>
      <c r="BE30" s="193">
        <v>0</v>
      </c>
      <c r="BF30" s="193">
        <v>73553.399999999994</v>
      </c>
      <c r="BG30" s="193">
        <v>0</v>
      </c>
      <c r="BH30" s="193">
        <v>11209.7</v>
      </c>
      <c r="BI30" s="193">
        <v>97861.6</v>
      </c>
      <c r="BJ30" s="193">
        <v>0</v>
      </c>
      <c r="BK30" s="193">
        <v>38.89</v>
      </c>
      <c r="BL30" s="193">
        <v>0</v>
      </c>
      <c r="BN30" s="130"/>
    </row>
    <row r="31" spans="1:66" ht="11.25" customHeight="1">
      <c r="A31" s="13" t="s">
        <v>32</v>
      </c>
      <c r="B31" s="159" t="s">
        <v>346</v>
      </c>
      <c r="C31" s="193">
        <v>5160.5</v>
      </c>
      <c r="D31" s="193">
        <v>34738.400000000001</v>
      </c>
      <c r="E31" s="193">
        <v>8983.2000000000007</v>
      </c>
      <c r="F31" s="193">
        <v>382750.5</v>
      </c>
      <c r="G31" s="193">
        <v>3008.4</v>
      </c>
      <c r="H31" s="193">
        <v>387.8</v>
      </c>
      <c r="I31" s="193">
        <v>78015.899999999994</v>
      </c>
      <c r="J31" s="193">
        <v>0</v>
      </c>
      <c r="K31" s="193">
        <v>2565.2499999999995</v>
      </c>
      <c r="L31" s="193">
        <v>4902</v>
      </c>
      <c r="M31" s="193">
        <v>15010.6</v>
      </c>
      <c r="N31" s="13" t="s">
        <v>32</v>
      </c>
      <c r="O31" s="159" t="s">
        <v>346</v>
      </c>
      <c r="P31" s="193">
        <v>3008.65</v>
      </c>
      <c r="Q31" s="193">
        <v>10427.1</v>
      </c>
      <c r="R31" s="193">
        <v>2845.4</v>
      </c>
      <c r="S31" s="193">
        <v>6403.0999999999995</v>
      </c>
      <c r="T31" s="193">
        <v>1341.8000000000002</v>
      </c>
      <c r="U31" s="193">
        <v>11835.2</v>
      </c>
      <c r="V31" s="193">
        <v>9205.1999999999989</v>
      </c>
      <c r="W31" s="193">
        <v>170411.88900000002</v>
      </c>
      <c r="X31" s="193">
        <v>5727.2780000000002</v>
      </c>
      <c r="Y31" s="193">
        <v>4646.13</v>
      </c>
      <c r="Z31" s="193">
        <v>2175.27</v>
      </c>
      <c r="AA31" s="13" t="s">
        <v>32</v>
      </c>
      <c r="AB31" s="159" t="s">
        <v>346</v>
      </c>
      <c r="AC31" s="193">
        <v>12820.3</v>
      </c>
      <c r="AD31" s="193">
        <v>1432.0679999999998</v>
      </c>
      <c r="AE31" s="193">
        <v>282.40800000000002</v>
      </c>
      <c r="AF31" s="193">
        <v>1144.42</v>
      </c>
      <c r="AG31" s="193">
        <v>2613.7200000000003</v>
      </c>
      <c r="AH31" s="193">
        <v>0</v>
      </c>
      <c r="AI31" s="193">
        <v>30359.599999999999</v>
      </c>
      <c r="AJ31" s="193">
        <v>796.52899999999988</v>
      </c>
      <c r="AK31" s="193">
        <v>90.25</v>
      </c>
      <c r="AL31" s="193">
        <v>773.50000000000011</v>
      </c>
      <c r="AM31" s="13" t="s">
        <v>32</v>
      </c>
      <c r="AN31" s="159" t="s">
        <v>346</v>
      </c>
      <c r="AO31" s="193">
        <v>168</v>
      </c>
      <c r="AP31" s="193">
        <v>0</v>
      </c>
      <c r="AQ31" s="193">
        <v>405698.5</v>
      </c>
      <c r="AR31" s="193">
        <v>7557.9</v>
      </c>
      <c r="AS31" s="193">
        <v>2126.6999999999998</v>
      </c>
      <c r="AT31" s="193">
        <v>2396.1</v>
      </c>
      <c r="AU31" s="193">
        <v>3356.6</v>
      </c>
      <c r="AV31" s="193">
        <v>147.24700000000001</v>
      </c>
      <c r="AW31" s="193">
        <v>32.918999999999997</v>
      </c>
      <c r="AX31" s="193">
        <v>240</v>
      </c>
      <c r="AY31" s="193">
        <v>1990.9699999999998</v>
      </c>
      <c r="AZ31" s="13" t="s">
        <v>32</v>
      </c>
      <c r="BA31" s="159" t="s">
        <v>346</v>
      </c>
      <c r="BB31" s="193">
        <v>6</v>
      </c>
      <c r="BC31" s="193">
        <v>1377.3999999999999</v>
      </c>
      <c r="BD31" s="193">
        <v>1527.6</v>
      </c>
      <c r="BE31" s="193">
        <v>2418124.0439999998</v>
      </c>
      <c r="BF31" s="193">
        <v>100259.75</v>
      </c>
      <c r="BG31" s="193">
        <v>82779</v>
      </c>
      <c r="BH31" s="193">
        <v>525</v>
      </c>
      <c r="BI31" s="193">
        <v>4128.8</v>
      </c>
      <c r="BJ31" s="193">
        <v>0</v>
      </c>
      <c r="BK31" s="193">
        <v>0</v>
      </c>
      <c r="BL31" s="193">
        <v>7354.8090000000011</v>
      </c>
      <c r="BN31" s="130"/>
    </row>
    <row r="32" spans="1:66" ht="11.25" customHeight="1">
      <c r="A32" s="13"/>
      <c r="B32" s="159" t="s">
        <v>355</v>
      </c>
      <c r="C32" s="193">
        <v>5380.5</v>
      </c>
      <c r="D32" s="193">
        <v>35634.25</v>
      </c>
      <c r="E32" s="193">
        <v>8506.15</v>
      </c>
      <c r="F32" s="193">
        <v>282722.5</v>
      </c>
      <c r="G32" s="193">
        <v>3211.7</v>
      </c>
      <c r="H32" s="193">
        <v>530.20000000000005</v>
      </c>
      <c r="I32" s="193">
        <v>78078.600000000006</v>
      </c>
      <c r="J32" s="193">
        <v>0</v>
      </c>
      <c r="K32" s="193">
        <v>2422.1</v>
      </c>
      <c r="L32" s="193">
        <v>5937.68</v>
      </c>
      <c r="M32" s="193">
        <v>13148</v>
      </c>
      <c r="N32" s="13"/>
      <c r="O32" s="159" t="s">
        <v>355</v>
      </c>
      <c r="P32" s="193">
        <v>3287.2</v>
      </c>
      <c r="Q32" s="193">
        <v>9489.6</v>
      </c>
      <c r="R32" s="193">
        <v>3292.2</v>
      </c>
      <c r="S32" s="193">
        <v>5450.5499999999993</v>
      </c>
      <c r="T32" s="193">
        <v>1096.5999999999999</v>
      </c>
      <c r="U32" s="193">
        <v>10641.7</v>
      </c>
      <c r="V32" s="193">
        <v>7959.6</v>
      </c>
      <c r="W32" s="193">
        <v>170195.068</v>
      </c>
      <c r="X32" s="193">
        <v>7505.5889999999999</v>
      </c>
      <c r="Y32" s="193">
        <v>4214.259</v>
      </c>
      <c r="Z32" s="193">
        <v>1335.1489999999999</v>
      </c>
      <c r="AA32" s="13"/>
      <c r="AB32" s="159" t="s">
        <v>355</v>
      </c>
      <c r="AC32" s="193">
        <v>12604.650000000003</v>
      </c>
      <c r="AD32" s="193">
        <v>1171.239</v>
      </c>
      <c r="AE32" s="193">
        <v>241.50899999999999</v>
      </c>
      <c r="AF32" s="193">
        <v>750.97</v>
      </c>
      <c r="AG32" s="193">
        <v>5522.42</v>
      </c>
      <c r="AH32" s="193">
        <v>0</v>
      </c>
      <c r="AI32" s="193">
        <v>28557.09</v>
      </c>
      <c r="AJ32" s="193">
        <v>558.55900000000008</v>
      </c>
      <c r="AK32" s="193">
        <v>83.367999999999995</v>
      </c>
      <c r="AL32" s="193">
        <v>662.08900000000006</v>
      </c>
      <c r="AM32" s="13"/>
      <c r="AN32" s="159" t="s">
        <v>355</v>
      </c>
      <c r="AO32" s="193">
        <v>169.8</v>
      </c>
      <c r="AP32" s="193">
        <v>0</v>
      </c>
      <c r="AQ32" s="193">
        <v>463515.3</v>
      </c>
      <c r="AR32" s="193">
        <v>8209.35</v>
      </c>
      <c r="AS32" s="193">
        <v>2333.1999999999998</v>
      </c>
      <c r="AT32" s="193">
        <v>2255.1</v>
      </c>
      <c r="AU32" s="193">
        <v>4163</v>
      </c>
      <c r="AV32" s="193">
        <v>132.44999999999999</v>
      </c>
      <c r="AW32" s="193">
        <v>30.148999999999997</v>
      </c>
      <c r="AX32" s="193">
        <v>420</v>
      </c>
      <c r="AY32" s="193">
        <v>1767.3999999999999</v>
      </c>
      <c r="AZ32" s="13"/>
      <c r="BA32" s="159" t="s">
        <v>355</v>
      </c>
      <c r="BB32" s="193">
        <v>0</v>
      </c>
      <c r="BC32" s="193">
        <v>1363.1</v>
      </c>
      <c r="BD32" s="193">
        <v>1872.9</v>
      </c>
      <c r="BE32" s="193">
        <v>1972567.3745554001</v>
      </c>
      <c r="BF32" s="193">
        <v>97030.107999999993</v>
      </c>
      <c r="BG32" s="193">
        <v>83609</v>
      </c>
      <c r="BH32" s="193">
        <v>810</v>
      </c>
      <c r="BI32" s="193">
        <v>13121.3</v>
      </c>
      <c r="BJ32" s="193">
        <v>0</v>
      </c>
      <c r="BK32" s="193">
        <v>0</v>
      </c>
      <c r="BL32" s="193">
        <v>8388.7000000000007</v>
      </c>
      <c r="BN32" s="130"/>
    </row>
    <row r="33" spans="1:66" ht="11.25" customHeight="1">
      <c r="A33" s="13" t="s">
        <v>33</v>
      </c>
      <c r="B33" s="159" t="s">
        <v>346</v>
      </c>
      <c r="C33" s="193">
        <v>8</v>
      </c>
      <c r="D33" s="193">
        <v>37773</v>
      </c>
      <c r="E33" s="193">
        <v>1014</v>
      </c>
      <c r="F33" s="193">
        <v>421091</v>
      </c>
      <c r="G33" s="193">
        <v>9</v>
      </c>
      <c r="H33" s="193">
        <v>18</v>
      </c>
      <c r="I33" s="193">
        <v>2129</v>
      </c>
      <c r="J33" s="193">
        <v>0</v>
      </c>
      <c r="K33" s="193">
        <v>161</v>
      </c>
      <c r="L33" s="193">
        <v>0</v>
      </c>
      <c r="M33" s="193">
        <v>0</v>
      </c>
      <c r="N33" s="13" t="s">
        <v>33</v>
      </c>
      <c r="O33" s="159" t="s">
        <v>346</v>
      </c>
      <c r="P33" s="193">
        <v>2104</v>
      </c>
      <c r="Q33" s="193">
        <v>396</v>
      </c>
      <c r="R33" s="193">
        <v>239</v>
      </c>
      <c r="S33" s="193">
        <v>421</v>
      </c>
      <c r="T33" s="193">
        <v>0</v>
      </c>
      <c r="U33" s="193">
        <v>4696</v>
      </c>
      <c r="V33" s="193">
        <v>11071</v>
      </c>
      <c r="W33" s="193">
        <v>70632</v>
      </c>
      <c r="X33" s="193">
        <v>8106.5</v>
      </c>
      <c r="Y33" s="193">
        <v>75841</v>
      </c>
      <c r="Z33" s="193">
        <v>65</v>
      </c>
      <c r="AA33" s="13" t="s">
        <v>33</v>
      </c>
      <c r="AB33" s="159" t="s">
        <v>346</v>
      </c>
      <c r="AC33" s="193">
        <v>0</v>
      </c>
      <c r="AD33" s="193">
        <v>328</v>
      </c>
      <c r="AE33" s="193">
        <v>22897</v>
      </c>
      <c r="AF33" s="193">
        <v>2071</v>
      </c>
      <c r="AG33" s="193">
        <v>0</v>
      </c>
      <c r="AH33" s="193">
        <v>0</v>
      </c>
      <c r="AI33" s="193">
        <v>6836</v>
      </c>
      <c r="AJ33" s="193">
        <v>0</v>
      </c>
      <c r="AK33" s="193">
        <v>0</v>
      </c>
      <c r="AL33" s="193">
        <v>10</v>
      </c>
      <c r="AM33" s="13" t="s">
        <v>33</v>
      </c>
      <c r="AN33" s="159" t="s">
        <v>346</v>
      </c>
      <c r="AO33" s="193">
        <v>0</v>
      </c>
      <c r="AP33" s="193">
        <v>0</v>
      </c>
      <c r="AQ33" s="193">
        <v>2455</v>
      </c>
      <c r="AR33" s="193">
        <v>2546</v>
      </c>
      <c r="AS33" s="193">
        <v>8039.5</v>
      </c>
      <c r="AT33" s="193">
        <v>167</v>
      </c>
      <c r="AU33" s="193">
        <v>392.5</v>
      </c>
      <c r="AV33" s="193">
        <v>559</v>
      </c>
      <c r="AW33" s="193">
        <v>60</v>
      </c>
      <c r="AX33" s="193">
        <v>162</v>
      </c>
      <c r="AY33" s="193">
        <v>40</v>
      </c>
      <c r="AZ33" s="13" t="s">
        <v>33</v>
      </c>
      <c r="BA33" s="159" t="s">
        <v>346</v>
      </c>
      <c r="BB33" s="193">
        <v>58</v>
      </c>
      <c r="BC33" s="193">
        <v>35.9</v>
      </c>
      <c r="BD33" s="193">
        <v>6</v>
      </c>
      <c r="BE33" s="193">
        <v>906516.36400000006</v>
      </c>
      <c r="BF33" s="193">
        <v>36890</v>
      </c>
      <c r="BG33" s="193">
        <v>25983</v>
      </c>
      <c r="BH33" s="193">
        <v>0</v>
      </c>
      <c r="BI33" s="193">
        <v>0</v>
      </c>
      <c r="BJ33" s="193">
        <v>1697.87</v>
      </c>
      <c r="BK33" s="193">
        <v>0</v>
      </c>
      <c r="BL33" s="193">
        <v>1185</v>
      </c>
      <c r="BN33" s="130"/>
    </row>
    <row r="34" spans="1:66" ht="11.25" customHeight="1">
      <c r="A34" s="13"/>
      <c r="B34" s="159" t="s">
        <v>355</v>
      </c>
      <c r="C34" s="193">
        <v>27</v>
      </c>
      <c r="D34" s="193">
        <v>23081.739999999998</v>
      </c>
      <c r="E34" s="193">
        <v>653</v>
      </c>
      <c r="F34" s="193">
        <v>398696.2</v>
      </c>
      <c r="G34" s="193">
        <v>8</v>
      </c>
      <c r="H34" s="193">
        <v>0</v>
      </c>
      <c r="I34" s="193">
        <v>275</v>
      </c>
      <c r="J34" s="193">
        <v>0</v>
      </c>
      <c r="K34" s="193">
        <v>0</v>
      </c>
      <c r="L34" s="193">
        <v>1628</v>
      </c>
      <c r="M34" s="193">
        <v>17</v>
      </c>
      <c r="N34" s="13"/>
      <c r="O34" s="159" t="s">
        <v>355</v>
      </c>
      <c r="P34" s="193">
        <v>565</v>
      </c>
      <c r="Q34" s="193">
        <v>455</v>
      </c>
      <c r="R34" s="193">
        <v>668</v>
      </c>
      <c r="S34" s="193">
        <v>226</v>
      </c>
      <c r="T34" s="193">
        <v>0</v>
      </c>
      <c r="U34" s="193">
        <v>2636</v>
      </c>
      <c r="V34" s="193">
        <v>6937</v>
      </c>
      <c r="W34" s="193">
        <v>98058</v>
      </c>
      <c r="X34" s="193">
        <v>8153</v>
      </c>
      <c r="Y34" s="193">
        <v>64535</v>
      </c>
      <c r="Z34" s="193">
        <v>1570</v>
      </c>
      <c r="AA34" s="13"/>
      <c r="AB34" s="159" t="s">
        <v>355</v>
      </c>
      <c r="AC34" s="193">
        <v>0</v>
      </c>
      <c r="AD34" s="193">
        <v>210</v>
      </c>
      <c r="AE34" s="193">
        <v>26924</v>
      </c>
      <c r="AF34" s="193">
        <v>406</v>
      </c>
      <c r="AG34" s="193">
        <v>0</v>
      </c>
      <c r="AH34" s="193">
        <v>0</v>
      </c>
      <c r="AI34" s="193">
        <v>8342</v>
      </c>
      <c r="AJ34" s="193">
        <v>0</v>
      </c>
      <c r="AK34" s="193">
        <v>0</v>
      </c>
      <c r="AL34" s="193">
        <v>5</v>
      </c>
      <c r="AM34" s="13"/>
      <c r="AN34" s="159" t="s">
        <v>355</v>
      </c>
      <c r="AO34" s="193">
        <v>0</v>
      </c>
      <c r="AP34" s="193">
        <v>0</v>
      </c>
      <c r="AQ34" s="193">
        <v>2141</v>
      </c>
      <c r="AR34" s="193">
        <v>1737</v>
      </c>
      <c r="AS34" s="193">
        <v>3261</v>
      </c>
      <c r="AT34" s="193">
        <v>0</v>
      </c>
      <c r="AU34" s="193">
        <v>180</v>
      </c>
      <c r="AV34" s="193">
        <v>0</v>
      </c>
      <c r="AW34" s="193">
        <v>72.900000000000006</v>
      </c>
      <c r="AX34" s="193">
        <v>360</v>
      </c>
      <c r="AY34" s="193">
        <v>45.5</v>
      </c>
      <c r="AZ34" s="13"/>
      <c r="BA34" s="159" t="s">
        <v>355</v>
      </c>
      <c r="BB34" s="193">
        <v>14</v>
      </c>
      <c r="BC34" s="193">
        <v>54.45</v>
      </c>
      <c r="BD34" s="193">
        <v>0</v>
      </c>
      <c r="BE34" s="193">
        <v>1052354.857870002</v>
      </c>
      <c r="BF34" s="193">
        <v>27498</v>
      </c>
      <c r="BG34" s="193">
        <v>22282</v>
      </c>
      <c r="BH34" s="193">
        <v>0</v>
      </c>
      <c r="BI34" s="193">
        <v>0</v>
      </c>
      <c r="BJ34" s="193">
        <v>743.72900000000004</v>
      </c>
      <c r="BK34" s="193">
        <v>0</v>
      </c>
      <c r="BL34" s="193">
        <v>1616</v>
      </c>
      <c r="BN34" s="130"/>
    </row>
    <row r="35" spans="1:66" ht="11.25" customHeight="1">
      <c r="A35" s="13" t="s">
        <v>34</v>
      </c>
      <c r="B35" s="159" t="s">
        <v>346</v>
      </c>
      <c r="C35" s="193">
        <v>71.759999999999991</v>
      </c>
      <c r="D35" s="193">
        <v>74514.95</v>
      </c>
      <c r="E35" s="193">
        <v>783.2</v>
      </c>
      <c r="F35" s="193">
        <v>0</v>
      </c>
      <c r="G35" s="193">
        <v>88.199999999999989</v>
      </c>
      <c r="H35" s="193">
        <v>46.2</v>
      </c>
      <c r="I35" s="193">
        <v>11203.08</v>
      </c>
      <c r="J35" s="193">
        <v>1342</v>
      </c>
      <c r="K35" s="193">
        <v>3359.5</v>
      </c>
      <c r="L35" s="193">
        <v>10</v>
      </c>
      <c r="M35" s="193">
        <v>1786.9</v>
      </c>
      <c r="N35" s="13" t="s">
        <v>34</v>
      </c>
      <c r="O35" s="159" t="s">
        <v>346</v>
      </c>
      <c r="P35" s="193">
        <v>15154.400000000001</v>
      </c>
      <c r="Q35" s="193">
        <v>5594.2999999999993</v>
      </c>
      <c r="R35" s="193">
        <v>1096.55</v>
      </c>
      <c r="S35" s="193">
        <v>2956.1</v>
      </c>
      <c r="T35" s="193">
        <v>2225.1</v>
      </c>
      <c r="U35" s="193">
        <v>7614.4000000000005</v>
      </c>
      <c r="V35" s="193">
        <v>10118</v>
      </c>
      <c r="W35" s="193">
        <v>65758.399999999994</v>
      </c>
      <c r="X35" s="193">
        <v>1814.4999999999998</v>
      </c>
      <c r="Y35" s="193">
        <v>5112</v>
      </c>
      <c r="Z35" s="193">
        <v>440.5</v>
      </c>
      <c r="AA35" s="13" t="s">
        <v>34</v>
      </c>
      <c r="AB35" s="159" t="s">
        <v>346</v>
      </c>
      <c r="AC35" s="193">
        <v>0</v>
      </c>
      <c r="AD35" s="193">
        <v>458</v>
      </c>
      <c r="AE35" s="193">
        <v>9.8000000000000007</v>
      </c>
      <c r="AF35" s="193">
        <v>5785.9</v>
      </c>
      <c r="AG35" s="193">
        <v>96503.840000000011</v>
      </c>
      <c r="AH35" s="193">
        <v>1800</v>
      </c>
      <c r="AI35" s="193">
        <v>46117.5</v>
      </c>
      <c r="AJ35" s="193">
        <v>73460.599999999991</v>
      </c>
      <c r="AK35" s="193">
        <v>9893</v>
      </c>
      <c r="AL35" s="193">
        <v>2741</v>
      </c>
      <c r="AM35" s="13" t="s">
        <v>34</v>
      </c>
      <c r="AN35" s="159" t="s">
        <v>346</v>
      </c>
      <c r="AO35" s="193">
        <v>607</v>
      </c>
      <c r="AP35" s="193">
        <v>0</v>
      </c>
      <c r="AQ35" s="193">
        <v>37869.989000000009</v>
      </c>
      <c r="AR35" s="193">
        <v>13591.400000000001</v>
      </c>
      <c r="AS35" s="193">
        <v>73030.899999999994</v>
      </c>
      <c r="AT35" s="193">
        <v>165.18</v>
      </c>
      <c r="AU35" s="193">
        <v>436.49</v>
      </c>
      <c r="AV35" s="193">
        <v>0</v>
      </c>
      <c r="AW35" s="193">
        <v>0</v>
      </c>
      <c r="AX35" s="193">
        <v>11616.5</v>
      </c>
      <c r="AY35" s="193">
        <v>1152.5</v>
      </c>
      <c r="AZ35" s="13" t="s">
        <v>34</v>
      </c>
      <c r="BA35" s="159" t="s">
        <v>346</v>
      </c>
      <c r="BB35" s="193">
        <v>34.9</v>
      </c>
      <c r="BC35" s="193">
        <v>67</v>
      </c>
      <c r="BD35" s="193">
        <v>7.76</v>
      </c>
      <c r="BE35" s="193">
        <v>647107.02</v>
      </c>
      <c r="BF35" s="193">
        <v>74792.33</v>
      </c>
      <c r="BG35" s="193">
        <v>227151.7</v>
      </c>
      <c r="BH35" s="193">
        <v>0</v>
      </c>
      <c r="BI35" s="193">
        <v>0</v>
      </c>
      <c r="BJ35" s="193">
        <v>1192.5</v>
      </c>
      <c r="BK35" s="193">
        <v>0</v>
      </c>
      <c r="BL35" s="193">
        <v>1089.5999999999999</v>
      </c>
      <c r="BN35" s="130"/>
    </row>
    <row r="36" spans="1:66" ht="11.25" customHeight="1">
      <c r="A36" s="13"/>
      <c r="B36" s="159" t="s">
        <v>355</v>
      </c>
      <c r="C36" s="193">
        <v>29.1</v>
      </c>
      <c r="D36" s="193">
        <v>72882.100000000006</v>
      </c>
      <c r="E36" s="193">
        <v>454.5</v>
      </c>
      <c r="F36" s="193">
        <v>0</v>
      </c>
      <c r="G36" s="193">
        <v>98.6</v>
      </c>
      <c r="H36" s="193">
        <v>0</v>
      </c>
      <c r="I36" s="193">
        <v>7160.9000000000015</v>
      </c>
      <c r="J36" s="193">
        <v>911.80000000000007</v>
      </c>
      <c r="K36" s="193">
        <v>3019.9</v>
      </c>
      <c r="L36" s="193">
        <v>0</v>
      </c>
      <c r="M36" s="193">
        <v>2359.6</v>
      </c>
      <c r="N36" s="13"/>
      <c r="O36" s="159" t="s">
        <v>355</v>
      </c>
      <c r="P36" s="193">
        <v>20640.7</v>
      </c>
      <c r="Q36" s="193">
        <v>5564.9</v>
      </c>
      <c r="R36" s="193">
        <v>1230.0999999999999</v>
      </c>
      <c r="S36" s="193">
        <v>3601</v>
      </c>
      <c r="T36" s="193">
        <v>3464.4999999999995</v>
      </c>
      <c r="U36" s="193">
        <v>7335.8000000000011</v>
      </c>
      <c r="V36" s="193">
        <v>12180.5</v>
      </c>
      <c r="W36" s="193">
        <v>79691.099999999977</v>
      </c>
      <c r="X36" s="193">
        <v>1825.7</v>
      </c>
      <c r="Y36" s="193">
        <v>5732.3</v>
      </c>
      <c r="Z36" s="193">
        <v>303.59999999999997</v>
      </c>
      <c r="AA36" s="13"/>
      <c r="AB36" s="159" t="s">
        <v>355</v>
      </c>
      <c r="AC36" s="193">
        <v>0</v>
      </c>
      <c r="AD36" s="193">
        <v>310.7</v>
      </c>
      <c r="AE36" s="193">
        <v>46.7</v>
      </c>
      <c r="AF36" s="193">
        <v>12461.9</v>
      </c>
      <c r="AG36" s="193">
        <v>124940.29999999999</v>
      </c>
      <c r="AH36" s="193">
        <v>1807.3000000000002</v>
      </c>
      <c r="AI36" s="193">
        <v>49958.6</v>
      </c>
      <c r="AJ36" s="193">
        <v>73661</v>
      </c>
      <c r="AK36" s="193">
        <v>12794.1</v>
      </c>
      <c r="AL36" s="193">
        <v>2344.1999999999998</v>
      </c>
      <c r="AM36" s="13"/>
      <c r="AN36" s="159" t="s">
        <v>355</v>
      </c>
      <c r="AO36" s="193">
        <v>731.9</v>
      </c>
      <c r="AP36" s="193">
        <v>0</v>
      </c>
      <c r="AQ36" s="193">
        <v>80118</v>
      </c>
      <c r="AR36" s="193">
        <v>13533.400000000001</v>
      </c>
      <c r="AS36" s="193">
        <v>38349</v>
      </c>
      <c r="AT36" s="193">
        <v>163.30000000000001</v>
      </c>
      <c r="AU36" s="193">
        <v>454.6</v>
      </c>
      <c r="AV36" s="193">
        <v>0</v>
      </c>
      <c r="AW36" s="193">
        <v>0</v>
      </c>
      <c r="AX36" s="193">
        <v>6302.5</v>
      </c>
      <c r="AY36" s="193">
        <v>692.9</v>
      </c>
      <c r="AZ36" s="13"/>
      <c r="BA36" s="159" t="s">
        <v>355</v>
      </c>
      <c r="BB36" s="193">
        <v>17</v>
      </c>
      <c r="BC36" s="193">
        <v>110.5</v>
      </c>
      <c r="BD36" s="193">
        <v>17.5</v>
      </c>
      <c r="BE36" s="193">
        <v>703936.53</v>
      </c>
      <c r="BF36" s="193">
        <v>61510.3</v>
      </c>
      <c r="BG36" s="193">
        <v>278078.2</v>
      </c>
      <c r="BH36" s="193">
        <v>0</v>
      </c>
      <c r="BI36" s="193">
        <v>0</v>
      </c>
      <c r="BJ36" s="193">
        <v>518.79999999999995</v>
      </c>
      <c r="BK36" s="193">
        <v>0</v>
      </c>
      <c r="BL36" s="193">
        <v>551.5</v>
      </c>
      <c r="BN36" s="130"/>
    </row>
    <row r="37" spans="1:66" ht="11.25" customHeight="1">
      <c r="A37" s="13" t="s">
        <v>292</v>
      </c>
      <c r="B37" s="159" t="s">
        <v>346</v>
      </c>
      <c r="C37" s="193">
        <v>0</v>
      </c>
      <c r="D37" s="193">
        <v>16.14</v>
      </c>
      <c r="E37" s="193">
        <v>6.26</v>
      </c>
      <c r="F37" s="193">
        <v>0</v>
      </c>
      <c r="G37" s="193">
        <v>20.23</v>
      </c>
      <c r="H37" s="193">
        <v>2.0699999999999998</v>
      </c>
      <c r="I37" s="193">
        <v>0</v>
      </c>
      <c r="J37" s="193">
        <v>0</v>
      </c>
      <c r="K37" s="193">
        <v>2669.05</v>
      </c>
      <c r="L37" s="193">
        <v>0</v>
      </c>
      <c r="M37" s="193">
        <v>1220.25</v>
      </c>
      <c r="N37" s="13" t="s">
        <v>292</v>
      </c>
      <c r="O37" s="159" t="s">
        <v>346</v>
      </c>
      <c r="P37" s="193">
        <v>1067.42</v>
      </c>
      <c r="Q37" s="193">
        <v>335.22999999999996</v>
      </c>
      <c r="R37" s="193">
        <v>49.31</v>
      </c>
      <c r="S37" s="193">
        <v>0</v>
      </c>
      <c r="T37" s="193">
        <v>0</v>
      </c>
      <c r="U37" s="193">
        <v>2938.1000000000004</v>
      </c>
      <c r="V37" s="193">
        <v>42.8</v>
      </c>
      <c r="W37" s="193">
        <v>895.7</v>
      </c>
      <c r="X37" s="193">
        <v>147.5</v>
      </c>
      <c r="Y37" s="193">
        <v>23.6</v>
      </c>
      <c r="Z37" s="193">
        <v>0</v>
      </c>
      <c r="AA37" s="13" t="s">
        <v>292</v>
      </c>
      <c r="AB37" s="159" t="s">
        <v>346</v>
      </c>
      <c r="AC37" s="193">
        <v>0</v>
      </c>
      <c r="AD37" s="193">
        <v>0</v>
      </c>
      <c r="AE37" s="193">
        <v>0</v>
      </c>
      <c r="AF37" s="193">
        <v>0</v>
      </c>
      <c r="AG37" s="193">
        <v>6391.4600000000009</v>
      </c>
      <c r="AH37" s="193">
        <v>0</v>
      </c>
      <c r="AI37" s="193">
        <v>409.7</v>
      </c>
      <c r="AJ37" s="193">
        <v>955.82</v>
      </c>
      <c r="AK37" s="193">
        <v>72.8</v>
      </c>
      <c r="AL37" s="193">
        <v>646.40000000000009</v>
      </c>
      <c r="AM37" s="13" t="s">
        <v>292</v>
      </c>
      <c r="AN37" s="159" t="s">
        <v>346</v>
      </c>
      <c r="AO37" s="193">
        <v>389.15999999999997</v>
      </c>
      <c r="AP37" s="193">
        <v>0</v>
      </c>
      <c r="AQ37" s="193">
        <v>197.39</v>
      </c>
      <c r="AR37" s="193">
        <v>291.10000000000002</v>
      </c>
      <c r="AS37" s="193">
        <v>2556.36</v>
      </c>
      <c r="AT37" s="193">
        <v>0</v>
      </c>
      <c r="AU37" s="193">
        <v>0</v>
      </c>
      <c r="AV37" s="193">
        <v>0</v>
      </c>
      <c r="AW37" s="193">
        <v>0</v>
      </c>
      <c r="AX37" s="193">
        <v>0</v>
      </c>
      <c r="AY37" s="193">
        <v>0</v>
      </c>
      <c r="AZ37" s="13" t="s">
        <v>292</v>
      </c>
      <c r="BA37" s="159" t="s">
        <v>346</v>
      </c>
      <c r="BB37" s="193">
        <v>0</v>
      </c>
      <c r="BC37" s="193">
        <v>0</v>
      </c>
      <c r="BD37" s="193">
        <v>0</v>
      </c>
      <c r="BE37" s="193">
        <v>0</v>
      </c>
      <c r="BF37" s="193">
        <v>270</v>
      </c>
      <c r="BG37" s="193">
        <v>19946.199000000001</v>
      </c>
      <c r="BH37" s="193">
        <v>0</v>
      </c>
      <c r="BI37" s="193">
        <v>0</v>
      </c>
      <c r="BJ37" s="193">
        <v>8.1999999999999993</v>
      </c>
      <c r="BK37" s="193">
        <v>0</v>
      </c>
      <c r="BL37" s="193">
        <v>0</v>
      </c>
      <c r="BN37" s="130"/>
    </row>
    <row r="38" spans="1:66" ht="11.25" customHeight="1">
      <c r="A38" s="13"/>
      <c r="B38" s="159" t="s">
        <v>355</v>
      </c>
      <c r="C38" s="193">
        <v>15.51</v>
      </c>
      <c r="D38" s="193">
        <v>162.01900000000001</v>
      </c>
      <c r="E38" s="193">
        <v>6.2</v>
      </c>
      <c r="F38" s="193">
        <v>0</v>
      </c>
      <c r="G38" s="193">
        <v>25.46</v>
      </c>
      <c r="H38" s="193">
        <v>6.3140000000000001</v>
      </c>
      <c r="I38" s="193">
        <v>0</v>
      </c>
      <c r="J38" s="193">
        <v>0</v>
      </c>
      <c r="K38" s="193">
        <v>2572.6999999999998</v>
      </c>
      <c r="L38" s="193">
        <v>0</v>
      </c>
      <c r="M38" s="193">
        <v>1081.259</v>
      </c>
      <c r="N38" s="13"/>
      <c r="O38" s="159" t="s">
        <v>355</v>
      </c>
      <c r="P38" s="193">
        <v>1070.73</v>
      </c>
      <c r="Q38" s="193">
        <v>331.18</v>
      </c>
      <c r="R38" s="193">
        <v>98.53</v>
      </c>
      <c r="S38" s="193">
        <v>53.620000000000005</v>
      </c>
      <c r="T38" s="193">
        <v>0</v>
      </c>
      <c r="U38" s="193">
        <v>3018.1</v>
      </c>
      <c r="V38" s="193">
        <v>14.46</v>
      </c>
      <c r="W38" s="193">
        <v>795.50000000000011</v>
      </c>
      <c r="X38" s="193">
        <v>136</v>
      </c>
      <c r="Y38" s="193">
        <v>20.5</v>
      </c>
      <c r="Z38" s="193">
        <v>0</v>
      </c>
      <c r="AA38" s="13"/>
      <c r="AB38" s="159" t="s">
        <v>355</v>
      </c>
      <c r="AC38" s="193">
        <v>0</v>
      </c>
      <c r="AD38" s="193">
        <v>0</v>
      </c>
      <c r="AE38" s="193">
        <v>0</v>
      </c>
      <c r="AF38" s="193">
        <v>0</v>
      </c>
      <c r="AG38" s="193">
        <v>6709.0399999999991</v>
      </c>
      <c r="AH38" s="193">
        <v>0</v>
      </c>
      <c r="AI38" s="193">
        <v>270.3</v>
      </c>
      <c r="AJ38" s="193">
        <v>886.21900000000005</v>
      </c>
      <c r="AK38" s="193">
        <v>73.7</v>
      </c>
      <c r="AL38" s="193">
        <v>729.66</v>
      </c>
      <c r="AM38" s="13"/>
      <c r="AN38" s="159" t="s">
        <v>355</v>
      </c>
      <c r="AO38" s="193">
        <v>394.43</v>
      </c>
      <c r="AP38" s="193">
        <v>0</v>
      </c>
      <c r="AQ38" s="193">
        <v>55.51</v>
      </c>
      <c r="AR38" s="193">
        <v>244</v>
      </c>
      <c r="AS38" s="193">
        <v>2561.5500000000002</v>
      </c>
      <c r="AT38" s="193">
        <v>0</v>
      </c>
      <c r="AU38" s="193">
        <v>0</v>
      </c>
      <c r="AV38" s="193">
        <v>0</v>
      </c>
      <c r="AW38" s="193">
        <v>0</v>
      </c>
      <c r="AX38" s="193">
        <v>0</v>
      </c>
      <c r="AY38" s="193">
        <v>9.9</v>
      </c>
      <c r="AZ38" s="13"/>
      <c r="BA38" s="159" t="s">
        <v>355</v>
      </c>
      <c r="BB38" s="193">
        <v>0</v>
      </c>
      <c r="BC38" s="193">
        <v>0</v>
      </c>
      <c r="BD38" s="193">
        <v>0</v>
      </c>
      <c r="BE38" s="193">
        <v>0</v>
      </c>
      <c r="BF38" s="193">
        <v>274</v>
      </c>
      <c r="BG38" s="193">
        <v>20053.859999999997</v>
      </c>
      <c r="BH38" s="193">
        <v>0</v>
      </c>
      <c r="BI38" s="193">
        <v>0</v>
      </c>
      <c r="BJ38" s="193">
        <v>0</v>
      </c>
      <c r="BK38" s="193">
        <v>0</v>
      </c>
      <c r="BL38" s="193">
        <v>0</v>
      </c>
      <c r="BN38" s="130"/>
    </row>
    <row r="39" spans="1:66" ht="11.25" customHeight="1">
      <c r="A39" s="13" t="s">
        <v>35</v>
      </c>
      <c r="B39" s="159" t="s">
        <v>346</v>
      </c>
      <c r="C39" s="193">
        <v>0</v>
      </c>
      <c r="D39" s="193">
        <v>18792</v>
      </c>
      <c r="E39" s="193">
        <v>0</v>
      </c>
      <c r="F39" s="193">
        <v>19019</v>
      </c>
      <c r="G39" s="193">
        <v>0</v>
      </c>
      <c r="H39" s="193">
        <v>0</v>
      </c>
      <c r="I39" s="193">
        <v>0</v>
      </c>
      <c r="J39" s="193">
        <v>0</v>
      </c>
      <c r="K39" s="193">
        <v>246</v>
      </c>
      <c r="L39" s="193">
        <v>0</v>
      </c>
      <c r="M39" s="193">
        <v>0</v>
      </c>
      <c r="N39" s="13" t="s">
        <v>35</v>
      </c>
      <c r="O39" s="159" t="s">
        <v>346</v>
      </c>
      <c r="P39" s="193">
        <v>145</v>
      </c>
      <c r="Q39" s="193">
        <v>234</v>
      </c>
      <c r="R39" s="193">
        <v>0</v>
      </c>
      <c r="S39" s="193">
        <v>0</v>
      </c>
      <c r="T39" s="193">
        <v>0</v>
      </c>
      <c r="U39" s="193">
        <v>0</v>
      </c>
      <c r="V39" s="193">
        <v>4796</v>
      </c>
      <c r="W39" s="193">
        <v>1782</v>
      </c>
      <c r="X39" s="193">
        <v>137089</v>
      </c>
      <c r="Y39" s="193">
        <v>869</v>
      </c>
      <c r="Z39" s="193">
        <v>7708</v>
      </c>
      <c r="AA39" s="13" t="s">
        <v>35</v>
      </c>
      <c r="AB39" s="159" t="s">
        <v>346</v>
      </c>
      <c r="AC39" s="193">
        <v>5573</v>
      </c>
      <c r="AD39" s="193">
        <v>73</v>
      </c>
      <c r="AE39" s="193">
        <v>6661</v>
      </c>
      <c r="AF39" s="193">
        <v>1705</v>
      </c>
      <c r="AG39" s="193">
        <v>1490</v>
      </c>
      <c r="AH39" s="193">
        <v>0</v>
      </c>
      <c r="AI39" s="193">
        <v>0</v>
      </c>
      <c r="AJ39" s="193">
        <v>0</v>
      </c>
      <c r="AK39" s="193">
        <v>0</v>
      </c>
      <c r="AL39" s="193">
        <v>0</v>
      </c>
      <c r="AM39" s="13" t="s">
        <v>35</v>
      </c>
      <c r="AN39" s="159" t="s">
        <v>346</v>
      </c>
      <c r="AO39" s="193">
        <v>0</v>
      </c>
      <c r="AP39" s="193">
        <v>56845</v>
      </c>
      <c r="AQ39" s="193">
        <v>0</v>
      </c>
      <c r="AR39" s="193">
        <v>194362</v>
      </c>
      <c r="AS39" s="193">
        <v>0</v>
      </c>
      <c r="AT39" s="193">
        <v>0</v>
      </c>
      <c r="AU39" s="193">
        <v>0</v>
      </c>
      <c r="AV39" s="193">
        <v>0</v>
      </c>
      <c r="AW39" s="193">
        <v>211.10000000000002</v>
      </c>
      <c r="AX39" s="193">
        <v>0</v>
      </c>
      <c r="AY39" s="193">
        <v>0</v>
      </c>
      <c r="AZ39" s="13" t="s">
        <v>35</v>
      </c>
      <c r="BA39" s="159" t="s">
        <v>346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0</v>
      </c>
      <c r="BN39" s="130"/>
    </row>
    <row r="40" spans="1:66" ht="11.25" customHeight="1">
      <c r="A40" s="13"/>
      <c r="B40" s="159" t="s">
        <v>355</v>
      </c>
      <c r="C40" s="193">
        <v>0</v>
      </c>
      <c r="D40" s="193">
        <v>18750</v>
      </c>
      <c r="E40" s="193">
        <v>0</v>
      </c>
      <c r="F40" s="193">
        <v>19254</v>
      </c>
      <c r="G40" s="193">
        <v>0</v>
      </c>
      <c r="H40" s="193">
        <v>0</v>
      </c>
      <c r="I40" s="193">
        <v>0</v>
      </c>
      <c r="J40" s="193">
        <v>0</v>
      </c>
      <c r="K40" s="193">
        <v>238</v>
      </c>
      <c r="L40" s="193">
        <v>0</v>
      </c>
      <c r="M40" s="193">
        <v>0</v>
      </c>
      <c r="N40" s="13"/>
      <c r="O40" s="159" t="s">
        <v>355</v>
      </c>
      <c r="P40" s="193">
        <v>134</v>
      </c>
      <c r="Q40" s="193">
        <v>222</v>
      </c>
      <c r="R40" s="193">
        <v>0</v>
      </c>
      <c r="S40" s="193">
        <v>0</v>
      </c>
      <c r="T40" s="193">
        <v>0</v>
      </c>
      <c r="U40" s="193">
        <v>0</v>
      </c>
      <c r="V40" s="193">
        <v>4180</v>
      </c>
      <c r="W40" s="193">
        <v>1782</v>
      </c>
      <c r="X40" s="193">
        <v>138457</v>
      </c>
      <c r="Y40" s="193">
        <v>874</v>
      </c>
      <c r="Z40" s="193">
        <v>7752</v>
      </c>
      <c r="AA40" s="13"/>
      <c r="AB40" s="159" t="s">
        <v>355</v>
      </c>
      <c r="AC40" s="193">
        <v>5618</v>
      </c>
      <c r="AD40" s="193">
        <v>72</v>
      </c>
      <c r="AE40" s="193">
        <v>6694</v>
      </c>
      <c r="AF40" s="193">
        <v>1723</v>
      </c>
      <c r="AG40" s="193">
        <v>1493</v>
      </c>
      <c r="AH40" s="193">
        <v>0</v>
      </c>
      <c r="AI40" s="193">
        <v>0</v>
      </c>
      <c r="AJ40" s="193">
        <v>0</v>
      </c>
      <c r="AK40" s="193">
        <v>0</v>
      </c>
      <c r="AL40" s="193">
        <v>0</v>
      </c>
      <c r="AM40" s="13"/>
      <c r="AN40" s="159" t="s">
        <v>355</v>
      </c>
      <c r="AO40" s="193">
        <v>0</v>
      </c>
      <c r="AP40" s="193">
        <v>56893</v>
      </c>
      <c r="AQ40" s="193">
        <v>0</v>
      </c>
      <c r="AR40" s="193">
        <v>202637</v>
      </c>
      <c r="AS40" s="193">
        <v>0</v>
      </c>
      <c r="AT40" s="193">
        <v>0</v>
      </c>
      <c r="AU40" s="193">
        <v>0</v>
      </c>
      <c r="AV40" s="193">
        <v>0</v>
      </c>
      <c r="AW40" s="193">
        <v>227.30000000000004</v>
      </c>
      <c r="AX40" s="193">
        <v>0</v>
      </c>
      <c r="AY40" s="193">
        <v>0</v>
      </c>
      <c r="AZ40" s="13"/>
      <c r="BA40" s="159" t="s">
        <v>355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N40" s="130"/>
    </row>
    <row r="41" spans="1:66" ht="11.25" customHeight="1">
      <c r="A41" s="13" t="s">
        <v>54</v>
      </c>
      <c r="B41" s="159" t="s">
        <v>346</v>
      </c>
      <c r="C41" s="193">
        <v>0</v>
      </c>
      <c r="D41" s="193">
        <v>21252</v>
      </c>
      <c r="E41" s="193">
        <v>0</v>
      </c>
      <c r="F41" s="193">
        <v>5742.3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3" t="s">
        <v>54</v>
      </c>
      <c r="O41" s="159" t="s">
        <v>346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14911</v>
      </c>
      <c r="Y41" s="193">
        <v>0</v>
      </c>
      <c r="Z41" s="193">
        <v>16115</v>
      </c>
      <c r="AA41" s="13" t="s">
        <v>54</v>
      </c>
      <c r="AB41" s="159" t="s">
        <v>346</v>
      </c>
      <c r="AC41" s="193">
        <v>3517</v>
      </c>
      <c r="AD41" s="193">
        <v>0</v>
      </c>
      <c r="AE41" s="193">
        <v>332.90000000000003</v>
      </c>
      <c r="AF41" s="193">
        <v>941</v>
      </c>
      <c r="AG41" s="193">
        <v>442.1</v>
      </c>
      <c r="AH41" s="193">
        <v>0</v>
      </c>
      <c r="AI41" s="193">
        <v>0</v>
      </c>
      <c r="AJ41" s="193">
        <v>0</v>
      </c>
      <c r="AK41" s="193">
        <v>0</v>
      </c>
      <c r="AL41" s="193">
        <v>0</v>
      </c>
      <c r="AM41" s="13" t="s">
        <v>54</v>
      </c>
      <c r="AN41" s="159" t="s">
        <v>346</v>
      </c>
      <c r="AO41" s="193">
        <v>0</v>
      </c>
      <c r="AP41" s="193">
        <v>0</v>
      </c>
      <c r="AQ41" s="193">
        <v>0</v>
      </c>
      <c r="AR41" s="193">
        <v>8882</v>
      </c>
      <c r="AS41" s="193">
        <v>213.29</v>
      </c>
      <c r="AT41" s="193">
        <v>0</v>
      </c>
      <c r="AU41" s="193">
        <v>0</v>
      </c>
      <c r="AV41" s="193">
        <v>15.577999999999999</v>
      </c>
      <c r="AW41" s="193">
        <v>676.81999999999994</v>
      </c>
      <c r="AX41" s="193">
        <v>0</v>
      </c>
      <c r="AY41" s="193">
        <v>1.7</v>
      </c>
      <c r="AZ41" s="13" t="s">
        <v>54</v>
      </c>
      <c r="BA41" s="159" t="s">
        <v>346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N41" s="130"/>
    </row>
    <row r="42" spans="1:66" ht="11.25" customHeight="1">
      <c r="A42" s="13"/>
      <c r="B42" s="159" t="s">
        <v>355</v>
      </c>
      <c r="C42" s="193">
        <v>0</v>
      </c>
      <c r="D42" s="193">
        <v>23466.400000000001</v>
      </c>
      <c r="E42" s="193">
        <v>0</v>
      </c>
      <c r="F42" s="193">
        <v>5802.1</v>
      </c>
      <c r="G42" s="193">
        <v>0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3"/>
      <c r="O42" s="159" t="s">
        <v>355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17555</v>
      </c>
      <c r="Y42" s="193">
        <v>0</v>
      </c>
      <c r="Z42" s="193">
        <v>15911.5</v>
      </c>
      <c r="AA42" s="13"/>
      <c r="AB42" s="159" t="s">
        <v>355</v>
      </c>
      <c r="AC42" s="193">
        <v>3022.5</v>
      </c>
      <c r="AD42" s="193">
        <v>0</v>
      </c>
      <c r="AE42" s="193">
        <v>368.7</v>
      </c>
      <c r="AF42" s="193">
        <v>880</v>
      </c>
      <c r="AG42" s="193">
        <v>428.3</v>
      </c>
      <c r="AH42" s="193">
        <v>0</v>
      </c>
      <c r="AI42" s="193">
        <v>0</v>
      </c>
      <c r="AJ42" s="193">
        <v>0</v>
      </c>
      <c r="AK42" s="193">
        <v>0</v>
      </c>
      <c r="AL42" s="193">
        <v>0</v>
      </c>
      <c r="AM42" s="13"/>
      <c r="AN42" s="159" t="s">
        <v>355</v>
      </c>
      <c r="AO42" s="193">
        <v>0</v>
      </c>
      <c r="AP42" s="193">
        <v>0</v>
      </c>
      <c r="AQ42" s="193">
        <v>0</v>
      </c>
      <c r="AR42" s="193">
        <v>10558</v>
      </c>
      <c r="AS42" s="193">
        <v>288.14</v>
      </c>
      <c r="AT42" s="193">
        <v>0</v>
      </c>
      <c r="AU42" s="193">
        <v>0</v>
      </c>
      <c r="AV42" s="193">
        <v>18.5</v>
      </c>
      <c r="AW42" s="193">
        <v>788.32900000000006</v>
      </c>
      <c r="AX42" s="193">
        <v>0</v>
      </c>
      <c r="AY42" s="193">
        <v>10.65</v>
      </c>
      <c r="AZ42" s="13"/>
      <c r="BA42" s="159" t="s">
        <v>355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N42" s="130"/>
    </row>
    <row r="43" spans="1:66" ht="11.25" customHeight="1">
      <c r="A43" s="13" t="s">
        <v>64</v>
      </c>
      <c r="B43" s="159" t="s">
        <v>346</v>
      </c>
      <c r="C43" s="193">
        <v>26.563000000000002</v>
      </c>
      <c r="D43" s="193">
        <v>137.69</v>
      </c>
      <c r="E43" s="193">
        <v>680.03100000000006</v>
      </c>
      <c r="F43" s="193">
        <v>0</v>
      </c>
      <c r="G43" s="193">
        <v>69.447000000000003</v>
      </c>
      <c r="H43" s="193">
        <v>28.8</v>
      </c>
      <c r="I43" s="193">
        <v>0</v>
      </c>
      <c r="J43" s="193">
        <v>0</v>
      </c>
      <c r="K43" s="193">
        <v>4.95</v>
      </c>
      <c r="L43" s="193">
        <v>0</v>
      </c>
      <c r="M43" s="193">
        <v>0</v>
      </c>
      <c r="N43" s="13" t="s">
        <v>64</v>
      </c>
      <c r="O43" s="159" t="s">
        <v>346</v>
      </c>
      <c r="P43" s="193">
        <v>106.11</v>
      </c>
      <c r="Q43" s="193">
        <v>246.87</v>
      </c>
      <c r="R43" s="193">
        <v>24.127000000000002</v>
      </c>
      <c r="S43" s="193">
        <v>218.89000000000001</v>
      </c>
      <c r="T43" s="193">
        <v>35.89</v>
      </c>
      <c r="U43" s="193">
        <v>1196.33</v>
      </c>
      <c r="V43" s="193">
        <v>399.56</v>
      </c>
      <c r="W43" s="193">
        <v>4221.348</v>
      </c>
      <c r="X43" s="193">
        <v>3.3</v>
      </c>
      <c r="Y43" s="193">
        <v>78.790000000000006</v>
      </c>
      <c r="Z43" s="193">
        <v>46.5</v>
      </c>
      <c r="AA43" s="13" t="s">
        <v>64</v>
      </c>
      <c r="AB43" s="159" t="s">
        <v>346</v>
      </c>
      <c r="AC43" s="193">
        <v>0</v>
      </c>
      <c r="AD43" s="193">
        <v>0</v>
      </c>
      <c r="AE43" s="193">
        <v>46.716000000000001</v>
      </c>
      <c r="AF43" s="193">
        <v>75.099999999999994</v>
      </c>
      <c r="AG43" s="193">
        <v>5.0510000000000002</v>
      </c>
      <c r="AH43" s="193">
        <v>0</v>
      </c>
      <c r="AI43" s="193">
        <v>7588.29</v>
      </c>
      <c r="AJ43" s="193">
        <v>595.53899999999999</v>
      </c>
      <c r="AK43" s="193">
        <v>150.36499999999998</v>
      </c>
      <c r="AL43" s="193">
        <v>2214.4389999999999</v>
      </c>
      <c r="AM43" s="13" t="s">
        <v>64</v>
      </c>
      <c r="AN43" s="159" t="s">
        <v>346</v>
      </c>
      <c r="AO43" s="193">
        <v>51.72</v>
      </c>
      <c r="AP43" s="193">
        <v>0</v>
      </c>
      <c r="AQ43" s="193">
        <v>6186.09</v>
      </c>
      <c r="AR43" s="193">
        <v>0</v>
      </c>
      <c r="AS43" s="193">
        <v>8.1620000000000008</v>
      </c>
      <c r="AT43" s="193">
        <v>131.85199999999998</v>
      </c>
      <c r="AU43" s="193">
        <v>61.4</v>
      </c>
      <c r="AV43" s="193">
        <v>0</v>
      </c>
      <c r="AW43" s="193">
        <v>0</v>
      </c>
      <c r="AX43" s="193">
        <v>0</v>
      </c>
      <c r="AY43" s="193">
        <v>14.299999999999999</v>
      </c>
      <c r="AZ43" s="13" t="s">
        <v>64</v>
      </c>
      <c r="BA43" s="159" t="s">
        <v>346</v>
      </c>
      <c r="BB43" s="193">
        <v>0</v>
      </c>
      <c r="BC43" s="193">
        <v>118.39400000000001</v>
      </c>
      <c r="BD43" s="193">
        <v>0</v>
      </c>
      <c r="BE43" s="193">
        <v>0</v>
      </c>
      <c r="BF43" s="193">
        <v>416345.35800000001</v>
      </c>
      <c r="BG43" s="193">
        <v>2757.43</v>
      </c>
      <c r="BH43" s="193">
        <v>0</v>
      </c>
      <c r="BI43" s="193">
        <v>231.38900000000001</v>
      </c>
      <c r="BJ43" s="193">
        <v>0</v>
      </c>
      <c r="BK43" s="193">
        <v>1133.229</v>
      </c>
      <c r="BL43" s="193">
        <v>0</v>
      </c>
      <c r="BN43" s="130"/>
    </row>
    <row r="44" spans="1:66" ht="11.25" customHeight="1">
      <c r="A44" s="13"/>
      <c r="B44" s="159" t="s">
        <v>355</v>
      </c>
      <c r="C44" s="193">
        <v>62.179999999999993</v>
      </c>
      <c r="D44" s="193">
        <v>177.51000000000002</v>
      </c>
      <c r="E44" s="193">
        <v>674.0329999999999</v>
      </c>
      <c r="F44" s="193">
        <v>0</v>
      </c>
      <c r="G44" s="193">
        <v>103.071</v>
      </c>
      <c r="H44" s="193">
        <v>29.01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3"/>
      <c r="O44" s="159" t="s">
        <v>355</v>
      </c>
      <c r="P44" s="193">
        <v>110.608</v>
      </c>
      <c r="Q44" s="193">
        <v>271.74</v>
      </c>
      <c r="R44" s="193">
        <v>99.929000000000002</v>
      </c>
      <c r="S44" s="193">
        <v>219.79</v>
      </c>
      <c r="T44" s="193">
        <v>117.85</v>
      </c>
      <c r="U44" s="193">
        <v>2473.89</v>
      </c>
      <c r="V44" s="193">
        <v>411.92799999999994</v>
      </c>
      <c r="W44" s="193">
        <v>4394.2580000000007</v>
      </c>
      <c r="X44" s="193">
        <v>1.5</v>
      </c>
      <c r="Y44" s="193">
        <v>76.569999999999993</v>
      </c>
      <c r="Z44" s="193">
        <v>52.160000000000004</v>
      </c>
      <c r="AA44" s="13"/>
      <c r="AB44" s="159" t="s">
        <v>355</v>
      </c>
      <c r="AC44" s="193">
        <v>0</v>
      </c>
      <c r="AD44" s="193">
        <v>0</v>
      </c>
      <c r="AE44" s="193">
        <v>119.46899999999999</v>
      </c>
      <c r="AF44" s="193">
        <v>68.210000000000008</v>
      </c>
      <c r="AG44" s="193">
        <v>5.1100000000000003</v>
      </c>
      <c r="AH44" s="193">
        <v>0</v>
      </c>
      <c r="AI44" s="193">
        <v>5902.25</v>
      </c>
      <c r="AJ44" s="193">
        <v>505.55899999999997</v>
      </c>
      <c r="AK44" s="193">
        <v>141.982</v>
      </c>
      <c r="AL44" s="193">
        <v>1976.2700000000002</v>
      </c>
      <c r="AM44" s="13"/>
      <c r="AN44" s="159" t="s">
        <v>355</v>
      </c>
      <c r="AO44" s="193">
        <v>102.98</v>
      </c>
      <c r="AP44" s="193">
        <v>0</v>
      </c>
      <c r="AQ44" s="193">
        <v>6866.6769999999997</v>
      </c>
      <c r="AR44" s="193">
        <v>0</v>
      </c>
      <c r="AS44" s="193">
        <v>17.47</v>
      </c>
      <c r="AT44" s="193">
        <v>119.21000000000001</v>
      </c>
      <c r="AU44" s="193">
        <v>58.2</v>
      </c>
      <c r="AV44" s="193">
        <v>0</v>
      </c>
      <c r="AW44" s="193">
        <v>0</v>
      </c>
      <c r="AX44" s="193">
        <v>0</v>
      </c>
      <c r="AY44" s="193">
        <v>18.190000000000001</v>
      </c>
      <c r="AZ44" s="13"/>
      <c r="BA44" s="159" t="s">
        <v>355</v>
      </c>
      <c r="BB44" s="193">
        <v>0</v>
      </c>
      <c r="BC44" s="193">
        <v>117.92</v>
      </c>
      <c r="BD44" s="193">
        <v>0</v>
      </c>
      <c r="BE44" s="193">
        <v>0</v>
      </c>
      <c r="BF44" s="193">
        <v>373413.80800000002</v>
      </c>
      <c r="BG44" s="193">
        <v>4016.79</v>
      </c>
      <c r="BH44" s="193">
        <v>0</v>
      </c>
      <c r="BI44" s="193">
        <v>383.07900000000001</v>
      </c>
      <c r="BJ44" s="193">
        <v>0</v>
      </c>
      <c r="BK44" s="193">
        <v>820.95900000000006</v>
      </c>
      <c r="BL44" s="193">
        <v>0</v>
      </c>
      <c r="BN44" s="130"/>
    </row>
    <row r="45" spans="1:66" ht="11.25" customHeight="1">
      <c r="A45" s="13" t="s">
        <v>36</v>
      </c>
      <c r="B45" s="159" t="s">
        <v>346</v>
      </c>
      <c r="C45" s="193">
        <v>0</v>
      </c>
      <c r="D45" s="193">
        <v>3572.2889999999998</v>
      </c>
      <c r="E45" s="193">
        <v>1275.5899999999999</v>
      </c>
      <c r="F45" s="193">
        <v>1123.3489999999999</v>
      </c>
      <c r="G45" s="193">
        <v>98</v>
      </c>
      <c r="H45" s="193">
        <v>0</v>
      </c>
      <c r="I45" s="193">
        <v>0</v>
      </c>
      <c r="J45" s="193">
        <v>0</v>
      </c>
      <c r="K45" s="193">
        <v>1799.3190000000002</v>
      </c>
      <c r="L45" s="193">
        <v>0</v>
      </c>
      <c r="M45" s="193">
        <v>0</v>
      </c>
      <c r="N45" s="13" t="s">
        <v>36</v>
      </c>
      <c r="O45" s="159" t="s">
        <v>346</v>
      </c>
      <c r="P45" s="193">
        <v>0</v>
      </c>
      <c r="Q45" s="193">
        <v>7588.1100000000006</v>
      </c>
      <c r="R45" s="193">
        <v>2046.1</v>
      </c>
      <c r="S45" s="193">
        <v>564.64800000000002</v>
      </c>
      <c r="T45" s="193">
        <v>20</v>
      </c>
      <c r="U45" s="193">
        <v>0</v>
      </c>
      <c r="V45" s="193">
        <v>11326.499</v>
      </c>
      <c r="W45" s="193">
        <v>3568.96</v>
      </c>
      <c r="X45" s="193">
        <v>34403.588000000003</v>
      </c>
      <c r="Y45" s="193">
        <v>76</v>
      </c>
      <c r="Z45" s="193">
        <v>978.35700000000008</v>
      </c>
      <c r="AA45" s="13" t="s">
        <v>36</v>
      </c>
      <c r="AB45" s="159" t="s">
        <v>346</v>
      </c>
      <c r="AC45" s="193">
        <v>472.65900000000005</v>
      </c>
      <c r="AD45" s="193">
        <v>11478.279999999999</v>
      </c>
      <c r="AE45" s="193">
        <v>94</v>
      </c>
      <c r="AF45" s="193">
        <v>598.1</v>
      </c>
      <c r="AG45" s="193">
        <v>190</v>
      </c>
      <c r="AH45" s="193">
        <v>0</v>
      </c>
      <c r="AI45" s="193">
        <v>0</v>
      </c>
      <c r="AJ45" s="193">
        <v>0</v>
      </c>
      <c r="AK45" s="193">
        <v>0</v>
      </c>
      <c r="AL45" s="193">
        <v>17.89</v>
      </c>
      <c r="AM45" s="13" t="s">
        <v>36</v>
      </c>
      <c r="AN45" s="159" t="s">
        <v>346</v>
      </c>
      <c r="AO45" s="193">
        <v>0</v>
      </c>
      <c r="AP45" s="193">
        <v>0</v>
      </c>
      <c r="AQ45" s="193">
        <v>157348.65700000001</v>
      </c>
      <c r="AR45" s="193">
        <v>32479.438999999998</v>
      </c>
      <c r="AS45" s="193">
        <v>0</v>
      </c>
      <c r="AT45" s="193">
        <v>4796.5199999999995</v>
      </c>
      <c r="AU45" s="193">
        <v>6796.9290000000001</v>
      </c>
      <c r="AV45" s="193">
        <v>9909.1890000000003</v>
      </c>
      <c r="AW45" s="193">
        <v>1999.819</v>
      </c>
      <c r="AX45" s="193">
        <v>0</v>
      </c>
      <c r="AY45" s="193">
        <v>330.45</v>
      </c>
      <c r="AZ45" s="13" t="s">
        <v>36</v>
      </c>
      <c r="BA45" s="159" t="s">
        <v>346</v>
      </c>
      <c r="BB45" s="193">
        <v>0</v>
      </c>
      <c r="BC45" s="193">
        <v>676.33999999999992</v>
      </c>
      <c r="BD45" s="193">
        <v>52.31</v>
      </c>
      <c r="BE45" s="193">
        <v>0</v>
      </c>
      <c r="BF45" s="193">
        <v>2711.7660000000001</v>
      </c>
      <c r="BG45" s="193">
        <v>0</v>
      </c>
      <c r="BH45" s="193">
        <v>0</v>
      </c>
      <c r="BI45" s="193">
        <v>898.48</v>
      </c>
      <c r="BJ45" s="193">
        <v>0</v>
      </c>
      <c r="BK45" s="193">
        <v>0</v>
      </c>
      <c r="BL45" s="193">
        <v>0</v>
      </c>
      <c r="BN45" s="130"/>
    </row>
    <row r="46" spans="1:66" ht="11.25" customHeight="1">
      <c r="A46" s="13"/>
      <c r="B46" s="159" t="s">
        <v>355</v>
      </c>
      <c r="C46" s="193">
        <v>0</v>
      </c>
      <c r="D46" s="193">
        <v>4626.848</v>
      </c>
      <c r="E46" s="193">
        <v>641.65</v>
      </c>
      <c r="F46" s="193">
        <v>1205.8200000000002</v>
      </c>
      <c r="G46" s="193">
        <v>98</v>
      </c>
      <c r="H46" s="193">
        <v>0</v>
      </c>
      <c r="I46" s="193">
        <v>0</v>
      </c>
      <c r="J46" s="193">
        <v>0</v>
      </c>
      <c r="K46" s="193">
        <v>2457.31</v>
      </c>
      <c r="L46" s="193">
        <v>0</v>
      </c>
      <c r="M46" s="193">
        <v>0</v>
      </c>
      <c r="N46" s="13"/>
      <c r="O46" s="159" t="s">
        <v>355</v>
      </c>
      <c r="P46" s="193">
        <v>0</v>
      </c>
      <c r="Q46" s="193">
        <v>7097.66</v>
      </c>
      <c r="R46" s="193">
        <v>2367.98</v>
      </c>
      <c r="S46" s="193">
        <v>609.91999999999996</v>
      </c>
      <c r="T46" s="193">
        <v>18.399999999999999</v>
      </c>
      <c r="U46" s="193">
        <v>0</v>
      </c>
      <c r="V46" s="193">
        <v>10470.84</v>
      </c>
      <c r="W46" s="193">
        <v>4876.9170000000004</v>
      </c>
      <c r="X46" s="193">
        <v>39409.769</v>
      </c>
      <c r="Y46" s="193">
        <v>80</v>
      </c>
      <c r="Z46" s="193">
        <v>999.95900000000006</v>
      </c>
      <c r="AA46" s="13"/>
      <c r="AB46" s="159" t="s">
        <v>355</v>
      </c>
      <c r="AC46" s="193">
        <v>295.28000000000003</v>
      </c>
      <c r="AD46" s="193">
        <v>15122.947</v>
      </c>
      <c r="AE46" s="193">
        <v>100</v>
      </c>
      <c r="AF46" s="193">
        <v>499.62</v>
      </c>
      <c r="AG46" s="193">
        <v>166</v>
      </c>
      <c r="AH46" s="193">
        <v>0</v>
      </c>
      <c r="AI46" s="193">
        <v>0</v>
      </c>
      <c r="AJ46" s="193">
        <v>0</v>
      </c>
      <c r="AK46" s="193">
        <v>0</v>
      </c>
      <c r="AL46" s="193">
        <v>15.684000000000001</v>
      </c>
      <c r="AM46" s="13"/>
      <c r="AN46" s="159" t="s">
        <v>355</v>
      </c>
      <c r="AO46" s="193">
        <v>0</v>
      </c>
      <c r="AP46" s="193">
        <v>0</v>
      </c>
      <c r="AQ46" s="193">
        <v>150210.11299999998</v>
      </c>
      <c r="AR46" s="193">
        <v>28144.43</v>
      </c>
      <c r="AS46" s="193">
        <v>0</v>
      </c>
      <c r="AT46" s="193">
        <v>5091.4979999999996</v>
      </c>
      <c r="AU46" s="193">
        <v>6308.3200000000006</v>
      </c>
      <c r="AV46" s="193">
        <v>8784.6880000000019</v>
      </c>
      <c r="AW46" s="193">
        <v>2367.2490000000003</v>
      </c>
      <c r="AX46" s="193">
        <v>0</v>
      </c>
      <c r="AY46" s="193">
        <v>363.69</v>
      </c>
      <c r="AZ46" s="13"/>
      <c r="BA46" s="159" t="s">
        <v>355</v>
      </c>
      <c r="BB46" s="193">
        <v>0</v>
      </c>
      <c r="BC46" s="193">
        <v>507.99999999999994</v>
      </c>
      <c r="BD46" s="193">
        <v>58.199999999999996</v>
      </c>
      <c r="BE46" s="193">
        <v>0</v>
      </c>
      <c r="BF46" s="193">
        <v>3270.2349999999997</v>
      </c>
      <c r="BG46" s="193">
        <v>0</v>
      </c>
      <c r="BH46" s="193">
        <v>0</v>
      </c>
      <c r="BI46" s="193">
        <v>0</v>
      </c>
      <c r="BJ46" s="193">
        <v>0</v>
      </c>
      <c r="BK46" s="193">
        <v>0</v>
      </c>
      <c r="BL46" s="193">
        <v>0</v>
      </c>
      <c r="BN46" s="130"/>
    </row>
    <row r="47" spans="1:66" ht="11.25" customHeight="1">
      <c r="A47" s="13" t="s">
        <v>37</v>
      </c>
      <c r="B47" s="159" t="s">
        <v>346</v>
      </c>
      <c r="C47" s="193">
        <v>2064</v>
      </c>
      <c r="D47" s="193">
        <v>15517</v>
      </c>
      <c r="E47" s="193">
        <v>3760</v>
      </c>
      <c r="F47" s="193">
        <v>253304</v>
      </c>
      <c r="G47" s="193">
        <v>33</v>
      </c>
      <c r="H47" s="193">
        <v>0</v>
      </c>
      <c r="I47" s="193">
        <v>0</v>
      </c>
      <c r="J47" s="193">
        <v>0</v>
      </c>
      <c r="K47" s="193">
        <v>0</v>
      </c>
      <c r="L47" s="193">
        <v>2076</v>
      </c>
      <c r="M47" s="193">
        <v>4044.7000000000007</v>
      </c>
      <c r="N47" s="13" t="s">
        <v>37</v>
      </c>
      <c r="O47" s="159" t="s">
        <v>346</v>
      </c>
      <c r="P47" s="193">
        <v>344</v>
      </c>
      <c r="Q47" s="193">
        <v>0</v>
      </c>
      <c r="R47" s="193">
        <v>371</v>
      </c>
      <c r="S47" s="193">
        <v>461</v>
      </c>
      <c r="T47" s="193">
        <v>12</v>
      </c>
      <c r="U47" s="193">
        <v>1270</v>
      </c>
      <c r="V47" s="193">
        <v>600</v>
      </c>
      <c r="W47" s="193">
        <v>5918</v>
      </c>
      <c r="X47" s="193">
        <v>191180</v>
      </c>
      <c r="Y47" s="193">
        <v>240376</v>
      </c>
      <c r="Z47" s="193">
        <v>246</v>
      </c>
      <c r="AA47" s="13" t="s">
        <v>37</v>
      </c>
      <c r="AB47" s="159" t="s">
        <v>346</v>
      </c>
      <c r="AC47" s="193">
        <v>0</v>
      </c>
      <c r="AD47" s="193">
        <v>362</v>
      </c>
      <c r="AE47" s="193">
        <v>96041</v>
      </c>
      <c r="AF47" s="193">
        <v>1390</v>
      </c>
      <c r="AG47" s="193">
        <v>0</v>
      </c>
      <c r="AH47" s="193">
        <v>0</v>
      </c>
      <c r="AI47" s="193">
        <v>15327</v>
      </c>
      <c r="AJ47" s="193">
        <v>0</v>
      </c>
      <c r="AK47" s="193">
        <v>0</v>
      </c>
      <c r="AL47" s="193">
        <v>0</v>
      </c>
      <c r="AM47" s="13" t="s">
        <v>37</v>
      </c>
      <c r="AN47" s="159" t="s">
        <v>346</v>
      </c>
      <c r="AO47" s="193">
        <v>0</v>
      </c>
      <c r="AP47" s="193">
        <v>0</v>
      </c>
      <c r="AQ47" s="193">
        <v>11863</v>
      </c>
      <c r="AR47" s="193">
        <v>3667</v>
      </c>
      <c r="AS47" s="193">
        <v>7305</v>
      </c>
      <c r="AT47" s="193">
        <v>2179</v>
      </c>
      <c r="AU47" s="193">
        <v>884</v>
      </c>
      <c r="AV47" s="193">
        <v>1870</v>
      </c>
      <c r="AW47" s="193">
        <v>1365</v>
      </c>
      <c r="AX47" s="193">
        <v>983</v>
      </c>
      <c r="AY47" s="193">
        <v>1080</v>
      </c>
      <c r="AZ47" s="13" t="s">
        <v>37</v>
      </c>
      <c r="BA47" s="159" t="s">
        <v>346</v>
      </c>
      <c r="BB47" s="193">
        <v>0</v>
      </c>
      <c r="BC47" s="193">
        <v>182</v>
      </c>
      <c r="BD47" s="193">
        <v>143</v>
      </c>
      <c r="BE47" s="193">
        <v>253957.0449999999</v>
      </c>
      <c r="BF47" s="193">
        <v>2541</v>
      </c>
      <c r="BG47" s="193">
        <v>0</v>
      </c>
      <c r="BH47" s="193">
        <v>0</v>
      </c>
      <c r="BI47" s="193">
        <v>0</v>
      </c>
      <c r="BJ47" s="193">
        <v>0</v>
      </c>
      <c r="BK47" s="193">
        <v>0</v>
      </c>
      <c r="BL47" s="193">
        <v>185</v>
      </c>
      <c r="BN47" s="130"/>
    </row>
    <row r="48" spans="1:66" ht="11.25" customHeight="1">
      <c r="A48" s="13"/>
      <c r="B48" s="159" t="s">
        <v>355</v>
      </c>
      <c r="C48" s="193">
        <v>642</v>
      </c>
      <c r="D48" s="193">
        <v>15267</v>
      </c>
      <c r="E48" s="193">
        <v>1879</v>
      </c>
      <c r="F48" s="193">
        <v>238591</v>
      </c>
      <c r="G48" s="193">
        <v>13</v>
      </c>
      <c r="H48" s="193">
        <v>0</v>
      </c>
      <c r="I48" s="193">
        <v>0</v>
      </c>
      <c r="J48" s="193">
        <v>0</v>
      </c>
      <c r="K48" s="193">
        <v>0</v>
      </c>
      <c r="L48" s="193">
        <v>2020</v>
      </c>
      <c r="M48" s="193">
        <v>3500</v>
      </c>
      <c r="N48" s="13"/>
      <c r="O48" s="159" t="s">
        <v>355</v>
      </c>
      <c r="P48" s="193">
        <v>746</v>
      </c>
      <c r="Q48" s="193">
        <v>195</v>
      </c>
      <c r="R48" s="193">
        <v>768</v>
      </c>
      <c r="S48" s="193">
        <v>323</v>
      </c>
      <c r="T48" s="193">
        <v>2</v>
      </c>
      <c r="U48" s="193">
        <v>1590</v>
      </c>
      <c r="V48" s="193">
        <v>450</v>
      </c>
      <c r="W48" s="193">
        <v>6598</v>
      </c>
      <c r="X48" s="193">
        <v>172135</v>
      </c>
      <c r="Y48" s="193">
        <v>216169</v>
      </c>
      <c r="Z48" s="193">
        <v>691</v>
      </c>
      <c r="AA48" s="13"/>
      <c r="AB48" s="159" t="s">
        <v>355</v>
      </c>
      <c r="AC48" s="193">
        <v>0</v>
      </c>
      <c r="AD48" s="193">
        <v>392</v>
      </c>
      <c r="AE48" s="193">
        <v>88663</v>
      </c>
      <c r="AF48" s="193">
        <v>1341</v>
      </c>
      <c r="AG48" s="193">
        <v>0</v>
      </c>
      <c r="AH48" s="193">
        <v>0</v>
      </c>
      <c r="AI48" s="193">
        <v>19473</v>
      </c>
      <c r="AJ48" s="193">
        <v>0</v>
      </c>
      <c r="AK48" s="193">
        <v>0</v>
      </c>
      <c r="AL48" s="193">
        <v>0</v>
      </c>
      <c r="AM48" s="13"/>
      <c r="AN48" s="159" t="s">
        <v>355</v>
      </c>
      <c r="AO48" s="193">
        <v>0</v>
      </c>
      <c r="AP48" s="193">
        <v>0</v>
      </c>
      <c r="AQ48" s="193">
        <v>10045</v>
      </c>
      <c r="AR48" s="193">
        <v>1248</v>
      </c>
      <c r="AS48" s="193">
        <v>4079</v>
      </c>
      <c r="AT48" s="193">
        <v>535</v>
      </c>
      <c r="AU48" s="193">
        <v>393</v>
      </c>
      <c r="AV48" s="193">
        <v>1454</v>
      </c>
      <c r="AW48" s="193">
        <v>1283</v>
      </c>
      <c r="AX48" s="193">
        <v>100</v>
      </c>
      <c r="AY48" s="193">
        <v>824</v>
      </c>
      <c r="AZ48" s="13"/>
      <c r="BA48" s="159" t="s">
        <v>355</v>
      </c>
      <c r="BB48" s="193">
        <v>0</v>
      </c>
      <c r="BC48" s="193">
        <v>294</v>
      </c>
      <c r="BD48" s="193">
        <v>183</v>
      </c>
      <c r="BE48" s="193">
        <v>182815.96800000005</v>
      </c>
      <c r="BF48" s="193">
        <v>2738</v>
      </c>
      <c r="BG48" s="193">
        <v>0</v>
      </c>
      <c r="BH48" s="193">
        <v>0</v>
      </c>
      <c r="BI48" s="193">
        <v>0</v>
      </c>
      <c r="BJ48" s="193">
        <v>0</v>
      </c>
      <c r="BK48" s="193">
        <v>0</v>
      </c>
      <c r="BL48" s="193">
        <v>681</v>
      </c>
      <c r="BN48" s="130"/>
    </row>
    <row r="49" spans="1:68" ht="11.25" customHeight="1">
      <c r="A49" s="13" t="s">
        <v>38</v>
      </c>
      <c r="B49" s="159" t="s">
        <v>346</v>
      </c>
      <c r="C49" s="193">
        <v>1906.81</v>
      </c>
      <c r="D49" s="193">
        <v>4476.5</v>
      </c>
      <c r="E49" s="193">
        <v>6633.7499999999991</v>
      </c>
      <c r="F49" s="193">
        <v>153.80000000000001</v>
      </c>
      <c r="G49" s="193">
        <v>29357.699999999997</v>
      </c>
      <c r="H49" s="193">
        <v>39618.129999999997</v>
      </c>
      <c r="I49" s="193">
        <v>0</v>
      </c>
      <c r="J49" s="193">
        <v>0</v>
      </c>
      <c r="K49" s="193">
        <v>0</v>
      </c>
      <c r="L49" s="193">
        <v>0</v>
      </c>
      <c r="M49" s="193">
        <v>0</v>
      </c>
      <c r="N49" s="13" t="s">
        <v>38</v>
      </c>
      <c r="O49" s="159" t="s">
        <v>346</v>
      </c>
      <c r="P49" s="193">
        <v>0</v>
      </c>
      <c r="Q49" s="193">
        <v>1120.1999999999998</v>
      </c>
      <c r="R49" s="193">
        <v>0</v>
      </c>
      <c r="S49" s="193">
        <v>153.5</v>
      </c>
      <c r="T49" s="193">
        <v>0</v>
      </c>
      <c r="U49" s="193">
        <v>6541.2</v>
      </c>
      <c r="V49" s="193">
        <v>0</v>
      </c>
      <c r="W49" s="193">
        <v>2203</v>
      </c>
      <c r="X49" s="193">
        <v>5862</v>
      </c>
      <c r="Y49" s="193">
        <v>0</v>
      </c>
      <c r="Z49" s="193">
        <v>2373</v>
      </c>
      <c r="AA49" s="13" t="s">
        <v>38</v>
      </c>
      <c r="AB49" s="159" t="s">
        <v>346</v>
      </c>
      <c r="AC49" s="193">
        <v>96</v>
      </c>
      <c r="AD49" s="193">
        <v>519</v>
      </c>
      <c r="AE49" s="193">
        <v>37</v>
      </c>
      <c r="AF49" s="193">
        <v>15776</v>
      </c>
      <c r="AG49" s="193">
        <v>3742</v>
      </c>
      <c r="AH49" s="193">
        <v>0</v>
      </c>
      <c r="AI49" s="193">
        <v>0</v>
      </c>
      <c r="AJ49" s="193">
        <v>0</v>
      </c>
      <c r="AK49" s="193">
        <v>394</v>
      </c>
      <c r="AL49" s="193">
        <v>0</v>
      </c>
      <c r="AM49" s="13" t="s">
        <v>38</v>
      </c>
      <c r="AN49" s="159" t="s">
        <v>346</v>
      </c>
      <c r="AO49" s="193">
        <v>0</v>
      </c>
      <c r="AP49" s="193">
        <v>0</v>
      </c>
      <c r="AQ49" s="193">
        <v>822044</v>
      </c>
      <c r="AR49" s="193">
        <v>29643</v>
      </c>
      <c r="AS49" s="193">
        <v>2768.2</v>
      </c>
      <c r="AT49" s="193">
        <v>29853.72</v>
      </c>
      <c r="AU49" s="193">
        <v>18806.5</v>
      </c>
      <c r="AV49" s="193">
        <v>5820</v>
      </c>
      <c r="AW49" s="193">
        <v>291</v>
      </c>
      <c r="AX49" s="193">
        <v>0</v>
      </c>
      <c r="AY49" s="193">
        <v>684.9</v>
      </c>
      <c r="AZ49" s="13" t="s">
        <v>38</v>
      </c>
      <c r="BA49" s="159" t="s">
        <v>346</v>
      </c>
      <c r="BB49" s="193">
        <v>0</v>
      </c>
      <c r="BC49" s="193">
        <v>12861.119999999999</v>
      </c>
      <c r="BD49" s="193">
        <v>1088.3499999999999</v>
      </c>
      <c r="BE49" s="193">
        <v>0</v>
      </c>
      <c r="BF49" s="193">
        <v>1471568</v>
      </c>
      <c r="BG49" s="193">
        <v>0</v>
      </c>
      <c r="BH49" s="193">
        <v>374896.27</v>
      </c>
      <c r="BI49" s="193">
        <v>2176713</v>
      </c>
      <c r="BJ49" s="193">
        <v>0</v>
      </c>
      <c r="BK49" s="193">
        <v>17</v>
      </c>
      <c r="BL49" s="193">
        <v>0</v>
      </c>
      <c r="BN49" s="130"/>
    </row>
    <row r="50" spans="1:68" ht="11.25" customHeight="1">
      <c r="A50" s="13"/>
      <c r="B50" s="159" t="s">
        <v>355</v>
      </c>
      <c r="C50" s="193">
        <v>1720.54</v>
      </c>
      <c r="D50" s="193">
        <v>4309.2</v>
      </c>
      <c r="E50" s="193">
        <v>6494.75</v>
      </c>
      <c r="F50" s="193">
        <v>146.60000000000002</v>
      </c>
      <c r="G50" s="193">
        <v>30268.234999999997</v>
      </c>
      <c r="H50" s="193">
        <v>41336.709000000003</v>
      </c>
      <c r="I50" s="193">
        <v>0</v>
      </c>
      <c r="J50" s="193">
        <v>0</v>
      </c>
      <c r="K50" s="193">
        <v>0</v>
      </c>
      <c r="L50" s="193">
        <v>0</v>
      </c>
      <c r="M50" s="193">
        <v>0</v>
      </c>
      <c r="N50" s="13"/>
      <c r="O50" s="159" t="s">
        <v>355</v>
      </c>
      <c r="P50" s="193">
        <v>0</v>
      </c>
      <c r="Q50" s="193">
        <v>1108.7</v>
      </c>
      <c r="R50" s="193">
        <v>0</v>
      </c>
      <c r="S50" s="193">
        <v>155.9</v>
      </c>
      <c r="T50" s="193">
        <v>0</v>
      </c>
      <c r="U50" s="193">
        <v>6086.4000000000005</v>
      </c>
      <c r="V50" s="193">
        <v>105.8</v>
      </c>
      <c r="W50" s="193">
        <v>2210</v>
      </c>
      <c r="X50" s="193">
        <v>5880.5</v>
      </c>
      <c r="Y50" s="193">
        <v>0</v>
      </c>
      <c r="Z50" s="193">
        <v>2375.1</v>
      </c>
      <c r="AA50" s="13"/>
      <c r="AB50" s="159" t="s">
        <v>355</v>
      </c>
      <c r="AC50" s="193">
        <v>109</v>
      </c>
      <c r="AD50" s="193">
        <v>524</v>
      </c>
      <c r="AE50" s="193">
        <v>38.299999999999997</v>
      </c>
      <c r="AF50" s="193">
        <v>16008</v>
      </c>
      <c r="AG50" s="193">
        <v>3738.7</v>
      </c>
      <c r="AH50" s="193">
        <v>0</v>
      </c>
      <c r="AI50" s="193">
        <v>0</v>
      </c>
      <c r="AJ50" s="193">
        <v>0</v>
      </c>
      <c r="AK50" s="193">
        <v>387.2</v>
      </c>
      <c r="AL50" s="193">
        <v>0</v>
      </c>
      <c r="AM50" s="13"/>
      <c r="AN50" s="159" t="s">
        <v>355</v>
      </c>
      <c r="AO50" s="193">
        <v>0</v>
      </c>
      <c r="AP50" s="193">
        <v>0</v>
      </c>
      <c r="AQ50" s="193">
        <v>939813.3</v>
      </c>
      <c r="AR50" s="193">
        <v>35130.800000000003</v>
      </c>
      <c r="AS50" s="193">
        <v>2211.6</v>
      </c>
      <c r="AT50" s="193">
        <v>30250.13</v>
      </c>
      <c r="AU50" s="193">
        <v>19629.339999999997</v>
      </c>
      <c r="AV50" s="193">
        <v>5798.8</v>
      </c>
      <c r="AW50" s="193">
        <v>292</v>
      </c>
      <c r="AX50" s="193">
        <v>0</v>
      </c>
      <c r="AY50" s="193">
        <v>659.03</v>
      </c>
      <c r="AZ50" s="13"/>
      <c r="BA50" s="159" t="s">
        <v>355</v>
      </c>
      <c r="BB50" s="193">
        <v>0</v>
      </c>
      <c r="BC50" s="193">
        <v>12853.169999999998</v>
      </c>
      <c r="BD50" s="193">
        <v>1042.78</v>
      </c>
      <c r="BE50" s="193">
        <v>0</v>
      </c>
      <c r="BF50" s="193">
        <v>1486209.2</v>
      </c>
      <c r="BG50" s="193">
        <v>0</v>
      </c>
      <c r="BH50" s="193">
        <v>323784.8</v>
      </c>
      <c r="BI50" s="193">
        <v>2378106.39</v>
      </c>
      <c r="BJ50" s="193">
        <v>0</v>
      </c>
      <c r="BK50" s="193">
        <v>17</v>
      </c>
      <c r="BL50" s="193">
        <v>0</v>
      </c>
      <c r="BN50" s="130"/>
    </row>
    <row r="51" spans="1:68" ht="11.25" customHeight="1">
      <c r="A51" s="13" t="s">
        <v>67</v>
      </c>
      <c r="B51" s="159" t="s">
        <v>346</v>
      </c>
      <c r="C51" s="193">
        <v>0</v>
      </c>
      <c r="D51" s="193">
        <v>84066.839000000007</v>
      </c>
      <c r="E51" s="193">
        <v>0</v>
      </c>
      <c r="F51" s="193">
        <v>469410.43999999994</v>
      </c>
      <c r="G51" s="193">
        <v>0</v>
      </c>
      <c r="H51" s="193">
        <v>0</v>
      </c>
      <c r="I51" s="193">
        <v>0</v>
      </c>
      <c r="J51" s="193">
        <v>0</v>
      </c>
      <c r="K51" s="193">
        <v>0</v>
      </c>
      <c r="L51" s="193">
        <v>0</v>
      </c>
      <c r="M51" s="193">
        <v>0</v>
      </c>
      <c r="N51" s="13" t="s">
        <v>67</v>
      </c>
      <c r="O51" s="159" t="s">
        <v>346</v>
      </c>
      <c r="P51" s="193">
        <v>1372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152.75000000000003</v>
      </c>
      <c r="X51" s="193">
        <v>217248.25</v>
      </c>
      <c r="Y51" s="193">
        <v>266.39999999999998</v>
      </c>
      <c r="Z51" s="193">
        <v>13702.8</v>
      </c>
      <c r="AA51" s="13" t="s">
        <v>67</v>
      </c>
      <c r="AB51" s="159" t="s">
        <v>346</v>
      </c>
      <c r="AC51" s="193">
        <v>8734.5</v>
      </c>
      <c r="AD51" s="193">
        <v>0</v>
      </c>
      <c r="AE51" s="193">
        <v>3064.52</v>
      </c>
      <c r="AF51" s="193">
        <v>37382.9</v>
      </c>
      <c r="AG51" s="193">
        <v>342.5</v>
      </c>
      <c r="AH51" s="193">
        <v>0</v>
      </c>
      <c r="AI51" s="193">
        <v>559.5</v>
      </c>
      <c r="AJ51" s="193">
        <v>0</v>
      </c>
      <c r="AK51" s="193">
        <v>0</v>
      </c>
      <c r="AL51" s="193">
        <v>0</v>
      </c>
      <c r="AM51" s="13" t="s">
        <v>67</v>
      </c>
      <c r="AN51" s="159" t="s">
        <v>346</v>
      </c>
      <c r="AO51" s="193">
        <v>0</v>
      </c>
      <c r="AP51" s="193">
        <v>191027.84999999998</v>
      </c>
      <c r="AQ51" s="193">
        <v>0</v>
      </c>
      <c r="AR51" s="193">
        <v>51885.5</v>
      </c>
      <c r="AS51" s="193">
        <v>0</v>
      </c>
      <c r="AT51" s="193">
        <v>0</v>
      </c>
      <c r="AU51" s="193">
        <v>0</v>
      </c>
      <c r="AV51" s="193">
        <v>91946.8</v>
      </c>
      <c r="AW51" s="193">
        <v>34218.800000000003</v>
      </c>
      <c r="AX51" s="193">
        <v>0</v>
      </c>
      <c r="AY51" s="193">
        <v>467.84699999999998</v>
      </c>
      <c r="AZ51" s="13" t="s">
        <v>67</v>
      </c>
      <c r="BA51" s="159" t="s">
        <v>346</v>
      </c>
      <c r="BB51" s="193">
        <v>0</v>
      </c>
      <c r="BC51" s="193">
        <v>0</v>
      </c>
      <c r="BD51" s="193">
        <v>0</v>
      </c>
      <c r="BE51" s="193">
        <v>0</v>
      </c>
      <c r="BF51" s="193">
        <v>0</v>
      </c>
      <c r="BG51" s="193">
        <v>0</v>
      </c>
      <c r="BH51" s="193">
        <v>0</v>
      </c>
      <c r="BI51" s="193">
        <v>0</v>
      </c>
      <c r="BJ51" s="193">
        <v>0</v>
      </c>
      <c r="BK51" s="193">
        <v>0</v>
      </c>
      <c r="BL51" s="193">
        <v>0</v>
      </c>
      <c r="BN51" s="130"/>
    </row>
    <row r="52" spans="1:68" ht="11.25" customHeight="1">
      <c r="A52" s="13"/>
      <c r="B52" s="159" t="s">
        <v>355</v>
      </c>
      <c r="C52" s="193">
        <v>0</v>
      </c>
      <c r="D52" s="193">
        <v>92126</v>
      </c>
      <c r="E52" s="193">
        <v>0</v>
      </c>
      <c r="F52" s="193">
        <v>432680.47100000002</v>
      </c>
      <c r="G52" s="193">
        <v>0</v>
      </c>
      <c r="H52" s="193">
        <v>0</v>
      </c>
      <c r="I52" s="193">
        <v>0</v>
      </c>
      <c r="J52" s="193">
        <v>0</v>
      </c>
      <c r="K52" s="193">
        <v>106</v>
      </c>
      <c r="L52" s="193">
        <v>0</v>
      </c>
      <c r="M52" s="193">
        <v>0</v>
      </c>
      <c r="N52" s="13"/>
      <c r="O52" s="159" t="s">
        <v>355</v>
      </c>
      <c r="P52" s="193">
        <v>1357.5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222.5</v>
      </c>
      <c r="X52" s="193">
        <v>208727</v>
      </c>
      <c r="Y52" s="193">
        <v>63.550000000000004</v>
      </c>
      <c r="Z52" s="193">
        <v>12682.3</v>
      </c>
      <c r="AA52" s="13"/>
      <c r="AB52" s="159" t="s">
        <v>355</v>
      </c>
      <c r="AC52" s="193">
        <v>7149.8</v>
      </c>
      <c r="AD52" s="193">
        <v>0</v>
      </c>
      <c r="AE52" s="193">
        <v>2587.9</v>
      </c>
      <c r="AF52" s="193">
        <v>28050</v>
      </c>
      <c r="AG52" s="193">
        <v>327</v>
      </c>
      <c r="AH52" s="193">
        <v>0</v>
      </c>
      <c r="AI52" s="193">
        <v>577</v>
      </c>
      <c r="AJ52" s="193">
        <v>0</v>
      </c>
      <c r="AK52" s="193">
        <v>0</v>
      </c>
      <c r="AL52" s="193">
        <v>0</v>
      </c>
      <c r="AM52" s="13"/>
      <c r="AN52" s="159" t="s">
        <v>355</v>
      </c>
      <c r="AO52" s="193">
        <v>0</v>
      </c>
      <c r="AP52" s="193">
        <v>197017.53</v>
      </c>
      <c r="AQ52" s="193">
        <v>0</v>
      </c>
      <c r="AR52" s="193">
        <v>70257</v>
      </c>
      <c r="AS52" s="193">
        <v>0</v>
      </c>
      <c r="AT52" s="193">
        <v>0</v>
      </c>
      <c r="AU52" s="193">
        <v>0</v>
      </c>
      <c r="AV52" s="193">
        <v>73867</v>
      </c>
      <c r="AW52" s="193">
        <v>30676.999999999996</v>
      </c>
      <c r="AX52" s="193">
        <v>0</v>
      </c>
      <c r="AY52" s="193">
        <v>598.49900000000002</v>
      </c>
      <c r="AZ52" s="13"/>
      <c r="BA52" s="159" t="s">
        <v>355</v>
      </c>
      <c r="BB52" s="193">
        <v>0</v>
      </c>
      <c r="BC52" s="193">
        <v>0</v>
      </c>
      <c r="BD52" s="193">
        <v>0</v>
      </c>
      <c r="BE52" s="193">
        <v>0</v>
      </c>
      <c r="BF52" s="193">
        <v>0</v>
      </c>
      <c r="BG52" s="193">
        <v>0</v>
      </c>
      <c r="BH52" s="193">
        <v>0</v>
      </c>
      <c r="BI52" s="193">
        <v>0</v>
      </c>
      <c r="BJ52" s="193">
        <v>0</v>
      </c>
      <c r="BK52" s="193">
        <v>0</v>
      </c>
      <c r="BL52" s="193">
        <v>0</v>
      </c>
      <c r="BN52" s="130"/>
    </row>
    <row r="53" spans="1:68" ht="11.25" customHeight="1">
      <c r="A53" s="13" t="s">
        <v>65</v>
      </c>
      <c r="B53" s="159" t="s">
        <v>346</v>
      </c>
      <c r="C53" s="193">
        <v>0</v>
      </c>
      <c r="D53" s="193">
        <v>0</v>
      </c>
      <c r="E53" s="193">
        <v>1751</v>
      </c>
      <c r="F53" s="193">
        <v>0</v>
      </c>
      <c r="G53" s="193">
        <v>0</v>
      </c>
      <c r="H53" s="193">
        <v>450</v>
      </c>
      <c r="I53" s="193">
        <v>0</v>
      </c>
      <c r="J53" s="193">
        <v>0</v>
      </c>
      <c r="K53" s="193">
        <v>8363</v>
      </c>
      <c r="L53" s="193">
        <v>0</v>
      </c>
      <c r="M53" s="193">
        <v>666</v>
      </c>
      <c r="N53" s="13" t="s">
        <v>65</v>
      </c>
      <c r="O53" s="159" t="s">
        <v>346</v>
      </c>
      <c r="P53" s="193">
        <v>4081</v>
      </c>
      <c r="Q53" s="193">
        <v>5243</v>
      </c>
      <c r="R53" s="193">
        <v>62</v>
      </c>
      <c r="S53" s="193">
        <v>0</v>
      </c>
      <c r="T53" s="193">
        <v>43</v>
      </c>
      <c r="U53" s="193">
        <v>7316</v>
      </c>
      <c r="V53" s="193">
        <v>1354</v>
      </c>
      <c r="W53" s="193">
        <v>287</v>
      </c>
      <c r="X53" s="193">
        <v>0</v>
      </c>
      <c r="Y53" s="193">
        <v>0</v>
      </c>
      <c r="Z53" s="193">
        <v>0</v>
      </c>
      <c r="AA53" s="13" t="s">
        <v>65</v>
      </c>
      <c r="AB53" s="159" t="s">
        <v>346</v>
      </c>
      <c r="AC53" s="193">
        <v>0</v>
      </c>
      <c r="AD53" s="193">
        <v>0</v>
      </c>
      <c r="AE53" s="193">
        <v>0</v>
      </c>
      <c r="AF53" s="193">
        <v>7440</v>
      </c>
      <c r="AG53" s="193">
        <v>0</v>
      </c>
      <c r="AH53" s="193">
        <v>0</v>
      </c>
      <c r="AI53" s="193">
        <v>6817</v>
      </c>
      <c r="AJ53" s="193">
        <v>2051</v>
      </c>
      <c r="AK53" s="193">
        <v>471</v>
      </c>
      <c r="AL53" s="193">
        <v>1397</v>
      </c>
      <c r="AM53" s="13" t="s">
        <v>65</v>
      </c>
      <c r="AN53" s="159" t="s">
        <v>346</v>
      </c>
      <c r="AO53" s="193">
        <v>114931</v>
      </c>
      <c r="AP53" s="193">
        <v>0</v>
      </c>
      <c r="AQ53" s="193">
        <v>5458</v>
      </c>
      <c r="AR53" s="193">
        <v>0</v>
      </c>
      <c r="AS53" s="193">
        <v>1904</v>
      </c>
      <c r="AT53" s="193">
        <v>0</v>
      </c>
      <c r="AU53" s="193">
        <v>0</v>
      </c>
      <c r="AV53" s="193">
        <v>0</v>
      </c>
      <c r="AW53" s="193">
        <v>0</v>
      </c>
      <c r="AX53" s="193">
        <v>74</v>
      </c>
      <c r="AY53" s="193">
        <v>0</v>
      </c>
      <c r="AZ53" s="13" t="s">
        <v>65</v>
      </c>
      <c r="BA53" s="159" t="s">
        <v>346</v>
      </c>
      <c r="BB53" s="193">
        <v>0</v>
      </c>
      <c r="BC53" s="193">
        <v>0</v>
      </c>
      <c r="BD53" s="193">
        <v>0</v>
      </c>
      <c r="BE53" s="193">
        <v>0</v>
      </c>
      <c r="BF53" s="193">
        <v>139004</v>
      </c>
      <c r="BG53" s="193">
        <v>64066</v>
      </c>
      <c r="BH53" s="193">
        <v>0</v>
      </c>
      <c r="BI53" s="193">
        <v>0</v>
      </c>
      <c r="BJ53" s="193">
        <v>0</v>
      </c>
      <c r="BK53" s="193">
        <v>4561</v>
      </c>
      <c r="BL53" s="193">
        <v>0</v>
      </c>
      <c r="BN53" s="130"/>
    </row>
    <row r="54" spans="1:68" ht="11.25" customHeight="1">
      <c r="A54" s="13"/>
      <c r="B54" s="159" t="s">
        <v>355</v>
      </c>
      <c r="C54" s="193">
        <v>0</v>
      </c>
      <c r="D54" s="193">
        <v>0</v>
      </c>
      <c r="E54" s="193">
        <v>1894</v>
      </c>
      <c r="F54" s="193">
        <v>0</v>
      </c>
      <c r="G54" s="193">
        <v>0</v>
      </c>
      <c r="H54" s="193">
        <v>445</v>
      </c>
      <c r="I54" s="193">
        <v>0</v>
      </c>
      <c r="J54" s="193">
        <v>0</v>
      </c>
      <c r="K54" s="193">
        <v>11497</v>
      </c>
      <c r="L54" s="193">
        <v>0</v>
      </c>
      <c r="M54" s="193">
        <v>1069</v>
      </c>
      <c r="N54" s="13"/>
      <c r="O54" s="159" t="s">
        <v>355</v>
      </c>
      <c r="P54" s="193">
        <v>5252</v>
      </c>
      <c r="Q54" s="193">
        <v>4899</v>
      </c>
      <c r="R54" s="193">
        <v>100</v>
      </c>
      <c r="S54" s="193">
        <v>0</v>
      </c>
      <c r="T54" s="193">
        <v>9</v>
      </c>
      <c r="U54" s="193">
        <v>7386</v>
      </c>
      <c r="V54" s="193">
        <v>1385</v>
      </c>
      <c r="W54" s="193">
        <v>330</v>
      </c>
      <c r="X54" s="193">
        <v>0</v>
      </c>
      <c r="Y54" s="193">
        <v>0</v>
      </c>
      <c r="Z54" s="193">
        <v>0</v>
      </c>
      <c r="AA54" s="13"/>
      <c r="AB54" s="159" t="s">
        <v>355</v>
      </c>
      <c r="AC54" s="193">
        <v>0</v>
      </c>
      <c r="AD54" s="193">
        <v>0</v>
      </c>
      <c r="AE54" s="193">
        <v>0</v>
      </c>
      <c r="AF54" s="193">
        <v>16811</v>
      </c>
      <c r="AG54" s="193">
        <v>0</v>
      </c>
      <c r="AH54" s="193">
        <v>0</v>
      </c>
      <c r="AI54" s="193">
        <v>6005</v>
      </c>
      <c r="AJ54" s="193">
        <v>2002</v>
      </c>
      <c r="AK54" s="193">
        <v>495</v>
      </c>
      <c r="AL54" s="193">
        <v>1411</v>
      </c>
      <c r="AM54" s="13"/>
      <c r="AN54" s="159" t="s">
        <v>355</v>
      </c>
      <c r="AO54" s="193">
        <v>105473</v>
      </c>
      <c r="AP54" s="193">
        <v>0</v>
      </c>
      <c r="AQ54" s="193">
        <v>7735</v>
      </c>
      <c r="AR54" s="193">
        <v>0</v>
      </c>
      <c r="AS54" s="193">
        <v>2174</v>
      </c>
      <c r="AT54" s="193">
        <v>0</v>
      </c>
      <c r="AU54" s="193">
        <v>0</v>
      </c>
      <c r="AV54" s="193">
        <v>0</v>
      </c>
      <c r="AW54" s="193">
        <v>0</v>
      </c>
      <c r="AX54" s="193">
        <v>111</v>
      </c>
      <c r="AY54" s="193">
        <v>0</v>
      </c>
      <c r="AZ54" s="13"/>
      <c r="BA54" s="159" t="s">
        <v>355</v>
      </c>
      <c r="BB54" s="193">
        <v>0</v>
      </c>
      <c r="BC54" s="193">
        <v>0</v>
      </c>
      <c r="BD54" s="193">
        <v>0</v>
      </c>
      <c r="BE54" s="193">
        <v>0</v>
      </c>
      <c r="BF54" s="193">
        <v>144029</v>
      </c>
      <c r="BG54" s="193">
        <v>48995</v>
      </c>
      <c r="BH54" s="193">
        <v>0</v>
      </c>
      <c r="BI54" s="193">
        <v>0</v>
      </c>
      <c r="BJ54" s="193">
        <v>0</v>
      </c>
      <c r="BK54" s="193">
        <v>4623</v>
      </c>
      <c r="BL54" s="193">
        <v>0</v>
      </c>
      <c r="BN54" s="130"/>
    </row>
    <row r="55" spans="1:68" ht="11.25" customHeight="1">
      <c r="A55" s="13" t="s">
        <v>66</v>
      </c>
      <c r="B55" s="159" t="s">
        <v>346</v>
      </c>
      <c r="C55" s="193">
        <v>0</v>
      </c>
      <c r="D55" s="193">
        <v>612.91200000000003</v>
      </c>
      <c r="E55" s="193">
        <v>0</v>
      </c>
      <c r="F55" s="193">
        <v>48299.998000000007</v>
      </c>
      <c r="G55" s="193">
        <v>0</v>
      </c>
      <c r="H55" s="193">
        <v>0</v>
      </c>
      <c r="I55" s="193">
        <v>0</v>
      </c>
      <c r="J55" s="193">
        <v>0</v>
      </c>
      <c r="K55" s="193">
        <v>9.9689999999999994</v>
      </c>
      <c r="L55" s="193">
        <v>0</v>
      </c>
      <c r="M55" s="193">
        <v>32.359999999999992</v>
      </c>
      <c r="N55" s="13" t="s">
        <v>66</v>
      </c>
      <c r="O55" s="159" t="s">
        <v>346</v>
      </c>
      <c r="P55" s="193">
        <v>3.4</v>
      </c>
      <c r="Q55" s="193">
        <v>34.71</v>
      </c>
      <c r="R55" s="193">
        <v>0</v>
      </c>
      <c r="S55" s="193">
        <v>0</v>
      </c>
      <c r="T55" s="193">
        <v>0</v>
      </c>
      <c r="U55" s="193">
        <v>0</v>
      </c>
      <c r="V55" s="193">
        <v>1335.838</v>
      </c>
      <c r="W55" s="193">
        <v>0</v>
      </c>
      <c r="X55" s="193">
        <v>71220.058000000005</v>
      </c>
      <c r="Y55" s="193">
        <v>406.53199999999998</v>
      </c>
      <c r="Z55" s="193">
        <v>841.53399999999999</v>
      </c>
      <c r="AA55" s="13" t="s">
        <v>66</v>
      </c>
      <c r="AB55" s="159" t="s">
        <v>346</v>
      </c>
      <c r="AC55" s="193">
        <v>0</v>
      </c>
      <c r="AD55" s="193">
        <v>0</v>
      </c>
      <c r="AE55" s="193">
        <v>33169.431000000004</v>
      </c>
      <c r="AF55" s="193">
        <v>315.95</v>
      </c>
      <c r="AG55" s="193">
        <v>10.5</v>
      </c>
      <c r="AH55" s="193">
        <v>22</v>
      </c>
      <c r="AI55" s="193">
        <v>0</v>
      </c>
      <c r="AJ55" s="193">
        <v>0</v>
      </c>
      <c r="AK55" s="193">
        <v>0</v>
      </c>
      <c r="AL55" s="193">
        <v>0</v>
      </c>
      <c r="AM55" s="13" t="s">
        <v>66</v>
      </c>
      <c r="AN55" s="159" t="s">
        <v>346</v>
      </c>
      <c r="AO55" s="193">
        <v>0</v>
      </c>
      <c r="AP55" s="193">
        <v>0</v>
      </c>
      <c r="AQ55" s="193">
        <v>0</v>
      </c>
      <c r="AR55" s="193">
        <v>1085.8900000000001</v>
      </c>
      <c r="AS55" s="193">
        <v>8.2799999999999994</v>
      </c>
      <c r="AT55" s="193">
        <v>0</v>
      </c>
      <c r="AU55" s="193">
        <v>0</v>
      </c>
      <c r="AV55" s="193">
        <v>0</v>
      </c>
      <c r="AW55" s="193">
        <v>387.34400000000005</v>
      </c>
      <c r="AX55" s="193">
        <v>0</v>
      </c>
      <c r="AY55" s="193">
        <v>0</v>
      </c>
      <c r="AZ55" s="13" t="s">
        <v>66</v>
      </c>
      <c r="BA55" s="159" t="s">
        <v>346</v>
      </c>
      <c r="BB55" s="193">
        <v>0</v>
      </c>
      <c r="BC55" s="193">
        <v>0</v>
      </c>
      <c r="BD55" s="193">
        <v>0</v>
      </c>
      <c r="BE55" s="193">
        <v>0</v>
      </c>
      <c r="BF55" s="193">
        <v>0</v>
      </c>
      <c r="BG55" s="193">
        <v>0</v>
      </c>
      <c r="BH55" s="193">
        <v>0</v>
      </c>
      <c r="BI55" s="193">
        <v>0</v>
      </c>
      <c r="BJ55" s="193">
        <v>0</v>
      </c>
      <c r="BK55" s="193">
        <v>0</v>
      </c>
      <c r="BL55" s="193">
        <v>0</v>
      </c>
      <c r="BN55" s="341"/>
      <c r="BO55" s="89"/>
      <c r="BP55" s="89"/>
    </row>
    <row r="56" spans="1:68" ht="11.25" customHeight="1">
      <c r="A56" s="13"/>
      <c r="B56" s="159" t="s">
        <v>355</v>
      </c>
      <c r="C56" s="193">
        <v>0</v>
      </c>
      <c r="D56" s="193">
        <v>1489.85</v>
      </c>
      <c r="E56" s="193">
        <v>0</v>
      </c>
      <c r="F56" s="193">
        <v>65052.448000000004</v>
      </c>
      <c r="G56" s="193">
        <v>0</v>
      </c>
      <c r="H56" s="193">
        <v>0</v>
      </c>
      <c r="I56" s="193">
        <v>0</v>
      </c>
      <c r="J56" s="193">
        <v>0</v>
      </c>
      <c r="K56" s="193">
        <v>0</v>
      </c>
      <c r="L56" s="193">
        <v>0</v>
      </c>
      <c r="M56" s="193">
        <v>33.19</v>
      </c>
      <c r="N56" s="13"/>
      <c r="O56" s="159" t="s">
        <v>355</v>
      </c>
      <c r="P56" s="193">
        <v>12.4</v>
      </c>
      <c r="Q56" s="193">
        <v>107.069</v>
      </c>
      <c r="R56" s="193">
        <v>0</v>
      </c>
      <c r="S56" s="193">
        <v>0</v>
      </c>
      <c r="T56" s="193">
        <v>0</v>
      </c>
      <c r="U56" s="193">
        <v>0</v>
      </c>
      <c r="V56" s="193">
        <v>942.50400000000002</v>
      </c>
      <c r="W56" s="193">
        <v>0</v>
      </c>
      <c r="X56" s="193">
        <v>67154.459000000003</v>
      </c>
      <c r="Y56" s="193">
        <v>348.89800000000002</v>
      </c>
      <c r="Z56" s="193">
        <v>936.70399999999995</v>
      </c>
      <c r="AA56" s="13"/>
      <c r="AB56" s="159" t="s">
        <v>355</v>
      </c>
      <c r="AC56" s="193">
        <v>0</v>
      </c>
      <c r="AD56" s="193">
        <v>0</v>
      </c>
      <c r="AE56" s="193">
        <v>39790.925999999999</v>
      </c>
      <c r="AF56" s="193">
        <v>395.24800000000005</v>
      </c>
      <c r="AG56" s="193">
        <v>17</v>
      </c>
      <c r="AH56" s="193">
        <v>46</v>
      </c>
      <c r="AI56" s="193">
        <v>0</v>
      </c>
      <c r="AJ56" s="193">
        <v>0</v>
      </c>
      <c r="AK56" s="193">
        <v>0</v>
      </c>
      <c r="AL56" s="193">
        <v>0</v>
      </c>
      <c r="AM56" s="13"/>
      <c r="AN56" s="159" t="s">
        <v>355</v>
      </c>
      <c r="AO56" s="193">
        <v>0</v>
      </c>
      <c r="AP56" s="193">
        <v>0</v>
      </c>
      <c r="AQ56" s="193">
        <v>0</v>
      </c>
      <c r="AR56" s="193">
        <v>2080.1999999999998</v>
      </c>
      <c r="AS56" s="193">
        <v>2.15</v>
      </c>
      <c r="AT56" s="193">
        <v>0</v>
      </c>
      <c r="AU56" s="193">
        <v>0</v>
      </c>
      <c r="AV56" s="193">
        <v>0</v>
      </c>
      <c r="AW56" s="193">
        <v>399.40299999999996</v>
      </c>
      <c r="AX56" s="193">
        <v>0</v>
      </c>
      <c r="AY56" s="193">
        <v>0.8</v>
      </c>
      <c r="AZ56" s="13"/>
      <c r="BA56" s="159" t="s">
        <v>355</v>
      </c>
      <c r="BB56" s="193">
        <v>0</v>
      </c>
      <c r="BC56" s="193">
        <v>0</v>
      </c>
      <c r="BD56" s="193">
        <v>0</v>
      </c>
      <c r="BE56" s="193">
        <v>0</v>
      </c>
      <c r="BF56" s="193">
        <v>0</v>
      </c>
      <c r="BG56" s="193">
        <v>0</v>
      </c>
      <c r="BH56" s="193">
        <v>0</v>
      </c>
      <c r="BI56" s="193">
        <v>0</v>
      </c>
      <c r="BJ56" s="193">
        <v>0</v>
      </c>
      <c r="BK56" s="193">
        <v>0</v>
      </c>
      <c r="BL56" s="193">
        <v>0</v>
      </c>
      <c r="BN56" s="341"/>
      <c r="BO56" s="89"/>
      <c r="BP56" s="89"/>
    </row>
    <row r="57" spans="1:68" ht="11.25" customHeight="1">
      <c r="A57" s="13" t="s">
        <v>68</v>
      </c>
      <c r="B57" s="159" t="s">
        <v>346</v>
      </c>
      <c r="C57" s="193">
        <v>0</v>
      </c>
      <c r="D57" s="193">
        <v>11311.017</v>
      </c>
      <c r="E57" s="193">
        <v>0</v>
      </c>
      <c r="F57" s="193">
        <v>35766.990999999995</v>
      </c>
      <c r="G57" s="193">
        <v>0</v>
      </c>
      <c r="H57" s="193">
        <v>0</v>
      </c>
      <c r="I57" s="193">
        <v>0</v>
      </c>
      <c r="J57" s="193">
        <v>0</v>
      </c>
      <c r="K57" s="193">
        <v>0</v>
      </c>
      <c r="L57" s="193">
        <v>0</v>
      </c>
      <c r="M57" s="193">
        <v>0</v>
      </c>
      <c r="N57" s="13" t="s">
        <v>68</v>
      </c>
      <c r="O57" s="159" t="s">
        <v>346</v>
      </c>
      <c r="P57" s="193">
        <v>61.31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0</v>
      </c>
      <c r="W57" s="193">
        <v>2358.6059999999998</v>
      </c>
      <c r="X57" s="193">
        <v>152189.44</v>
      </c>
      <c r="Y57" s="193">
        <v>403.67999999999995</v>
      </c>
      <c r="Z57" s="193">
        <v>27260.217999999997</v>
      </c>
      <c r="AA57" s="13" t="s">
        <v>68</v>
      </c>
      <c r="AB57" s="159" t="s">
        <v>346</v>
      </c>
      <c r="AC57" s="193">
        <v>4130.0790000000006</v>
      </c>
      <c r="AD57" s="193">
        <v>1097.317</v>
      </c>
      <c r="AE57" s="193">
        <v>8157.9639999999999</v>
      </c>
      <c r="AF57" s="193">
        <v>9648.7749999999996</v>
      </c>
      <c r="AG57" s="193">
        <v>4581.0119999999997</v>
      </c>
      <c r="AH57" s="193">
        <v>3032.1980000000003</v>
      </c>
      <c r="AI57" s="193">
        <v>0</v>
      </c>
      <c r="AJ57" s="193">
        <v>0</v>
      </c>
      <c r="AK57" s="193">
        <v>0</v>
      </c>
      <c r="AL57" s="193">
        <v>0</v>
      </c>
      <c r="AM57" s="13" t="s">
        <v>68</v>
      </c>
      <c r="AN57" s="159" t="s">
        <v>346</v>
      </c>
      <c r="AO57" s="193">
        <v>0</v>
      </c>
      <c r="AP57" s="193">
        <v>143616.315</v>
      </c>
      <c r="AQ57" s="193">
        <v>0</v>
      </c>
      <c r="AR57" s="193">
        <v>56385.346000000005</v>
      </c>
      <c r="AS57" s="193">
        <v>183.72000000000003</v>
      </c>
      <c r="AT57" s="193">
        <v>0</v>
      </c>
      <c r="AU57" s="193">
        <v>0</v>
      </c>
      <c r="AV57" s="193">
        <v>5222.6539999999995</v>
      </c>
      <c r="AW57" s="193">
        <v>12542.429999999998</v>
      </c>
      <c r="AX57" s="193">
        <v>0</v>
      </c>
      <c r="AY57" s="193">
        <v>54.139000000000003</v>
      </c>
      <c r="AZ57" s="13" t="s">
        <v>68</v>
      </c>
      <c r="BA57" s="159" t="s">
        <v>346</v>
      </c>
      <c r="BB57" s="193">
        <v>0</v>
      </c>
      <c r="BC57" s="193">
        <v>0</v>
      </c>
      <c r="BD57" s="193">
        <v>0</v>
      </c>
      <c r="BE57" s="193">
        <v>0</v>
      </c>
      <c r="BF57" s="193">
        <v>0</v>
      </c>
      <c r="BG57" s="193">
        <v>0</v>
      </c>
      <c r="BH57" s="193">
        <v>0</v>
      </c>
      <c r="BI57" s="193">
        <v>0</v>
      </c>
      <c r="BJ57" s="193">
        <v>0</v>
      </c>
      <c r="BK57" s="193">
        <v>0</v>
      </c>
      <c r="BL57" s="193">
        <v>0</v>
      </c>
      <c r="BN57" s="341"/>
      <c r="BO57" s="89"/>
      <c r="BP57" s="89"/>
    </row>
    <row r="58" spans="1:68" ht="11.25" customHeight="1">
      <c r="A58" s="14"/>
      <c r="B58" s="158" t="s">
        <v>355</v>
      </c>
      <c r="C58" s="194">
        <v>0</v>
      </c>
      <c r="D58" s="194">
        <v>9604.7669999999998</v>
      </c>
      <c r="E58" s="194">
        <v>0</v>
      </c>
      <c r="F58" s="194">
        <v>36076.428</v>
      </c>
      <c r="G58" s="194">
        <v>0</v>
      </c>
      <c r="H58" s="194">
        <v>0</v>
      </c>
      <c r="I58" s="194">
        <v>0</v>
      </c>
      <c r="J58" s="194">
        <v>0</v>
      </c>
      <c r="K58" s="194">
        <v>0</v>
      </c>
      <c r="L58" s="194">
        <v>0</v>
      </c>
      <c r="M58" s="194">
        <v>0</v>
      </c>
      <c r="N58" s="14"/>
      <c r="O58" s="158" t="s">
        <v>355</v>
      </c>
      <c r="P58" s="194">
        <v>108.67</v>
      </c>
      <c r="Q58" s="194">
        <v>0</v>
      </c>
      <c r="R58" s="194">
        <v>0</v>
      </c>
      <c r="S58" s="194">
        <v>0</v>
      </c>
      <c r="T58" s="194">
        <v>0</v>
      </c>
      <c r="U58" s="194">
        <v>0</v>
      </c>
      <c r="V58" s="194">
        <v>0</v>
      </c>
      <c r="W58" s="194">
        <v>2467.6280000000002</v>
      </c>
      <c r="X58" s="194">
        <v>169497.511</v>
      </c>
      <c r="Y58" s="194">
        <v>580.54000000000008</v>
      </c>
      <c r="Z58" s="194">
        <v>32076.887999999999</v>
      </c>
      <c r="AA58" s="14"/>
      <c r="AB58" s="158" t="s">
        <v>355</v>
      </c>
      <c r="AC58" s="194">
        <v>6046.9320000000007</v>
      </c>
      <c r="AD58" s="194">
        <v>1376.3780000000002</v>
      </c>
      <c r="AE58" s="194">
        <v>10060.006000000001</v>
      </c>
      <c r="AF58" s="194">
        <v>10698.916000000001</v>
      </c>
      <c r="AG58" s="194">
        <v>5807.0179999999991</v>
      </c>
      <c r="AH58" s="194">
        <v>3538.1800000000003</v>
      </c>
      <c r="AI58" s="194">
        <v>0</v>
      </c>
      <c r="AJ58" s="194">
        <v>0</v>
      </c>
      <c r="AK58" s="194">
        <v>0</v>
      </c>
      <c r="AL58" s="194">
        <v>0</v>
      </c>
      <c r="AM58" s="14"/>
      <c r="AN58" s="158" t="s">
        <v>355</v>
      </c>
      <c r="AO58" s="194">
        <v>0</v>
      </c>
      <c r="AP58" s="194">
        <v>247387.43900000001</v>
      </c>
      <c r="AQ58" s="194">
        <v>0</v>
      </c>
      <c r="AR58" s="194">
        <v>55183.015000000007</v>
      </c>
      <c r="AS58" s="194">
        <v>189.5</v>
      </c>
      <c r="AT58" s="194">
        <v>0</v>
      </c>
      <c r="AU58" s="194">
        <v>0</v>
      </c>
      <c r="AV58" s="194">
        <v>8817.9620000000014</v>
      </c>
      <c r="AW58" s="194">
        <v>10807.419000000002</v>
      </c>
      <c r="AX58" s="194">
        <v>0</v>
      </c>
      <c r="AY58" s="194">
        <v>206.49900000000002</v>
      </c>
      <c r="AZ58" s="14"/>
      <c r="BA58" s="158" t="s">
        <v>355</v>
      </c>
      <c r="BB58" s="194">
        <v>0</v>
      </c>
      <c r="BC58" s="194">
        <v>0</v>
      </c>
      <c r="BD58" s="194">
        <v>0</v>
      </c>
      <c r="BE58" s="194">
        <v>0</v>
      </c>
      <c r="BF58" s="194">
        <v>0</v>
      </c>
      <c r="BG58" s="194">
        <v>0</v>
      </c>
      <c r="BH58" s="194">
        <v>0</v>
      </c>
      <c r="BI58" s="194">
        <v>0</v>
      </c>
      <c r="BJ58" s="194">
        <v>0</v>
      </c>
      <c r="BK58" s="194">
        <v>0</v>
      </c>
      <c r="BL58" s="194">
        <v>0</v>
      </c>
      <c r="BN58" s="341"/>
      <c r="BO58" s="89"/>
      <c r="BP58" s="89"/>
    </row>
    <row r="59" spans="1:68" ht="9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35" t="s">
        <v>4</v>
      </c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52" t="s">
        <v>152</v>
      </c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52" t="s">
        <v>152</v>
      </c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52" t="s">
        <v>152</v>
      </c>
      <c r="AZ59" s="137" t="s">
        <v>91</v>
      </c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46"/>
      <c r="BN59" s="140"/>
      <c r="BO59" s="89"/>
      <c r="BP59" s="89"/>
    </row>
    <row r="60" spans="1:68" ht="9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37" t="s">
        <v>98</v>
      </c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46"/>
      <c r="BN60" s="89"/>
      <c r="BO60" s="89"/>
      <c r="BP60" s="89"/>
    </row>
    <row r="61" spans="1:68" ht="9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206" t="s">
        <v>360</v>
      </c>
      <c r="BA61" s="206"/>
      <c r="BB61" s="146"/>
      <c r="BC61" s="146"/>
      <c r="BD61" s="146"/>
      <c r="BE61" s="146"/>
      <c r="BF61" s="146"/>
      <c r="BG61" s="146"/>
      <c r="BH61" s="146"/>
      <c r="BI61" s="206"/>
      <c r="BJ61" s="206"/>
      <c r="BK61" s="206"/>
      <c r="BL61" s="206"/>
      <c r="BM61" s="206"/>
      <c r="BN61" s="89"/>
      <c r="BO61" s="89"/>
      <c r="BP61" s="89"/>
    </row>
    <row r="62" spans="1:68" ht="12.75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89"/>
      <c r="BO62" s="89"/>
      <c r="BP62" s="89"/>
    </row>
    <row r="63" spans="1:68" ht="12.75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46"/>
      <c r="BA63" s="146"/>
      <c r="BB63" s="146"/>
      <c r="BC63" s="146"/>
      <c r="BD63" s="146"/>
      <c r="BE63" s="146"/>
      <c r="BF63" s="146"/>
      <c r="BG63" s="146"/>
      <c r="BH63" s="146"/>
      <c r="BI63" s="146"/>
      <c r="BJ63" s="146"/>
      <c r="BK63" s="146"/>
      <c r="BL63" s="146"/>
      <c r="BM63" s="146"/>
      <c r="BN63" s="89"/>
      <c r="BO63" s="89"/>
      <c r="BP63" s="89"/>
    </row>
    <row r="64" spans="1:68" ht="12.75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89"/>
      <c r="BO64" s="89"/>
      <c r="BP64" s="89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Q121"/>
  <sheetViews>
    <sheetView showGridLines="0" zoomScaleNormal="100" workbookViewId="0">
      <selection activeCell="O9" sqref="D9:O13"/>
    </sheetView>
  </sheetViews>
  <sheetFormatPr baseColWidth="10" defaultColWidth="10.7109375" defaultRowHeight="17.25" customHeight="1"/>
  <cols>
    <col min="1" max="1" width="11.42578125" style="162" customWidth="1"/>
    <col min="2" max="2" width="5.85546875" style="162" customWidth="1"/>
    <col min="3" max="15" width="6.85546875" style="162" customWidth="1"/>
    <col min="16" max="16" width="7.42578125" style="162" customWidth="1"/>
    <col min="17" max="16384" width="10.7109375" style="162"/>
  </cols>
  <sheetData>
    <row r="1" spans="1:16" ht="16.350000000000001" customHeight="1">
      <c r="A1" s="84" t="s">
        <v>450</v>
      </c>
      <c r="B1" s="176"/>
      <c r="C1" s="177"/>
      <c r="D1" s="44"/>
    </row>
    <row r="2" spans="1:16" ht="12" customHeight="1">
      <c r="A2" s="242" t="s">
        <v>157</v>
      </c>
      <c r="B2" s="24"/>
      <c r="C2" s="85"/>
    </row>
    <row r="3" spans="1:16" ht="3.95" customHeight="1">
      <c r="A3" s="86"/>
      <c r="C3" s="85"/>
    </row>
    <row r="4" spans="1:16" ht="15.95" customHeight="1">
      <c r="A4" s="337" t="s">
        <v>57</v>
      </c>
      <c r="B4" s="338" t="s">
        <v>89</v>
      </c>
      <c r="C4" s="332" t="s">
        <v>470</v>
      </c>
      <c r="D4" s="317" t="s">
        <v>175</v>
      </c>
      <c r="E4" s="317" t="s">
        <v>176</v>
      </c>
      <c r="F4" s="317" t="s">
        <v>177</v>
      </c>
      <c r="G4" s="317" t="s">
        <v>178</v>
      </c>
      <c r="H4" s="317" t="s">
        <v>179</v>
      </c>
      <c r="I4" s="317" t="s">
        <v>180</v>
      </c>
      <c r="J4" s="317" t="s">
        <v>181</v>
      </c>
      <c r="K4" s="317" t="s">
        <v>296</v>
      </c>
      <c r="L4" s="317" t="s">
        <v>297</v>
      </c>
      <c r="M4" s="317" t="s">
        <v>298</v>
      </c>
      <c r="N4" s="317" t="s">
        <v>173</v>
      </c>
      <c r="O4" s="317" t="s">
        <v>174</v>
      </c>
      <c r="P4" s="337" t="s">
        <v>251</v>
      </c>
    </row>
    <row r="5" spans="1:16" ht="12" customHeight="1">
      <c r="A5" s="86" t="s">
        <v>256</v>
      </c>
      <c r="B5" s="87">
        <v>2020</v>
      </c>
      <c r="C5" s="342">
        <v>51120.828000000001</v>
      </c>
      <c r="D5" s="202">
        <v>19</v>
      </c>
      <c r="E5" s="202">
        <v>72.5</v>
      </c>
      <c r="F5" s="202">
        <v>157.28</v>
      </c>
      <c r="G5" s="202">
        <v>1276.2</v>
      </c>
      <c r="H5" s="202">
        <v>6715.7300000000005</v>
      </c>
      <c r="I5" s="202">
        <v>42880.118000000002</v>
      </c>
      <c r="J5" s="202">
        <v>67397.752999999997</v>
      </c>
      <c r="K5" s="202">
        <v>45210.012999999999</v>
      </c>
      <c r="L5" s="202">
        <v>10748.730999999998</v>
      </c>
      <c r="M5" s="202">
        <v>4376.1670000000004</v>
      </c>
      <c r="N5" s="202">
        <v>8277.0709999999999</v>
      </c>
      <c r="O5" s="202">
        <v>720.61999999999989</v>
      </c>
      <c r="P5" s="195">
        <v>187851.18299999999</v>
      </c>
    </row>
    <row r="6" spans="1:16" ht="12" customHeight="1">
      <c r="B6" s="87">
        <v>2021</v>
      </c>
      <c r="C6" s="343">
        <v>40163.985000000001</v>
      </c>
      <c r="D6" s="202">
        <v>3</v>
      </c>
      <c r="E6" s="202">
        <v>35</v>
      </c>
      <c r="F6" s="202">
        <v>124.19000000000001</v>
      </c>
      <c r="G6" s="202">
        <v>767.56</v>
      </c>
      <c r="H6" s="202">
        <v>5071.9799999999996</v>
      </c>
      <c r="I6" s="202">
        <v>34162.255000000005</v>
      </c>
      <c r="J6" s="202"/>
      <c r="K6" s="202"/>
      <c r="L6" s="202"/>
      <c r="M6" s="202"/>
      <c r="N6" s="202"/>
      <c r="O6" s="202"/>
      <c r="P6" s="195"/>
    </row>
    <row r="7" spans="1:16" ht="12" customHeight="1">
      <c r="A7" s="86" t="s">
        <v>229</v>
      </c>
      <c r="B7" s="87">
        <v>2020</v>
      </c>
      <c r="C7" s="343">
        <v>578654.31800000009</v>
      </c>
      <c r="D7" s="202">
        <v>107868.73400000001</v>
      </c>
      <c r="E7" s="202">
        <v>121156.648</v>
      </c>
      <c r="F7" s="202">
        <v>71781.168999999994</v>
      </c>
      <c r="G7" s="202">
        <v>65830.487999999983</v>
      </c>
      <c r="H7" s="202">
        <v>91815.258000000002</v>
      </c>
      <c r="I7" s="202">
        <v>120202.02100000004</v>
      </c>
      <c r="J7" s="202">
        <v>116454.337</v>
      </c>
      <c r="K7" s="202">
        <v>94559.776999999987</v>
      </c>
      <c r="L7" s="202">
        <v>64409.265999999996</v>
      </c>
      <c r="M7" s="202">
        <v>70543.76999999999</v>
      </c>
      <c r="N7" s="202">
        <v>109639.308</v>
      </c>
      <c r="O7" s="202">
        <v>93247.228000000003</v>
      </c>
      <c r="P7" s="195">
        <v>1127508.004</v>
      </c>
    </row>
    <row r="8" spans="1:16" ht="12" customHeight="1">
      <c r="B8" s="87">
        <v>2021</v>
      </c>
      <c r="C8" s="343">
        <v>611801.37699999998</v>
      </c>
      <c r="D8" s="202">
        <v>94755.57799999998</v>
      </c>
      <c r="E8" s="202">
        <v>118919.69900000001</v>
      </c>
      <c r="F8" s="202">
        <v>72607.092999999979</v>
      </c>
      <c r="G8" s="202">
        <v>61752.597999999991</v>
      </c>
      <c r="H8" s="202">
        <v>86955.657999999996</v>
      </c>
      <c r="I8" s="202">
        <v>176810.75099999999</v>
      </c>
      <c r="J8" s="202"/>
      <c r="K8" s="202"/>
      <c r="L8" s="202"/>
      <c r="M8" s="202"/>
      <c r="N8" s="202"/>
      <c r="O8" s="202"/>
      <c r="P8" s="195"/>
    </row>
    <row r="9" spans="1:16" ht="12" customHeight="1">
      <c r="A9" s="86" t="s">
        <v>197</v>
      </c>
      <c r="B9" s="87">
        <v>2020</v>
      </c>
      <c r="C9" s="343">
        <v>229851.72599999997</v>
      </c>
      <c r="D9" s="202">
        <v>117.85000000000001</v>
      </c>
      <c r="E9" s="202">
        <v>740.18200000000002</v>
      </c>
      <c r="F9" s="202">
        <v>1890.7969999999998</v>
      </c>
      <c r="G9" s="202">
        <v>26862.524999999998</v>
      </c>
      <c r="H9" s="202">
        <v>101278.77799999999</v>
      </c>
      <c r="I9" s="202">
        <v>98961.593999999997</v>
      </c>
      <c r="J9" s="202">
        <v>65165.078999999998</v>
      </c>
      <c r="K9" s="202">
        <v>19529.094999999994</v>
      </c>
      <c r="L9" s="202">
        <v>4856.4780000000001</v>
      </c>
      <c r="M9" s="202">
        <v>454.44599999999997</v>
      </c>
      <c r="N9" s="202">
        <v>150.774</v>
      </c>
      <c r="O9" s="202">
        <v>326.55200000000008</v>
      </c>
      <c r="P9" s="195">
        <v>320334.14999999991</v>
      </c>
    </row>
    <row r="10" spans="1:16" ht="12" customHeight="1">
      <c r="B10" s="87">
        <v>2021</v>
      </c>
      <c r="C10" s="343">
        <v>222157.00599999999</v>
      </c>
      <c r="D10" s="202">
        <v>179.31999999999996</v>
      </c>
      <c r="E10" s="202">
        <v>465.5</v>
      </c>
      <c r="F10" s="202">
        <v>913.04899999999986</v>
      </c>
      <c r="G10" s="202">
        <v>26622.837</v>
      </c>
      <c r="H10" s="202">
        <v>83454.758999999991</v>
      </c>
      <c r="I10" s="202">
        <v>110521.54100000001</v>
      </c>
      <c r="J10" s="202"/>
      <c r="K10" s="202"/>
      <c r="L10" s="202"/>
      <c r="M10" s="202"/>
      <c r="N10" s="202"/>
      <c r="O10" s="202"/>
      <c r="P10" s="195"/>
    </row>
    <row r="11" spans="1:16" ht="12" customHeight="1">
      <c r="A11" s="86" t="s">
        <v>280</v>
      </c>
      <c r="B11" s="87">
        <v>2020</v>
      </c>
      <c r="C11" s="343">
        <v>2327742.1880000001</v>
      </c>
      <c r="D11" s="202">
        <v>215015.538</v>
      </c>
      <c r="E11" s="202">
        <v>193728.43</v>
      </c>
      <c r="F11" s="202">
        <v>307380.68900000001</v>
      </c>
      <c r="G11" s="202">
        <v>360610.60700000002</v>
      </c>
      <c r="H11" s="202">
        <v>627635.40799999994</v>
      </c>
      <c r="I11" s="202">
        <v>623371.51600000006</v>
      </c>
      <c r="J11" s="202">
        <v>251522.579</v>
      </c>
      <c r="K11" s="202">
        <v>144808.19</v>
      </c>
      <c r="L11" s="202">
        <v>143375.818</v>
      </c>
      <c r="M11" s="202">
        <v>153211.03699999998</v>
      </c>
      <c r="N11" s="202">
        <v>155846.179</v>
      </c>
      <c r="O11" s="202">
        <v>260130.98499999999</v>
      </c>
      <c r="P11" s="195">
        <v>3436636.9759999998</v>
      </c>
    </row>
    <row r="12" spans="1:16" ht="12" customHeight="1">
      <c r="B12" s="87">
        <v>2021</v>
      </c>
      <c r="C12" s="343">
        <v>2161777.4019999998</v>
      </c>
      <c r="D12" s="202">
        <v>218897.78599999996</v>
      </c>
      <c r="E12" s="202">
        <v>183718.37899999999</v>
      </c>
      <c r="F12" s="202">
        <v>264226.28899999999</v>
      </c>
      <c r="G12" s="202">
        <v>248345.30599999998</v>
      </c>
      <c r="H12" s="202">
        <v>427598.80399999995</v>
      </c>
      <c r="I12" s="202">
        <v>818990.83799999987</v>
      </c>
      <c r="J12" s="202"/>
      <c r="K12" s="202"/>
      <c r="L12" s="202"/>
      <c r="M12" s="202"/>
      <c r="N12" s="202"/>
      <c r="O12" s="202"/>
      <c r="P12" s="195"/>
    </row>
    <row r="13" spans="1:16" ht="12" customHeight="1">
      <c r="A13" s="86" t="s">
        <v>147</v>
      </c>
      <c r="B13" s="87">
        <v>2020</v>
      </c>
      <c r="C13" s="343">
        <v>98645.071999999986</v>
      </c>
      <c r="D13" s="202">
        <v>20.23</v>
      </c>
      <c r="E13" s="202">
        <v>50.6</v>
      </c>
      <c r="F13" s="202">
        <v>167.28</v>
      </c>
      <c r="G13" s="202">
        <v>13369.03</v>
      </c>
      <c r="H13" s="202">
        <v>31124.015999999996</v>
      </c>
      <c r="I13" s="202">
        <v>53913.915999999997</v>
      </c>
      <c r="J13" s="202">
        <v>65092.269000000008</v>
      </c>
      <c r="K13" s="202">
        <v>32560.279000000006</v>
      </c>
      <c r="L13" s="202">
        <v>6022.5289999999995</v>
      </c>
      <c r="M13" s="202">
        <v>305.46600000000001</v>
      </c>
      <c r="N13" s="202">
        <v>83.03</v>
      </c>
      <c r="O13" s="202">
        <v>32.1</v>
      </c>
      <c r="P13" s="195">
        <v>202740.745</v>
      </c>
    </row>
    <row r="14" spans="1:16" ht="12" customHeight="1">
      <c r="B14" s="87">
        <v>2021</v>
      </c>
      <c r="C14" s="343">
        <v>88043.455000000016</v>
      </c>
      <c r="D14" s="202">
        <v>59.033999999999999</v>
      </c>
      <c r="E14" s="202">
        <v>64.22</v>
      </c>
      <c r="F14" s="202">
        <v>1103.56</v>
      </c>
      <c r="G14" s="202">
        <v>12912.141000000001</v>
      </c>
      <c r="H14" s="202">
        <v>27305.665000000001</v>
      </c>
      <c r="I14" s="202">
        <v>46598.835000000006</v>
      </c>
      <c r="J14" s="202"/>
      <c r="K14" s="202"/>
      <c r="L14" s="202"/>
      <c r="M14" s="202"/>
      <c r="N14" s="202"/>
      <c r="O14" s="202"/>
      <c r="P14" s="195"/>
    </row>
    <row r="15" spans="1:16" ht="12" customHeight="1">
      <c r="A15" s="86" t="s">
        <v>62</v>
      </c>
      <c r="B15" s="87">
        <v>2020</v>
      </c>
      <c r="C15" s="343">
        <v>88137.337</v>
      </c>
      <c r="D15" s="202">
        <v>863.47</v>
      </c>
      <c r="E15" s="202">
        <v>2556.5</v>
      </c>
      <c r="F15" s="202">
        <v>7448.9000000000005</v>
      </c>
      <c r="G15" s="202">
        <v>35885.589999999997</v>
      </c>
      <c r="H15" s="202">
        <v>27780.046999999999</v>
      </c>
      <c r="I15" s="202">
        <v>13602.83</v>
      </c>
      <c r="J15" s="202">
        <v>4525.1690000000008</v>
      </c>
      <c r="K15" s="202">
        <v>1734.2089999999998</v>
      </c>
      <c r="L15" s="202">
        <v>1891.7499999999998</v>
      </c>
      <c r="M15" s="202">
        <v>1282.75</v>
      </c>
      <c r="N15" s="202">
        <v>1250.5299999999997</v>
      </c>
      <c r="O15" s="202">
        <v>1293.3900000000003</v>
      </c>
      <c r="P15" s="195">
        <v>100115.13499999999</v>
      </c>
    </row>
    <row r="16" spans="1:16" ht="12" customHeight="1">
      <c r="B16" s="87">
        <v>2021</v>
      </c>
      <c r="C16" s="343">
        <v>91432.838000000003</v>
      </c>
      <c r="D16" s="202">
        <v>1821.885</v>
      </c>
      <c r="E16" s="202">
        <v>1563.0989999999999</v>
      </c>
      <c r="F16" s="202">
        <v>3096.38</v>
      </c>
      <c r="G16" s="202">
        <v>31621.898000000001</v>
      </c>
      <c r="H16" s="202">
        <v>29497.495999999999</v>
      </c>
      <c r="I16" s="202">
        <v>23832.080000000002</v>
      </c>
      <c r="J16" s="202"/>
      <c r="K16" s="202"/>
      <c r="L16" s="202"/>
      <c r="M16" s="202"/>
      <c r="N16" s="202"/>
      <c r="O16" s="202"/>
      <c r="P16" s="195"/>
    </row>
    <row r="17" spans="1:16" ht="12" customHeight="1">
      <c r="A17" s="86" t="s">
        <v>282</v>
      </c>
      <c r="B17" s="87">
        <v>2020</v>
      </c>
      <c r="C17" s="343">
        <v>187188.43899999998</v>
      </c>
      <c r="D17" s="202">
        <v>27332.5</v>
      </c>
      <c r="E17" s="202">
        <v>36320.57</v>
      </c>
      <c r="F17" s="202">
        <v>32928.800000000003</v>
      </c>
      <c r="G17" s="202">
        <v>32169.67</v>
      </c>
      <c r="H17" s="202">
        <v>28231.718999999997</v>
      </c>
      <c r="I17" s="202">
        <v>30205.18</v>
      </c>
      <c r="J17" s="202">
        <v>26057.22</v>
      </c>
      <c r="K17" s="202">
        <v>26222.300000000003</v>
      </c>
      <c r="L17" s="202">
        <v>32081.05</v>
      </c>
      <c r="M17" s="202">
        <v>33631</v>
      </c>
      <c r="N17" s="202">
        <v>34424.699999999997</v>
      </c>
      <c r="O17" s="202">
        <v>30927.4</v>
      </c>
      <c r="P17" s="195">
        <v>370532.109</v>
      </c>
    </row>
    <row r="18" spans="1:16" ht="12" customHeight="1">
      <c r="B18" s="87">
        <v>2021</v>
      </c>
      <c r="C18" s="343">
        <v>161949.97</v>
      </c>
      <c r="D18" s="202">
        <v>25706.199999999997</v>
      </c>
      <c r="E18" s="202">
        <v>33039.1</v>
      </c>
      <c r="F18" s="202">
        <v>30810.299999999996</v>
      </c>
      <c r="G18" s="202">
        <v>28262.62</v>
      </c>
      <c r="H18" s="202">
        <v>21462.300000000003</v>
      </c>
      <c r="I18" s="202">
        <v>22669.450000000004</v>
      </c>
      <c r="J18" s="202"/>
      <c r="K18" s="202"/>
      <c r="L18" s="202"/>
      <c r="M18" s="202"/>
      <c r="N18" s="202"/>
      <c r="O18" s="202"/>
      <c r="P18" s="195"/>
    </row>
    <row r="19" spans="1:16" ht="12" customHeight="1">
      <c r="A19" s="86" t="s">
        <v>291</v>
      </c>
      <c r="B19" s="87">
        <v>2020</v>
      </c>
      <c r="C19" s="343">
        <v>20138.400000000001</v>
      </c>
      <c r="D19" s="202">
        <v>4169.7</v>
      </c>
      <c r="E19" s="202">
        <v>3528.4</v>
      </c>
      <c r="F19" s="202">
        <v>6827.3</v>
      </c>
      <c r="G19" s="202">
        <v>2120.4</v>
      </c>
      <c r="H19" s="202">
        <v>1818.8</v>
      </c>
      <c r="I19" s="202">
        <v>1673.8</v>
      </c>
      <c r="J19" s="202">
        <v>2303.4</v>
      </c>
      <c r="K19" s="202">
        <v>4285.66</v>
      </c>
      <c r="L19" s="202">
        <v>9388.48</v>
      </c>
      <c r="M19" s="202">
        <v>19244.66</v>
      </c>
      <c r="N19" s="202">
        <v>15807.218999999999</v>
      </c>
      <c r="O19" s="202">
        <v>10928</v>
      </c>
      <c r="P19" s="195">
        <v>82095.819000000003</v>
      </c>
    </row>
    <row r="20" spans="1:16" ht="12" customHeight="1">
      <c r="B20" s="87">
        <v>2021</v>
      </c>
      <c r="C20" s="343">
        <v>26373.062000000002</v>
      </c>
      <c r="D20" s="202">
        <v>5730.1620000000003</v>
      </c>
      <c r="E20" s="202">
        <v>5175.1000000000004</v>
      </c>
      <c r="F20" s="202">
        <v>5808.9</v>
      </c>
      <c r="G20" s="202">
        <v>3824.4</v>
      </c>
      <c r="H20" s="202">
        <v>2999.7999999999997</v>
      </c>
      <c r="I20" s="202">
        <v>2834.7</v>
      </c>
      <c r="J20" s="202"/>
      <c r="K20" s="202"/>
      <c r="L20" s="202"/>
      <c r="M20" s="202"/>
      <c r="N20" s="202"/>
      <c r="O20" s="202"/>
      <c r="P20" s="195"/>
    </row>
    <row r="21" spans="1:16" ht="12" customHeight="1">
      <c r="A21" s="86" t="s">
        <v>215</v>
      </c>
      <c r="B21" s="87">
        <v>2020</v>
      </c>
      <c r="C21" s="343">
        <v>24998.138000000003</v>
      </c>
      <c r="D21" s="202">
        <v>4865.6260000000002</v>
      </c>
      <c r="E21" s="202">
        <v>4061.7820000000002</v>
      </c>
      <c r="F21" s="202">
        <v>4523.6099999999997</v>
      </c>
      <c r="G21" s="202">
        <v>4288.4799999999996</v>
      </c>
      <c r="H21" s="202">
        <v>3238.76</v>
      </c>
      <c r="I21" s="202">
        <v>4019.88</v>
      </c>
      <c r="J21" s="202">
        <v>4589.9150000000009</v>
      </c>
      <c r="K21" s="202">
        <v>3239.75</v>
      </c>
      <c r="L21" s="202">
        <v>3331.33</v>
      </c>
      <c r="M21" s="202">
        <v>2365.6799999999998</v>
      </c>
      <c r="N21" s="202">
        <v>1856.5499999999997</v>
      </c>
      <c r="O21" s="202">
        <v>2975.6500000000005</v>
      </c>
      <c r="P21" s="195">
        <v>43357.013000000006</v>
      </c>
    </row>
    <row r="22" spans="1:16" ht="12" customHeight="1">
      <c r="B22" s="87">
        <v>2021</v>
      </c>
      <c r="C22" s="343">
        <v>29661.701000000001</v>
      </c>
      <c r="D22" s="202">
        <v>6483.35</v>
      </c>
      <c r="E22" s="202">
        <v>5760.79</v>
      </c>
      <c r="F22" s="202">
        <v>5009.13</v>
      </c>
      <c r="G22" s="202">
        <v>5179.5200000000004</v>
      </c>
      <c r="H22" s="202">
        <v>3527.5450000000001</v>
      </c>
      <c r="I22" s="202">
        <v>3701.366</v>
      </c>
      <c r="J22" s="202"/>
      <c r="K22" s="202"/>
      <c r="L22" s="202"/>
      <c r="M22" s="202"/>
      <c r="N22" s="202"/>
      <c r="O22" s="202"/>
      <c r="P22" s="195"/>
    </row>
    <row r="23" spans="1:16" ht="12" customHeight="1">
      <c r="A23" s="86" t="s">
        <v>268</v>
      </c>
      <c r="B23" s="87">
        <v>2020</v>
      </c>
      <c r="C23" s="343">
        <v>6988</v>
      </c>
      <c r="D23" s="202">
        <v>2543</v>
      </c>
      <c r="E23" s="202">
        <v>2281</v>
      </c>
      <c r="F23" s="202">
        <v>840</v>
      </c>
      <c r="G23" s="202">
        <v>173</v>
      </c>
      <c r="H23" s="202">
        <v>205</v>
      </c>
      <c r="I23" s="202">
        <v>946</v>
      </c>
      <c r="J23" s="202">
        <v>1592</v>
      </c>
      <c r="K23" s="202">
        <v>2840</v>
      </c>
      <c r="L23" s="202">
        <v>5118</v>
      </c>
      <c r="M23" s="202">
        <v>6150</v>
      </c>
      <c r="N23" s="202">
        <v>9812</v>
      </c>
      <c r="O23" s="202">
        <v>6475</v>
      </c>
      <c r="P23" s="195">
        <v>38975</v>
      </c>
    </row>
    <row r="24" spans="1:16" ht="12" customHeight="1">
      <c r="B24" s="87">
        <v>2021</v>
      </c>
      <c r="C24" s="343">
        <v>9585.68</v>
      </c>
      <c r="D24" s="202">
        <v>4128</v>
      </c>
      <c r="E24" s="202">
        <v>2697.68</v>
      </c>
      <c r="F24" s="202">
        <v>1000</v>
      </c>
      <c r="G24" s="202">
        <v>180</v>
      </c>
      <c r="H24" s="202">
        <v>350</v>
      </c>
      <c r="I24" s="202">
        <v>1230</v>
      </c>
      <c r="J24" s="202"/>
      <c r="K24" s="202"/>
      <c r="L24" s="202"/>
      <c r="M24" s="202"/>
      <c r="N24" s="202"/>
      <c r="O24" s="202"/>
      <c r="P24" s="195"/>
    </row>
    <row r="25" spans="1:16" ht="12" customHeight="1">
      <c r="A25" s="86" t="s">
        <v>216</v>
      </c>
      <c r="B25" s="87">
        <v>2020</v>
      </c>
      <c r="C25" s="343">
        <v>22804.99</v>
      </c>
      <c r="D25" s="202">
        <v>1745.2400000000002</v>
      </c>
      <c r="E25" s="202">
        <v>5591.2500000000009</v>
      </c>
      <c r="F25" s="202">
        <v>2262.4</v>
      </c>
      <c r="G25" s="202">
        <v>6919</v>
      </c>
      <c r="H25" s="202">
        <v>5036.8000000000011</v>
      </c>
      <c r="I25" s="202">
        <v>1250.3</v>
      </c>
      <c r="J25" s="202">
        <v>1828.5</v>
      </c>
      <c r="K25" s="202">
        <v>1583.2000000000003</v>
      </c>
      <c r="L25" s="202">
        <v>7985</v>
      </c>
      <c r="M25" s="202">
        <v>11588.699999999999</v>
      </c>
      <c r="N25" s="202">
        <v>7160</v>
      </c>
      <c r="O25" s="202">
        <v>876.07</v>
      </c>
      <c r="P25" s="195">
        <v>53826.46</v>
      </c>
    </row>
    <row r="26" spans="1:16" ht="12" customHeight="1">
      <c r="B26" s="87">
        <v>2021</v>
      </c>
      <c r="C26" s="343">
        <v>21451.599000000002</v>
      </c>
      <c r="D26" s="202">
        <v>1991.84</v>
      </c>
      <c r="E26" s="202">
        <v>5675.6</v>
      </c>
      <c r="F26" s="202">
        <v>2595.1000000000004</v>
      </c>
      <c r="G26" s="202">
        <v>5491.7089999999998</v>
      </c>
      <c r="H26" s="202">
        <v>4256.8500000000004</v>
      </c>
      <c r="I26" s="202">
        <v>1440.5</v>
      </c>
      <c r="J26" s="202"/>
      <c r="K26" s="202"/>
      <c r="L26" s="202"/>
      <c r="M26" s="202"/>
      <c r="N26" s="202"/>
      <c r="O26" s="202"/>
      <c r="P26" s="195"/>
    </row>
    <row r="27" spans="1:16" ht="12" customHeight="1">
      <c r="A27" s="86" t="s">
        <v>145</v>
      </c>
      <c r="B27" s="87">
        <v>2020</v>
      </c>
      <c r="C27" s="343">
        <v>98961.964999999997</v>
      </c>
      <c r="D27" s="202">
        <v>33359.350000000006</v>
      </c>
      <c r="E27" s="202">
        <v>17838.706999999999</v>
      </c>
      <c r="F27" s="202">
        <v>18104.758999999998</v>
      </c>
      <c r="G27" s="202">
        <v>10886.319</v>
      </c>
      <c r="H27" s="202">
        <v>10911.71</v>
      </c>
      <c r="I27" s="202">
        <v>7861.119999999999</v>
      </c>
      <c r="J27" s="202">
        <v>9166.9700000000012</v>
      </c>
      <c r="K27" s="202">
        <v>12641.385</v>
      </c>
      <c r="L27" s="202">
        <v>12138.746999999999</v>
      </c>
      <c r="M27" s="202">
        <v>15525.468000000001</v>
      </c>
      <c r="N27" s="202">
        <v>32778.81</v>
      </c>
      <c r="O27" s="202">
        <v>22912.489000000001</v>
      </c>
      <c r="P27" s="195">
        <v>204125.83399999997</v>
      </c>
    </row>
    <row r="28" spans="1:16" ht="12" customHeight="1">
      <c r="B28" s="87">
        <v>2021</v>
      </c>
      <c r="C28" s="343">
        <v>121163.129</v>
      </c>
      <c r="D28" s="202">
        <v>38976.362000000001</v>
      </c>
      <c r="E28" s="202">
        <v>20807.689000000002</v>
      </c>
      <c r="F28" s="202">
        <v>20639.520000000004</v>
      </c>
      <c r="G28" s="202">
        <v>15083.608</v>
      </c>
      <c r="H28" s="202">
        <v>12731.288</v>
      </c>
      <c r="I28" s="202">
        <v>12924.662</v>
      </c>
      <c r="J28" s="202"/>
      <c r="K28" s="202"/>
      <c r="L28" s="202"/>
      <c r="M28" s="202"/>
      <c r="N28" s="202"/>
      <c r="O28" s="202"/>
      <c r="P28" s="195"/>
    </row>
    <row r="29" spans="1:16" ht="12" customHeight="1">
      <c r="A29" s="86" t="s">
        <v>266</v>
      </c>
      <c r="B29" s="87">
        <v>2020</v>
      </c>
      <c r="C29" s="343">
        <v>104122.174</v>
      </c>
      <c r="D29" s="202">
        <v>15376.66</v>
      </c>
      <c r="E29" s="202">
        <v>19987.39</v>
      </c>
      <c r="F29" s="202">
        <v>21218.708999999999</v>
      </c>
      <c r="G29" s="202">
        <v>19448.427</v>
      </c>
      <c r="H29" s="202">
        <v>19041.510000000002</v>
      </c>
      <c r="I29" s="202">
        <v>9049.4779999999992</v>
      </c>
      <c r="J29" s="202">
        <v>11435.944</v>
      </c>
      <c r="K29" s="202">
        <v>12140.445</v>
      </c>
      <c r="L29" s="202">
        <v>16094.65</v>
      </c>
      <c r="M29" s="202">
        <v>11288.972</v>
      </c>
      <c r="N29" s="202">
        <v>10539.944000000001</v>
      </c>
      <c r="O29" s="202">
        <v>12274.649999999998</v>
      </c>
      <c r="P29" s="195">
        <v>177896.77899999998</v>
      </c>
    </row>
    <row r="30" spans="1:16" ht="12" customHeight="1">
      <c r="B30" s="87">
        <v>2021</v>
      </c>
      <c r="C30" s="343">
        <v>114630.47499999999</v>
      </c>
      <c r="D30" s="202">
        <v>15444.949999999999</v>
      </c>
      <c r="E30" s="202">
        <v>22122.508999999998</v>
      </c>
      <c r="F30" s="202">
        <v>22115.758999999998</v>
      </c>
      <c r="G30" s="202">
        <v>21339.207999999999</v>
      </c>
      <c r="H30" s="202">
        <v>18589.999</v>
      </c>
      <c r="I30" s="202">
        <v>15018.050000000001</v>
      </c>
      <c r="J30" s="202"/>
      <c r="K30" s="202"/>
      <c r="L30" s="202"/>
      <c r="M30" s="202"/>
      <c r="N30" s="202"/>
      <c r="O30" s="202"/>
      <c r="P30" s="195"/>
    </row>
    <row r="31" spans="1:16" ht="12" customHeight="1">
      <c r="A31" s="86" t="s">
        <v>205</v>
      </c>
      <c r="B31" s="87">
        <v>2020</v>
      </c>
      <c r="C31" s="343">
        <v>82468.693999999989</v>
      </c>
      <c r="D31" s="202">
        <v>11310.938</v>
      </c>
      <c r="E31" s="202">
        <v>15388.093999999999</v>
      </c>
      <c r="F31" s="202">
        <v>16229.886999999999</v>
      </c>
      <c r="G31" s="202">
        <v>13785.217000000001</v>
      </c>
      <c r="H31" s="202">
        <v>12334.397000000001</v>
      </c>
      <c r="I31" s="202">
        <v>13420.160999999998</v>
      </c>
      <c r="J31" s="202">
        <v>11968.960999999999</v>
      </c>
      <c r="K31" s="202">
        <v>11373.120999999997</v>
      </c>
      <c r="L31" s="202">
        <v>8560.8060000000005</v>
      </c>
      <c r="M31" s="202">
        <v>7966.5060000000003</v>
      </c>
      <c r="N31" s="202">
        <v>6519.8219999999992</v>
      </c>
      <c r="O31" s="202">
        <v>6247.9489999999996</v>
      </c>
      <c r="P31" s="195">
        <v>135105.85899999997</v>
      </c>
    </row>
    <row r="32" spans="1:16" ht="12" customHeight="1">
      <c r="B32" s="87">
        <v>2021</v>
      </c>
      <c r="C32" s="343">
        <v>82859.53899999999</v>
      </c>
      <c r="D32" s="202">
        <v>11067.457999999999</v>
      </c>
      <c r="E32" s="202">
        <v>15112.375</v>
      </c>
      <c r="F32" s="202">
        <v>14710.449999999999</v>
      </c>
      <c r="G32" s="202">
        <v>13914.319</v>
      </c>
      <c r="H32" s="202">
        <v>12820.980000000001</v>
      </c>
      <c r="I32" s="202">
        <v>15233.956999999999</v>
      </c>
      <c r="J32" s="202"/>
      <c r="K32" s="202"/>
      <c r="L32" s="202"/>
      <c r="M32" s="202"/>
      <c r="N32" s="202"/>
      <c r="O32" s="202"/>
      <c r="P32" s="195"/>
    </row>
    <row r="33" spans="1:16" ht="12" customHeight="1">
      <c r="A33" s="86" t="s">
        <v>265</v>
      </c>
      <c r="B33" s="87">
        <v>2020</v>
      </c>
      <c r="C33" s="343">
        <v>93078.122999999992</v>
      </c>
      <c r="D33" s="202">
        <v>15248.68</v>
      </c>
      <c r="E33" s="202">
        <v>14983.169000000002</v>
      </c>
      <c r="F33" s="202">
        <v>16974.169999999998</v>
      </c>
      <c r="G33" s="202">
        <v>15664.078000000003</v>
      </c>
      <c r="H33" s="202">
        <v>17313.126000000004</v>
      </c>
      <c r="I33" s="202">
        <v>12894.9</v>
      </c>
      <c r="J33" s="202">
        <v>16119.512000000002</v>
      </c>
      <c r="K33" s="202">
        <v>21277.360000000001</v>
      </c>
      <c r="L33" s="202">
        <v>17436.75</v>
      </c>
      <c r="M33" s="202">
        <v>17084.938000000002</v>
      </c>
      <c r="N33" s="202">
        <v>15903.637999999999</v>
      </c>
      <c r="O33" s="202">
        <v>12920.819</v>
      </c>
      <c r="P33" s="195">
        <v>193821.13999999998</v>
      </c>
    </row>
    <row r="34" spans="1:16" ht="12" customHeight="1">
      <c r="B34" s="87">
        <v>2021</v>
      </c>
      <c r="C34" s="343">
        <v>90133.397000000012</v>
      </c>
      <c r="D34" s="202">
        <v>14851.068999999998</v>
      </c>
      <c r="E34" s="202">
        <v>15793.769999999999</v>
      </c>
      <c r="F34" s="202">
        <v>16655.370000000003</v>
      </c>
      <c r="G34" s="202">
        <v>16025.948</v>
      </c>
      <c r="H34" s="202">
        <v>14426.49</v>
      </c>
      <c r="I34" s="202">
        <v>12380.750000000002</v>
      </c>
      <c r="J34" s="202"/>
      <c r="K34" s="202"/>
      <c r="L34" s="202"/>
      <c r="M34" s="202"/>
      <c r="N34" s="202"/>
      <c r="O34" s="202"/>
      <c r="P34" s="195"/>
    </row>
    <row r="35" spans="1:16" ht="12" customHeight="1">
      <c r="A35" s="86" t="s">
        <v>262</v>
      </c>
      <c r="B35" s="87">
        <v>2020</v>
      </c>
      <c r="C35" s="343">
        <v>16897.298999999999</v>
      </c>
      <c r="D35" s="202">
        <v>3451.03</v>
      </c>
      <c r="E35" s="202">
        <v>2060.63</v>
      </c>
      <c r="F35" s="202">
        <v>1452.0400000000002</v>
      </c>
      <c r="G35" s="202">
        <v>2064.3489999999997</v>
      </c>
      <c r="H35" s="202">
        <v>3541.25</v>
      </c>
      <c r="I35" s="202">
        <v>4328</v>
      </c>
      <c r="J35" s="202">
        <v>3155.47</v>
      </c>
      <c r="K35" s="202">
        <v>5359.253999999999</v>
      </c>
      <c r="L35" s="202">
        <v>8263.5600000000013</v>
      </c>
      <c r="M35" s="202">
        <v>10881.855</v>
      </c>
      <c r="N35" s="202">
        <v>29411.707999999999</v>
      </c>
      <c r="O35" s="202">
        <v>16643.194</v>
      </c>
      <c r="P35" s="195">
        <v>90612.34</v>
      </c>
    </row>
    <row r="36" spans="1:16" ht="12" customHeight="1">
      <c r="B36" s="87">
        <v>2021</v>
      </c>
      <c r="C36" s="343">
        <v>18737.877</v>
      </c>
      <c r="D36" s="202">
        <v>3969.72</v>
      </c>
      <c r="E36" s="202">
        <v>2536.7699999999995</v>
      </c>
      <c r="F36" s="202">
        <v>1378.6299999999999</v>
      </c>
      <c r="G36" s="202">
        <v>2186.9490000000001</v>
      </c>
      <c r="H36" s="202">
        <v>3813.1180000000004</v>
      </c>
      <c r="I36" s="202">
        <v>4852.6900000000005</v>
      </c>
      <c r="J36" s="202"/>
      <c r="K36" s="202"/>
      <c r="L36" s="202"/>
      <c r="M36" s="202"/>
      <c r="N36" s="202"/>
      <c r="O36" s="202"/>
      <c r="P36" s="195"/>
    </row>
    <row r="37" spans="1:16" ht="12" customHeight="1">
      <c r="A37" s="86" t="s">
        <v>288</v>
      </c>
      <c r="B37" s="87">
        <v>2020</v>
      </c>
      <c r="C37" s="343">
        <v>249061.44600000003</v>
      </c>
      <c r="D37" s="202">
        <v>56917.304999999993</v>
      </c>
      <c r="E37" s="202">
        <v>36785.162000000004</v>
      </c>
      <c r="F37" s="202">
        <v>28180.229999999996</v>
      </c>
      <c r="G37" s="202">
        <v>43095.759999999995</v>
      </c>
      <c r="H37" s="202">
        <v>43173.770000000004</v>
      </c>
      <c r="I37" s="202">
        <v>40909.219000000005</v>
      </c>
      <c r="J37" s="202">
        <v>52324.262999999999</v>
      </c>
      <c r="K37" s="202">
        <v>81030.754000000001</v>
      </c>
      <c r="L37" s="202">
        <v>58687.275999999998</v>
      </c>
      <c r="M37" s="202">
        <v>45688.929999999993</v>
      </c>
      <c r="N37" s="202">
        <v>64832.728999999999</v>
      </c>
      <c r="O37" s="202">
        <v>53993.770000000004</v>
      </c>
      <c r="P37" s="195">
        <v>605619.16800000006</v>
      </c>
    </row>
    <row r="38" spans="1:16" ht="12" customHeight="1">
      <c r="B38" s="87">
        <v>2021</v>
      </c>
      <c r="C38" s="343">
        <v>300804.679</v>
      </c>
      <c r="D38" s="202">
        <v>60080.76</v>
      </c>
      <c r="E38" s="202">
        <v>44817.619999999995</v>
      </c>
      <c r="F38" s="202">
        <v>30920.004999999997</v>
      </c>
      <c r="G38" s="202">
        <v>57675.128999999994</v>
      </c>
      <c r="H38" s="202">
        <v>39366.239999999998</v>
      </c>
      <c r="I38" s="202">
        <v>67944.924999999988</v>
      </c>
      <c r="J38" s="202"/>
      <c r="K38" s="202"/>
      <c r="L38" s="202"/>
      <c r="M38" s="202"/>
      <c r="N38" s="202"/>
      <c r="O38" s="202"/>
      <c r="P38" s="195"/>
    </row>
    <row r="39" spans="1:16" ht="12" customHeight="1">
      <c r="A39" s="86" t="s">
        <v>252</v>
      </c>
      <c r="B39" s="87">
        <v>2020</v>
      </c>
      <c r="C39" s="343">
        <v>281601.91300000006</v>
      </c>
      <c r="D39" s="202">
        <v>25760.137000000002</v>
      </c>
      <c r="E39" s="202">
        <v>41688.987999999998</v>
      </c>
      <c r="F39" s="202">
        <v>49466.769</v>
      </c>
      <c r="G39" s="202">
        <v>79510.224999999991</v>
      </c>
      <c r="H39" s="202">
        <v>67454.953000000009</v>
      </c>
      <c r="I39" s="202">
        <v>17720.841</v>
      </c>
      <c r="J39" s="202">
        <v>11121.74</v>
      </c>
      <c r="K39" s="202">
        <v>20293.208000000002</v>
      </c>
      <c r="L39" s="202">
        <v>33785.164999999994</v>
      </c>
      <c r="M39" s="202">
        <v>29040</v>
      </c>
      <c r="N39" s="202">
        <v>16048.69</v>
      </c>
      <c r="O39" s="202">
        <v>18373.364999999998</v>
      </c>
      <c r="P39" s="195">
        <v>410264.08100000001</v>
      </c>
    </row>
    <row r="40" spans="1:16" ht="12" customHeight="1">
      <c r="B40" s="87">
        <v>2021</v>
      </c>
      <c r="C40" s="344">
        <v>286595.49000000005</v>
      </c>
      <c r="D40" s="202">
        <v>32831.623999999996</v>
      </c>
      <c r="E40" s="202">
        <v>36451.851999999999</v>
      </c>
      <c r="F40" s="202">
        <v>55563.439999999995</v>
      </c>
      <c r="G40" s="202">
        <v>84483.500000000015</v>
      </c>
      <c r="H40" s="202">
        <v>53470.215000000004</v>
      </c>
      <c r="I40" s="202">
        <v>23794.858999999993</v>
      </c>
      <c r="J40" s="202"/>
      <c r="K40" s="202"/>
      <c r="L40" s="202"/>
      <c r="M40" s="202"/>
      <c r="N40" s="202"/>
      <c r="O40" s="202"/>
      <c r="P40" s="195"/>
    </row>
    <row r="41" spans="1:16" ht="12.75">
      <c r="A41" s="133"/>
      <c r="B41" s="97"/>
      <c r="C41" s="98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5" t="s">
        <v>152</v>
      </c>
    </row>
    <row r="42" spans="1:16" ht="12.75">
      <c r="A42" s="67" t="s">
        <v>315</v>
      </c>
      <c r="B42" s="99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</row>
    <row r="43" spans="1:16" ht="15.95" customHeight="1">
      <c r="A43" s="337" t="s">
        <v>57</v>
      </c>
      <c r="B43" s="338" t="s">
        <v>89</v>
      </c>
      <c r="C43" s="348" t="s">
        <v>470</v>
      </c>
      <c r="D43" s="317" t="s">
        <v>175</v>
      </c>
      <c r="E43" s="317" t="s">
        <v>176</v>
      </c>
      <c r="F43" s="317" t="s">
        <v>177</v>
      </c>
      <c r="G43" s="317" t="s">
        <v>178</v>
      </c>
      <c r="H43" s="317" t="s">
        <v>179</v>
      </c>
      <c r="I43" s="317" t="s">
        <v>180</v>
      </c>
      <c r="J43" s="317" t="s">
        <v>181</v>
      </c>
      <c r="K43" s="317" t="s">
        <v>296</v>
      </c>
      <c r="L43" s="317" t="s">
        <v>297</v>
      </c>
      <c r="M43" s="317" t="s">
        <v>298</v>
      </c>
      <c r="N43" s="317" t="s">
        <v>173</v>
      </c>
      <c r="O43" s="317" t="s">
        <v>174</v>
      </c>
      <c r="P43" s="337" t="s">
        <v>435</v>
      </c>
    </row>
    <row r="44" spans="1:16" ht="12" customHeight="1">
      <c r="A44" s="86" t="s">
        <v>258</v>
      </c>
      <c r="B44" s="87">
        <v>2020</v>
      </c>
      <c r="C44" s="343">
        <v>493535.74299999996</v>
      </c>
      <c r="D44" s="202">
        <v>18515.668000000001</v>
      </c>
      <c r="E44" s="202">
        <v>25145.956999999999</v>
      </c>
      <c r="F44" s="202">
        <v>54484.278000000006</v>
      </c>
      <c r="G44" s="202">
        <v>86550.420999999988</v>
      </c>
      <c r="H44" s="202">
        <v>172822.84899999999</v>
      </c>
      <c r="I44" s="202">
        <v>136016.57</v>
      </c>
      <c r="J44" s="202">
        <v>67704.808999999979</v>
      </c>
      <c r="K44" s="202">
        <v>23259.759000000002</v>
      </c>
      <c r="L44" s="202">
        <v>25432.675000000003</v>
      </c>
      <c r="M44" s="202">
        <v>16731.418999999998</v>
      </c>
      <c r="N44" s="202">
        <v>15220.539000000001</v>
      </c>
      <c r="O44" s="202">
        <v>18117.641000000003</v>
      </c>
      <c r="P44" s="195">
        <v>660002.58499999996</v>
      </c>
    </row>
    <row r="45" spans="1:16" ht="12" customHeight="1">
      <c r="B45" s="87">
        <v>2021</v>
      </c>
      <c r="C45" s="343">
        <v>535908.39100000006</v>
      </c>
      <c r="D45" s="202">
        <v>19929.138999999996</v>
      </c>
      <c r="E45" s="202">
        <v>24536.583999999999</v>
      </c>
      <c r="F45" s="202">
        <v>63815.746999999996</v>
      </c>
      <c r="G45" s="202">
        <v>110041.91800000002</v>
      </c>
      <c r="H45" s="202">
        <v>168755.63600000003</v>
      </c>
      <c r="I45" s="202">
        <v>148829.367</v>
      </c>
      <c r="J45" s="202"/>
      <c r="K45" s="202"/>
      <c r="L45" s="202"/>
      <c r="M45" s="202"/>
      <c r="N45" s="202"/>
      <c r="O45" s="202"/>
      <c r="P45" s="195"/>
    </row>
    <row r="46" spans="1:16" ht="12" customHeight="1">
      <c r="A46" s="86" t="s">
        <v>284</v>
      </c>
      <c r="B46" s="87">
        <v>2020</v>
      </c>
      <c r="C46" s="343">
        <v>1153759.6119999997</v>
      </c>
      <c r="D46" s="202">
        <v>198109.82199999999</v>
      </c>
      <c r="E46" s="202">
        <v>195849.99900000001</v>
      </c>
      <c r="F46" s="202">
        <v>191929.35199999998</v>
      </c>
      <c r="G46" s="202">
        <v>188815.84199999998</v>
      </c>
      <c r="H46" s="202">
        <v>191924.06199999998</v>
      </c>
      <c r="I46" s="202">
        <v>187130.535</v>
      </c>
      <c r="J46" s="202">
        <v>187256.13400000002</v>
      </c>
      <c r="K46" s="202">
        <v>183448.62399999998</v>
      </c>
      <c r="L46" s="202">
        <v>191069.038</v>
      </c>
      <c r="M46" s="202">
        <v>196060.86199999999</v>
      </c>
      <c r="N46" s="202">
        <v>200900.889</v>
      </c>
      <c r="O46" s="202">
        <v>202018.62999999998</v>
      </c>
      <c r="P46" s="195">
        <v>2314513.7889999999</v>
      </c>
    </row>
    <row r="47" spans="1:16" ht="12" customHeight="1">
      <c r="B47" s="87">
        <v>2021</v>
      </c>
      <c r="C47" s="343">
        <v>1143596.868</v>
      </c>
      <c r="D47" s="202">
        <v>194693.86700000003</v>
      </c>
      <c r="E47" s="202">
        <v>190752.65900000001</v>
      </c>
      <c r="F47" s="202">
        <v>188279.769</v>
      </c>
      <c r="G47" s="202">
        <v>191897.63400000002</v>
      </c>
      <c r="H47" s="202">
        <v>187839.31200000001</v>
      </c>
      <c r="I47" s="202">
        <v>190133.62700000001</v>
      </c>
      <c r="J47" s="202"/>
      <c r="K47" s="202"/>
      <c r="L47" s="202"/>
      <c r="M47" s="202"/>
      <c r="N47" s="202"/>
      <c r="O47" s="202"/>
      <c r="P47" s="195"/>
    </row>
    <row r="48" spans="1:16" ht="12" customHeight="1">
      <c r="A48" s="86" t="s">
        <v>254</v>
      </c>
      <c r="B48" s="87">
        <v>2020</v>
      </c>
      <c r="C48" s="343">
        <v>385084.24900000007</v>
      </c>
      <c r="D48" s="202">
        <v>184432.35199999998</v>
      </c>
      <c r="E48" s="202">
        <v>133085.40800000002</v>
      </c>
      <c r="F48" s="202">
        <v>52755.809000000001</v>
      </c>
      <c r="G48" s="202">
        <v>11066.9</v>
      </c>
      <c r="H48" s="202">
        <v>3072.7</v>
      </c>
      <c r="I48" s="202">
        <v>671.08</v>
      </c>
      <c r="J48" s="202">
        <v>674.8</v>
      </c>
      <c r="K48" s="202">
        <v>630.18999999999994</v>
      </c>
      <c r="L48" s="202">
        <v>2489.5190000000002</v>
      </c>
      <c r="M48" s="202">
        <v>11747.468000000001</v>
      </c>
      <c r="N48" s="202">
        <v>21700.379999999997</v>
      </c>
      <c r="O48" s="202">
        <v>91420.23000000001</v>
      </c>
      <c r="P48" s="195">
        <v>513746.83600000001</v>
      </c>
    </row>
    <row r="49" spans="1:16" ht="12" customHeight="1">
      <c r="B49" s="87">
        <v>2021</v>
      </c>
      <c r="C49" s="343">
        <v>351782.57400000008</v>
      </c>
      <c r="D49" s="202">
        <v>169507.856</v>
      </c>
      <c r="E49" s="202">
        <v>111970.37800000003</v>
      </c>
      <c r="F49" s="202">
        <v>58130.549999999996</v>
      </c>
      <c r="G49" s="202">
        <v>9163.1500000000015</v>
      </c>
      <c r="H49" s="202">
        <v>2786.2000000000003</v>
      </c>
      <c r="I49" s="202">
        <v>224.44</v>
      </c>
      <c r="J49" s="202"/>
      <c r="K49" s="202"/>
      <c r="L49" s="202"/>
      <c r="M49" s="202"/>
      <c r="N49" s="202"/>
      <c r="O49" s="202"/>
      <c r="P49" s="195"/>
    </row>
    <row r="50" spans="1:16" ht="12" customHeight="1">
      <c r="A50" s="86" t="s">
        <v>61</v>
      </c>
      <c r="B50" s="87">
        <v>2020</v>
      </c>
      <c r="C50" s="343">
        <v>92540.862999999998</v>
      </c>
      <c r="D50" s="202">
        <v>14223.966</v>
      </c>
      <c r="E50" s="202">
        <v>16086.603999999999</v>
      </c>
      <c r="F50" s="202">
        <v>15864.282999999999</v>
      </c>
      <c r="G50" s="202">
        <v>14992.53</v>
      </c>
      <c r="H50" s="202">
        <v>16209.874</v>
      </c>
      <c r="I50" s="202">
        <v>15163.606</v>
      </c>
      <c r="J50" s="202">
        <v>15394.880999999999</v>
      </c>
      <c r="K50" s="202">
        <v>14545.218000000001</v>
      </c>
      <c r="L50" s="202">
        <v>15465.628000000001</v>
      </c>
      <c r="M50" s="202">
        <v>16387.707999999999</v>
      </c>
      <c r="N50" s="202">
        <v>15262.689999999999</v>
      </c>
      <c r="O50" s="202">
        <v>16910.89</v>
      </c>
      <c r="P50" s="195">
        <v>186507.87800000003</v>
      </c>
    </row>
    <row r="51" spans="1:16" ht="12" customHeight="1">
      <c r="B51" s="87">
        <v>2021</v>
      </c>
      <c r="C51" s="343">
        <v>97895.917000000016</v>
      </c>
      <c r="D51" s="202">
        <v>15605.98</v>
      </c>
      <c r="E51" s="202">
        <v>16179.509</v>
      </c>
      <c r="F51" s="202">
        <v>16528.808000000001</v>
      </c>
      <c r="G51" s="202">
        <v>16221.764999999999</v>
      </c>
      <c r="H51" s="202">
        <v>16576.707999999999</v>
      </c>
      <c r="I51" s="202">
        <v>16783.147000000004</v>
      </c>
      <c r="J51" s="202"/>
      <c r="K51" s="202"/>
      <c r="L51" s="202"/>
      <c r="M51" s="202"/>
      <c r="N51" s="202"/>
      <c r="O51" s="202"/>
      <c r="P51" s="195"/>
    </row>
    <row r="52" spans="1:16" ht="12" customHeight="1">
      <c r="A52" s="86" t="s">
        <v>207</v>
      </c>
      <c r="B52" s="87">
        <v>2020</v>
      </c>
      <c r="C52" s="343">
        <v>288717.03999999998</v>
      </c>
      <c r="D52" s="202">
        <v>53469.817999999999</v>
      </c>
      <c r="E52" s="202">
        <v>51349.799999999996</v>
      </c>
      <c r="F52" s="202">
        <v>49622.28</v>
      </c>
      <c r="G52" s="202">
        <v>45749.579999999994</v>
      </c>
      <c r="H52" s="202">
        <v>46130.224000000002</v>
      </c>
      <c r="I52" s="202">
        <v>42395.337999999996</v>
      </c>
      <c r="J52" s="202">
        <v>41021.97</v>
      </c>
      <c r="K52" s="202">
        <v>39946.92</v>
      </c>
      <c r="L52" s="202">
        <v>43179.859999999993</v>
      </c>
      <c r="M52" s="202">
        <v>47055.850000000006</v>
      </c>
      <c r="N52" s="202">
        <v>55784.54</v>
      </c>
      <c r="O52" s="202">
        <v>67322.608999999997</v>
      </c>
      <c r="P52" s="195">
        <v>583028.78899999999</v>
      </c>
    </row>
    <row r="53" spans="1:16" ht="12" customHeight="1">
      <c r="B53" s="87">
        <v>2021</v>
      </c>
      <c r="C53" s="343">
        <v>293479.23</v>
      </c>
      <c r="D53" s="202">
        <v>54096.79</v>
      </c>
      <c r="E53" s="202">
        <v>52840.200000000004</v>
      </c>
      <c r="F53" s="202">
        <v>51124.242000000006</v>
      </c>
      <c r="G53" s="202">
        <v>47069.938999999991</v>
      </c>
      <c r="H53" s="202">
        <v>46257.599999999999</v>
      </c>
      <c r="I53" s="202">
        <v>42090.458999999995</v>
      </c>
      <c r="J53" s="202"/>
      <c r="K53" s="202"/>
      <c r="L53" s="202"/>
      <c r="M53" s="202"/>
      <c r="N53" s="202"/>
      <c r="O53" s="202"/>
      <c r="P53" s="195"/>
    </row>
    <row r="54" spans="1:16" ht="12" customHeight="1">
      <c r="A54" s="86" t="s">
        <v>118</v>
      </c>
      <c r="B54" s="87">
        <v>2020</v>
      </c>
      <c r="C54" s="343">
        <v>26225.518999999997</v>
      </c>
      <c r="D54" s="202">
        <v>3218.7289999999998</v>
      </c>
      <c r="E54" s="202">
        <v>4324.8469999999998</v>
      </c>
      <c r="F54" s="202">
        <v>4466.2160000000003</v>
      </c>
      <c r="G54" s="202">
        <v>4821.2089999999989</v>
      </c>
      <c r="H54" s="202">
        <v>4820.3189999999995</v>
      </c>
      <c r="I54" s="202">
        <v>4574.1990000000005</v>
      </c>
      <c r="J54" s="202">
        <v>4132.6500000000005</v>
      </c>
      <c r="K54" s="202">
        <v>4212.6000000000004</v>
      </c>
      <c r="L54" s="202">
        <v>4840.3599999999997</v>
      </c>
      <c r="M54" s="202">
        <v>5122.0499999999993</v>
      </c>
      <c r="N54" s="202">
        <v>5224.1399999999994</v>
      </c>
      <c r="O54" s="202">
        <v>5208.3189999999995</v>
      </c>
      <c r="P54" s="195">
        <v>54965.638000000006</v>
      </c>
    </row>
    <row r="55" spans="1:16" ht="12" customHeight="1">
      <c r="B55" s="87">
        <v>2021</v>
      </c>
      <c r="C55" s="343">
        <v>28875.632999999998</v>
      </c>
      <c r="D55" s="202">
        <v>3821.8789999999999</v>
      </c>
      <c r="E55" s="202">
        <v>4128.665</v>
      </c>
      <c r="F55" s="202">
        <v>4762.4549999999999</v>
      </c>
      <c r="G55" s="202">
        <v>5290.7969999999996</v>
      </c>
      <c r="H55" s="202">
        <v>5475.5390000000007</v>
      </c>
      <c r="I55" s="202">
        <v>5396.2979999999998</v>
      </c>
      <c r="J55" s="202"/>
      <c r="K55" s="202"/>
      <c r="L55" s="202"/>
      <c r="M55" s="202"/>
      <c r="N55" s="202"/>
      <c r="O55" s="202"/>
      <c r="P55" s="195"/>
    </row>
    <row r="56" spans="1:16" ht="12" customHeight="1">
      <c r="A56" s="86" t="s">
        <v>139</v>
      </c>
      <c r="B56" s="87">
        <v>2020</v>
      </c>
      <c r="C56" s="343">
        <v>181026.932</v>
      </c>
      <c r="D56" s="202">
        <v>25130.706000000002</v>
      </c>
      <c r="E56" s="202">
        <v>29253.931</v>
      </c>
      <c r="F56" s="202">
        <v>32315.684000000001</v>
      </c>
      <c r="G56" s="202">
        <v>31913.377999999997</v>
      </c>
      <c r="H56" s="202">
        <v>35314.800999999999</v>
      </c>
      <c r="I56" s="202">
        <v>27098.432000000001</v>
      </c>
      <c r="J56" s="202">
        <v>15446.179000000004</v>
      </c>
      <c r="K56" s="202">
        <v>14835.724000000002</v>
      </c>
      <c r="L56" s="202">
        <v>18974.893000000004</v>
      </c>
      <c r="M56" s="202">
        <v>21026.255000000008</v>
      </c>
      <c r="N56" s="202">
        <v>22475.967000000004</v>
      </c>
      <c r="O56" s="202">
        <v>30155.491999999995</v>
      </c>
      <c r="P56" s="195">
        <v>303941.44200000004</v>
      </c>
    </row>
    <row r="57" spans="1:16" ht="12" customHeight="1">
      <c r="B57" s="87">
        <v>2021</v>
      </c>
      <c r="C57" s="343">
        <v>184699.10199999998</v>
      </c>
      <c r="D57" s="202">
        <v>30282.201999999994</v>
      </c>
      <c r="E57" s="202">
        <v>33448.740000000005</v>
      </c>
      <c r="F57" s="202">
        <v>35671.275999999998</v>
      </c>
      <c r="G57" s="202">
        <v>32401.070999999996</v>
      </c>
      <c r="H57" s="202">
        <v>29491.034</v>
      </c>
      <c r="I57" s="202">
        <v>23404.778999999999</v>
      </c>
      <c r="J57" s="202"/>
      <c r="K57" s="202"/>
      <c r="L57" s="202"/>
      <c r="M57" s="202"/>
      <c r="N57" s="202"/>
      <c r="O57" s="202"/>
      <c r="P57" s="195"/>
    </row>
    <row r="58" spans="1:16" ht="12" customHeight="1">
      <c r="A58" s="86" t="s">
        <v>257</v>
      </c>
      <c r="B58" s="87">
        <v>2020</v>
      </c>
      <c r="C58" s="343">
        <v>262731.29600000003</v>
      </c>
      <c r="D58" s="202">
        <v>29219.118000000002</v>
      </c>
      <c r="E58" s="202">
        <v>31340.116000000002</v>
      </c>
      <c r="F58" s="202">
        <v>35735.820000000007</v>
      </c>
      <c r="G58" s="202">
        <v>41706.578000000001</v>
      </c>
      <c r="H58" s="202">
        <v>58889.887999999999</v>
      </c>
      <c r="I58" s="202">
        <v>65839.775999999998</v>
      </c>
      <c r="J58" s="202">
        <v>81477.574999999997</v>
      </c>
      <c r="K58" s="202">
        <v>66784.616999999984</v>
      </c>
      <c r="L58" s="202">
        <v>43063.419000000002</v>
      </c>
      <c r="M58" s="202">
        <v>35656.429999999993</v>
      </c>
      <c r="N58" s="202">
        <v>31417.02</v>
      </c>
      <c r="O58" s="202">
        <v>33687.478999999999</v>
      </c>
      <c r="P58" s="195">
        <v>554817.83600000001</v>
      </c>
    </row>
    <row r="59" spans="1:16" ht="12" customHeight="1">
      <c r="B59" s="87">
        <v>2021</v>
      </c>
      <c r="C59" s="343">
        <v>270039.59100000001</v>
      </c>
      <c r="D59" s="202">
        <v>28146.199999999997</v>
      </c>
      <c r="E59" s="202">
        <v>31628.038</v>
      </c>
      <c r="F59" s="202">
        <v>39331.345000000001</v>
      </c>
      <c r="G59" s="202">
        <v>37234.699000000008</v>
      </c>
      <c r="H59" s="202">
        <v>58275.4</v>
      </c>
      <c r="I59" s="202">
        <v>75423.909</v>
      </c>
      <c r="J59" s="202"/>
      <c r="K59" s="202"/>
      <c r="L59" s="202"/>
      <c r="M59" s="202"/>
      <c r="N59" s="202"/>
      <c r="O59" s="202"/>
      <c r="P59" s="195"/>
    </row>
    <row r="60" spans="1:16" ht="12" customHeight="1">
      <c r="A60" s="86" t="s">
        <v>144</v>
      </c>
      <c r="B60" s="87">
        <v>2020</v>
      </c>
      <c r="C60" s="343">
        <v>261465.88299999997</v>
      </c>
      <c r="D60" s="202">
        <v>6419.9389999999994</v>
      </c>
      <c r="E60" s="202">
        <v>14222.219000000001</v>
      </c>
      <c r="F60" s="202">
        <v>31835.769</v>
      </c>
      <c r="G60" s="202">
        <v>54730.458999999995</v>
      </c>
      <c r="H60" s="202">
        <v>73995.697999999989</v>
      </c>
      <c r="I60" s="202">
        <v>80261.798999999999</v>
      </c>
      <c r="J60" s="202">
        <v>91796.522999999986</v>
      </c>
      <c r="K60" s="202">
        <v>57928.38</v>
      </c>
      <c r="L60" s="202">
        <v>46442.69</v>
      </c>
      <c r="M60" s="202">
        <v>26510.449999999997</v>
      </c>
      <c r="N60" s="202">
        <v>22718.089</v>
      </c>
      <c r="O60" s="202">
        <v>19298.048999999999</v>
      </c>
      <c r="P60" s="195">
        <v>526160.06400000001</v>
      </c>
    </row>
    <row r="61" spans="1:16" ht="12" customHeight="1">
      <c r="B61" s="87">
        <v>2021</v>
      </c>
      <c r="C61" s="343">
        <v>305840.45699999999</v>
      </c>
      <c r="D61" s="202">
        <v>5771.4390000000003</v>
      </c>
      <c r="E61" s="202">
        <v>21134.079999999998</v>
      </c>
      <c r="F61" s="202">
        <v>42723.53</v>
      </c>
      <c r="G61" s="202">
        <v>64754.78899999999</v>
      </c>
      <c r="H61" s="202">
        <v>78653.960000000006</v>
      </c>
      <c r="I61" s="202">
        <v>92802.659</v>
      </c>
      <c r="J61" s="202"/>
      <c r="K61" s="202"/>
      <c r="L61" s="202"/>
      <c r="M61" s="202"/>
      <c r="N61" s="202"/>
      <c r="O61" s="202"/>
      <c r="P61" s="195"/>
    </row>
    <row r="62" spans="1:16" ht="12" customHeight="1">
      <c r="A62" s="86" t="s">
        <v>116</v>
      </c>
      <c r="B62" s="87">
        <v>2020</v>
      </c>
      <c r="C62" s="343">
        <v>37324.697999999997</v>
      </c>
      <c r="D62" s="202">
        <v>3001.87</v>
      </c>
      <c r="E62" s="202">
        <v>5327.5189999999993</v>
      </c>
      <c r="F62" s="202">
        <v>6864.2989999999991</v>
      </c>
      <c r="G62" s="202">
        <v>7041.4699999999993</v>
      </c>
      <c r="H62" s="202">
        <v>6281.9100000000008</v>
      </c>
      <c r="I62" s="202">
        <v>8807.630000000001</v>
      </c>
      <c r="J62" s="202">
        <v>25810.639999999999</v>
      </c>
      <c r="K62" s="202">
        <v>11310.560000000001</v>
      </c>
      <c r="L62" s="202">
        <v>5933.8190000000004</v>
      </c>
      <c r="M62" s="202">
        <v>2318.0500000000002</v>
      </c>
      <c r="N62" s="202">
        <v>2208.0700000000002</v>
      </c>
      <c r="O62" s="202">
        <v>3446.1090000000004</v>
      </c>
      <c r="P62" s="195">
        <v>88351.946000000011</v>
      </c>
    </row>
    <row r="63" spans="1:16" ht="12" customHeight="1">
      <c r="A63" s="153" t="s">
        <v>56</v>
      </c>
      <c r="B63" s="90">
        <v>2021</v>
      </c>
      <c r="C63" s="343">
        <v>38558.340000000004</v>
      </c>
      <c r="D63" s="202">
        <v>3204.29</v>
      </c>
      <c r="E63" s="202">
        <v>5467.78</v>
      </c>
      <c r="F63" s="202">
        <v>6764.8099999999995</v>
      </c>
      <c r="G63" s="202">
        <v>7321.28</v>
      </c>
      <c r="H63" s="202">
        <v>6362.9500000000007</v>
      </c>
      <c r="I63" s="202">
        <v>9437.2300000000014</v>
      </c>
      <c r="J63" s="202"/>
      <c r="K63" s="202"/>
      <c r="L63" s="202"/>
      <c r="M63" s="202"/>
      <c r="N63" s="202"/>
      <c r="O63" s="202"/>
      <c r="P63" s="195"/>
    </row>
    <row r="64" spans="1:16" ht="12" customHeight="1">
      <c r="A64" s="153" t="s">
        <v>290</v>
      </c>
      <c r="B64" s="90">
        <v>2020</v>
      </c>
      <c r="C64" s="343">
        <v>344155.01299999998</v>
      </c>
      <c r="D64" s="202">
        <v>144562.9</v>
      </c>
      <c r="E64" s="202">
        <v>98518.572999999989</v>
      </c>
      <c r="F64" s="202">
        <v>68442.75</v>
      </c>
      <c r="G64" s="202">
        <v>17155.740000000002</v>
      </c>
      <c r="H64" s="202">
        <v>9770</v>
      </c>
      <c r="I64" s="202">
        <v>5705.05</v>
      </c>
      <c r="J64" s="202">
        <v>11451.5</v>
      </c>
      <c r="K64" s="202">
        <v>7514.5</v>
      </c>
      <c r="L64" s="202">
        <v>11997.8</v>
      </c>
      <c r="M64" s="202">
        <v>49600.299999999996</v>
      </c>
      <c r="N64" s="202">
        <v>113013.34</v>
      </c>
      <c r="O64" s="202">
        <v>195878.00900000002</v>
      </c>
      <c r="P64" s="195">
        <v>733610.46200000006</v>
      </c>
    </row>
    <row r="65" spans="1:16" ht="12" customHeight="1">
      <c r="A65" s="89"/>
      <c r="B65" s="90">
        <v>2021</v>
      </c>
      <c r="C65" s="343">
        <v>411293.84800000006</v>
      </c>
      <c r="D65" s="202">
        <v>186948.71</v>
      </c>
      <c r="E65" s="202">
        <v>108742.09</v>
      </c>
      <c r="F65" s="202">
        <v>75677.179000000004</v>
      </c>
      <c r="G65" s="202">
        <v>19549.069</v>
      </c>
      <c r="H65" s="202">
        <v>10769.9</v>
      </c>
      <c r="I65" s="202">
        <v>9606.9</v>
      </c>
      <c r="J65" s="202"/>
      <c r="K65" s="202"/>
      <c r="L65" s="202"/>
      <c r="M65" s="202"/>
      <c r="N65" s="202"/>
      <c r="O65" s="202"/>
      <c r="P65" s="195"/>
    </row>
    <row r="66" spans="1:16" ht="12" customHeight="1">
      <c r="A66" s="153" t="s">
        <v>261</v>
      </c>
      <c r="B66" s="90">
        <v>2020</v>
      </c>
      <c r="C66" s="343">
        <v>85896.277000000002</v>
      </c>
      <c r="D66" s="202">
        <v>14139.389999999998</v>
      </c>
      <c r="E66" s="202">
        <v>17524.678</v>
      </c>
      <c r="F66" s="202">
        <v>13114.15</v>
      </c>
      <c r="G66" s="202">
        <v>14360.379000000003</v>
      </c>
      <c r="H66" s="202">
        <v>14585.93</v>
      </c>
      <c r="I66" s="202">
        <v>12171.75</v>
      </c>
      <c r="J66" s="202">
        <v>9259.9689999999991</v>
      </c>
      <c r="K66" s="202">
        <v>8881.5590000000011</v>
      </c>
      <c r="L66" s="202">
        <v>9667.1200000000008</v>
      </c>
      <c r="M66" s="202">
        <v>8733.5</v>
      </c>
      <c r="N66" s="202">
        <v>8708.3000000000011</v>
      </c>
      <c r="O66" s="202">
        <v>8244.9</v>
      </c>
      <c r="P66" s="195">
        <v>139391.62499999997</v>
      </c>
    </row>
    <row r="67" spans="1:16" ht="12" customHeight="1">
      <c r="B67" s="87">
        <v>2021</v>
      </c>
      <c r="C67" s="343">
        <v>84801.524999999994</v>
      </c>
      <c r="D67" s="202">
        <v>14143.079</v>
      </c>
      <c r="E67" s="202">
        <v>17064.449999999997</v>
      </c>
      <c r="F67" s="202">
        <v>13128.599000000002</v>
      </c>
      <c r="G67" s="202">
        <v>14010.018</v>
      </c>
      <c r="H67" s="202">
        <v>13262.24</v>
      </c>
      <c r="I67" s="202">
        <v>13193.138999999999</v>
      </c>
      <c r="J67" s="202"/>
      <c r="K67" s="202"/>
      <c r="L67" s="202"/>
      <c r="M67" s="202"/>
      <c r="N67" s="202"/>
      <c r="O67" s="202"/>
      <c r="P67" s="195"/>
    </row>
    <row r="68" spans="1:16" ht="12" customHeight="1">
      <c r="A68" s="86" t="s">
        <v>84</v>
      </c>
      <c r="B68" s="87">
        <v>2020</v>
      </c>
      <c r="C68" s="343">
        <v>23554.142</v>
      </c>
      <c r="D68" s="202">
        <v>2739.799</v>
      </c>
      <c r="E68" s="202">
        <v>6104.1459999999997</v>
      </c>
      <c r="F68" s="202">
        <v>6555.4269999999997</v>
      </c>
      <c r="G68" s="202">
        <v>3091.04</v>
      </c>
      <c r="H68" s="202">
        <v>2399.7000000000003</v>
      </c>
      <c r="I68" s="202">
        <v>2664.03</v>
      </c>
      <c r="J68" s="202">
        <v>3038.3</v>
      </c>
      <c r="K68" s="202">
        <v>3234.7</v>
      </c>
      <c r="L68" s="202">
        <v>3254.1</v>
      </c>
      <c r="M68" s="202">
        <v>3094.45</v>
      </c>
      <c r="N68" s="202">
        <v>1893.1999999999998</v>
      </c>
      <c r="O68" s="202">
        <v>2614.85</v>
      </c>
      <c r="P68" s="195">
        <v>40683.741999999991</v>
      </c>
    </row>
    <row r="69" spans="1:16" ht="12" customHeight="1">
      <c r="B69" s="87">
        <v>2021</v>
      </c>
      <c r="C69" s="343">
        <v>23451.278999999995</v>
      </c>
      <c r="D69" s="202">
        <v>3612.9100000000003</v>
      </c>
      <c r="E69" s="202">
        <v>5622.1299999999992</v>
      </c>
      <c r="F69" s="202">
        <v>6953.2099999999991</v>
      </c>
      <c r="G69" s="202">
        <v>2518.0390000000002</v>
      </c>
      <c r="H69" s="202">
        <v>1896.4299999999998</v>
      </c>
      <c r="I69" s="202">
        <v>2848.5599999999995</v>
      </c>
      <c r="J69" s="202"/>
      <c r="K69" s="202"/>
      <c r="L69" s="202"/>
      <c r="M69" s="202"/>
      <c r="N69" s="202"/>
      <c r="O69" s="202"/>
      <c r="P69" s="195"/>
    </row>
    <row r="70" spans="1:16" ht="12" customHeight="1">
      <c r="A70" s="86" t="s">
        <v>80</v>
      </c>
      <c r="B70" s="87">
        <v>2020</v>
      </c>
      <c r="C70" s="343">
        <v>59218.054999999993</v>
      </c>
      <c r="D70" s="202">
        <v>7499.9080000000004</v>
      </c>
      <c r="E70" s="202">
        <v>17977.949000000001</v>
      </c>
      <c r="F70" s="202">
        <v>19780.699000000001</v>
      </c>
      <c r="G70" s="202">
        <v>10032.859</v>
      </c>
      <c r="H70" s="202">
        <v>2640.88</v>
      </c>
      <c r="I70" s="202">
        <v>1285.76</v>
      </c>
      <c r="J70" s="202">
        <v>685.529</v>
      </c>
      <c r="K70" s="202">
        <v>405.51</v>
      </c>
      <c r="L70" s="202">
        <v>339.85</v>
      </c>
      <c r="M70" s="202">
        <v>309.85000000000002</v>
      </c>
      <c r="N70" s="202">
        <v>383.48</v>
      </c>
      <c r="O70" s="202">
        <v>874.88</v>
      </c>
      <c r="P70" s="195">
        <v>62217.153999999995</v>
      </c>
    </row>
    <row r="71" spans="1:16" ht="12" customHeight="1">
      <c r="B71" s="87">
        <v>2021</v>
      </c>
      <c r="C71" s="343">
        <v>48805.481999999996</v>
      </c>
      <c r="D71" s="202">
        <v>5768.6400000000012</v>
      </c>
      <c r="E71" s="202">
        <v>16989.22</v>
      </c>
      <c r="F71" s="202">
        <v>17403.248</v>
      </c>
      <c r="G71" s="202">
        <v>7060.549</v>
      </c>
      <c r="H71" s="202">
        <v>1119.306</v>
      </c>
      <c r="I71" s="202">
        <v>464.51900000000001</v>
      </c>
      <c r="J71" s="202"/>
      <c r="K71" s="202"/>
      <c r="L71" s="202"/>
      <c r="M71" s="202"/>
      <c r="N71" s="202"/>
      <c r="O71" s="202"/>
      <c r="P71" s="195"/>
    </row>
    <row r="72" spans="1:16" ht="12" customHeight="1">
      <c r="A72" s="86" t="s">
        <v>146</v>
      </c>
      <c r="B72" s="87">
        <v>2020</v>
      </c>
      <c r="C72" s="343">
        <v>163732.72999999998</v>
      </c>
      <c r="D72" s="202">
        <v>0</v>
      </c>
      <c r="E72" s="202">
        <v>0</v>
      </c>
      <c r="F72" s="202">
        <v>10151.65</v>
      </c>
      <c r="G72" s="202">
        <v>56656.67</v>
      </c>
      <c r="H72" s="202">
        <v>75224.86</v>
      </c>
      <c r="I72" s="202">
        <v>21699.550000000003</v>
      </c>
      <c r="J72" s="202">
        <v>10177.65</v>
      </c>
      <c r="K72" s="202">
        <v>189.74</v>
      </c>
      <c r="L72" s="202">
        <v>137.5</v>
      </c>
      <c r="M72" s="202">
        <v>0</v>
      </c>
      <c r="N72" s="202">
        <v>0</v>
      </c>
      <c r="O72" s="202">
        <v>0</v>
      </c>
      <c r="P72" s="195">
        <v>174237.61999999997</v>
      </c>
    </row>
    <row r="73" spans="1:16" ht="12" customHeight="1">
      <c r="B73" s="87">
        <v>2021</v>
      </c>
      <c r="C73" s="343">
        <v>133989.61000000002</v>
      </c>
      <c r="D73" s="202">
        <v>0</v>
      </c>
      <c r="E73" s="202">
        <v>2200</v>
      </c>
      <c r="F73" s="202">
        <v>8712.5</v>
      </c>
      <c r="G73" s="202">
        <v>33003.29</v>
      </c>
      <c r="H73" s="202">
        <v>58044.09</v>
      </c>
      <c r="I73" s="202">
        <v>32029.73</v>
      </c>
      <c r="J73" s="202"/>
      <c r="K73" s="202"/>
      <c r="L73" s="202"/>
      <c r="M73" s="202"/>
      <c r="N73" s="202"/>
      <c r="O73" s="202"/>
      <c r="P73" s="195"/>
    </row>
    <row r="74" spans="1:16" ht="12" customHeight="1">
      <c r="A74" s="86" t="s">
        <v>301</v>
      </c>
      <c r="B74" s="87">
        <v>2020</v>
      </c>
      <c r="C74" s="343">
        <v>408734.16499999998</v>
      </c>
      <c r="D74" s="202">
        <v>81042.070000000007</v>
      </c>
      <c r="E74" s="202">
        <v>72818.81</v>
      </c>
      <c r="F74" s="202">
        <v>72661.440000000002</v>
      </c>
      <c r="G74" s="202">
        <v>60458.184999999998</v>
      </c>
      <c r="H74" s="202">
        <v>66656.84</v>
      </c>
      <c r="I74" s="202">
        <v>55096.82</v>
      </c>
      <c r="J74" s="202">
        <v>65442.789999999994</v>
      </c>
      <c r="K74" s="202">
        <v>82049.079999999987</v>
      </c>
      <c r="L74" s="202">
        <v>88468.858999999997</v>
      </c>
      <c r="M74" s="202">
        <v>92936.85</v>
      </c>
      <c r="N74" s="202">
        <v>84569.76999999999</v>
      </c>
      <c r="O74" s="202">
        <v>76279.22</v>
      </c>
      <c r="P74" s="195">
        <v>898480.73399999982</v>
      </c>
    </row>
    <row r="75" spans="1:16" ht="12" customHeight="1">
      <c r="B75" s="87">
        <v>2021</v>
      </c>
      <c r="C75" s="343">
        <v>519791.96900000004</v>
      </c>
      <c r="D75" s="202">
        <v>84285.150000000009</v>
      </c>
      <c r="E75" s="202">
        <v>80418.759000000005</v>
      </c>
      <c r="F75" s="202">
        <v>91846.040000000008</v>
      </c>
      <c r="G75" s="202">
        <v>88740.52</v>
      </c>
      <c r="H75" s="202">
        <v>89281.19</v>
      </c>
      <c r="I75" s="202">
        <v>85220.31</v>
      </c>
      <c r="J75" s="202"/>
      <c r="K75" s="202"/>
      <c r="L75" s="202"/>
      <c r="M75" s="202"/>
      <c r="N75" s="202"/>
      <c r="O75" s="202"/>
      <c r="P75" s="195"/>
    </row>
    <row r="76" spans="1:16" ht="12" customHeight="1">
      <c r="A76" s="86" t="s">
        <v>281</v>
      </c>
      <c r="B76" s="87">
        <v>2020</v>
      </c>
      <c r="C76" s="343">
        <v>4112658.52</v>
      </c>
      <c r="D76" s="202">
        <v>258760.17800000004</v>
      </c>
      <c r="E76" s="202">
        <v>320799.96499999997</v>
      </c>
      <c r="F76" s="202">
        <v>556130.51</v>
      </c>
      <c r="G76" s="202">
        <v>1172568.3500000001</v>
      </c>
      <c r="H76" s="202">
        <v>1179859.4920000001</v>
      </c>
      <c r="I76" s="202">
        <v>624540.02500000002</v>
      </c>
      <c r="J76" s="202">
        <v>205732.60200000001</v>
      </c>
      <c r="K76" s="202">
        <v>145707.90100000001</v>
      </c>
      <c r="L76" s="202">
        <v>203409.83500000002</v>
      </c>
      <c r="M76" s="202">
        <v>243153.72499999998</v>
      </c>
      <c r="N76" s="202">
        <v>265583.37799999997</v>
      </c>
      <c r="O76" s="202">
        <v>290794.96299999999</v>
      </c>
      <c r="P76" s="195">
        <v>5467040.9239999987</v>
      </c>
    </row>
    <row r="77" spans="1:16" ht="12" customHeight="1">
      <c r="B77" s="87">
        <v>2021</v>
      </c>
      <c r="C77" s="343">
        <v>4203418.5640000002</v>
      </c>
      <c r="D77" s="202">
        <v>327005.114</v>
      </c>
      <c r="E77" s="202">
        <v>329934.26</v>
      </c>
      <c r="F77" s="202">
        <v>487571.88899999997</v>
      </c>
      <c r="G77" s="202">
        <v>1101699.9550000001</v>
      </c>
      <c r="H77" s="202">
        <v>1292053.7449999999</v>
      </c>
      <c r="I77" s="202">
        <v>665153.60099999979</v>
      </c>
      <c r="J77" s="202"/>
      <c r="K77" s="202"/>
      <c r="L77" s="202"/>
      <c r="M77" s="202"/>
      <c r="N77" s="202"/>
      <c r="O77" s="202"/>
      <c r="P77" s="195"/>
    </row>
    <row r="78" spans="1:16" ht="12" customHeight="1">
      <c r="A78" s="86" t="s">
        <v>287</v>
      </c>
      <c r="B78" s="87">
        <v>2020</v>
      </c>
      <c r="C78" s="343">
        <v>646288.902</v>
      </c>
      <c r="D78" s="202">
        <v>107760.00899999999</v>
      </c>
      <c r="E78" s="202">
        <v>102404.269</v>
      </c>
      <c r="F78" s="202">
        <v>104759.16899999999</v>
      </c>
      <c r="G78" s="202">
        <v>101545.20899999999</v>
      </c>
      <c r="H78" s="202">
        <v>119398.768</v>
      </c>
      <c r="I78" s="202">
        <v>110421.47799999999</v>
      </c>
      <c r="J78" s="202">
        <v>108663.504</v>
      </c>
      <c r="K78" s="202">
        <v>115575.95099999999</v>
      </c>
      <c r="L78" s="202">
        <v>110450.49</v>
      </c>
      <c r="M78" s="202">
        <v>121401.92799999999</v>
      </c>
      <c r="N78" s="202">
        <v>127811.355</v>
      </c>
      <c r="O78" s="202">
        <v>122295.58500000001</v>
      </c>
      <c r="P78" s="195">
        <v>1352487.7149999999</v>
      </c>
    </row>
    <row r="79" spans="1:16" ht="12" customHeight="1">
      <c r="A79" s="89"/>
      <c r="B79" s="90">
        <v>2021</v>
      </c>
      <c r="C79" s="344">
        <v>628654.6669999999</v>
      </c>
      <c r="D79" s="202">
        <v>99227.178999999989</v>
      </c>
      <c r="E79" s="202">
        <v>100269.039</v>
      </c>
      <c r="F79" s="202">
        <v>101993.519</v>
      </c>
      <c r="G79" s="202">
        <v>96148.629000000001</v>
      </c>
      <c r="H79" s="202">
        <v>116170.79</v>
      </c>
      <c r="I79" s="202">
        <v>114845.511</v>
      </c>
      <c r="J79" s="202"/>
      <c r="K79" s="202"/>
      <c r="L79" s="202"/>
      <c r="M79" s="202"/>
      <c r="N79" s="202"/>
      <c r="O79" s="202"/>
      <c r="P79" s="197"/>
    </row>
    <row r="80" spans="1:16" ht="12.75">
      <c r="A80" s="133"/>
      <c r="B80" s="97"/>
      <c r="C80" s="98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5" t="s">
        <v>152</v>
      </c>
    </row>
    <row r="81" spans="1:16" ht="14.1" customHeight="1">
      <c r="A81" s="67" t="s">
        <v>315</v>
      </c>
      <c r="B81" s="99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</row>
    <row r="82" spans="1:16" ht="15.95" customHeight="1">
      <c r="A82" s="337" t="s">
        <v>57</v>
      </c>
      <c r="B82" s="338" t="s">
        <v>89</v>
      </c>
      <c r="C82" s="348" t="s">
        <v>470</v>
      </c>
      <c r="D82" s="317" t="s">
        <v>175</v>
      </c>
      <c r="E82" s="317" t="s">
        <v>176</v>
      </c>
      <c r="F82" s="317" t="s">
        <v>177</v>
      </c>
      <c r="G82" s="317" t="s">
        <v>178</v>
      </c>
      <c r="H82" s="317" t="s">
        <v>179</v>
      </c>
      <c r="I82" s="317" t="s">
        <v>180</v>
      </c>
      <c r="J82" s="317" t="s">
        <v>181</v>
      </c>
      <c r="K82" s="317" t="s">
        <v>181</v>
      </c>
      <c r="L82" s="317" t="s">
        <v>297</v>
      </c>
      <c r="M82" s="317" t="s">
        <v>298</v>
      </c>
      <c r="N82" s="317" t="s">
        <v>173</v>
      </c>
      <c r="O82" s="317" t="s">
        <v>174</v>
      </c>
      <c r="P82" s="337" t="s">
        <v>435</v>
      </c>
    </row>
    <row r="83" spans="1:16" ht="12" customHeight="1">
      <c r="A83" s="86" t="s">
        <v>206</v>
      </c>
      <c r="B83" s="87">
        <v>2020</v>
      </c>
      <c r="C83" s="343">
        <f t="shared" ref="C83:C118" si="0">SUM(D83:I83)</f>
        <v>127434.33600000001</v>
      </c>
      <c r="D83" s="202">
        <f>[2]Camo!D148</f>
        <v>20471.730000000003</v>
      </c>
      <c r="E83" s="202">
        <f>[2]Camo!E148</f>
        <v>19216.34</v>
      </c>
      <c r="F83" s="202">
        <f>[2]Camo!F148</f>
        <v>20803.916999999998</v>
      </c>
      <c r="G83" s="202">
        <f>[2]Camo!G148</f>
        <v>22171.328999999994</v>
      </c>
      <c r="H83" s="202">
        <f>[2]Camo!H148</f>
        <v>23222.549999999996</v>
      </c>
      <c r="I83" s="202">
        <f>[2]Camo!I148</f>
        <v>21548.47</v>
      </c>
      <c r="J83" s="202">
        <v>20888.064000000002</v>
      </c>
      <c r="K83" s="202">
        <v>14804.823999999999</v>
      </c>
      <c r="L83" s="202">
        <v>16840.834999999999</v>
      </c>
      <c r="M83" s="202">
        <v>22360.152999999998</v>
      </c>
      <c r="N83" s="202">
        <v>27162.722000000002</v>
      </c>
      <c r="O83" s="202">
        <v>13843.125</v>
      </c>
      <c r="P83" s="195">
        <v>243334.05900000001</v>
      </c>
    </row>
    <row r="84" spans="1:16" ht="12" customHeight="1">
      <c r="B84" s="87">
        <v>2021</v>
      </c>
      <c r="C84" s="343">
        <f t="shared" si="0"/>
        <v>88246.646000000008</v>
      </c>
      <c r="D84" s="202">
        <f>[2]Camo!D149</f>
        <v>18565.2</v>
      </c>
      <c r="E84" s="202">
        <f>[2]Camo!E149</f>
        <v>13127.157999999999</v>
      </c>
      <c r="F84" s="202">
        <f>[2]Camo!F149</f>
        <v>14868.840000000002</v>
      </c>
      <c r="G84" s="202">
        <f>[2]Camo!G149</f>
        <v>14838.02</v>
      </c>
      <c r="H84" s="202">
        <f>[2]Camo!H149</f>
        <v>11499.172999999999</v>
      </c>
      <c r="I84" s="202">
        <f>[2]Camo!I149</f>
        <v>15348.255000000001</v>
      </c>
      <c r="J84" s="202"/>
      <c r="K84" s="202"/>
      <c r="L84" s="202"/>
      <c r="M84" s="202"/>
      <c r="N84" s="202"/>
      <c r="O84" s="202"/>
      <c r="P84" s="195"/>
    </row>
    <row r="85" spans="1:16" ht="12" customHeight="1">
      <c r="A85" s="86" t="s">
        <v>267</v>
      </c>
      <c r="B85" s="87">
        <v>2020</v>
      </c>
      <c r="C85" s="343">
        <f t="shared" si="0"/>
        <v>90630.569999999992</v>
      </c>
      <c r="D85" s="202">
        <f>[2]Oca!D148</f>
        <v>0</v>
      </c>
      <c r="E85" s="202">
        <f>[2]Oca!E148</f>
        <v>82.2</v>
      </c>
      <c r="F85" s="202">
        <f>[2]Oca!F148</f>
        <v>743.7</v>
      </c>
      <c r="G85" s="202">
        <f>[2]Oca!G148</f>
        <v>24899.988000000005</v>
      </c>
      <c r="H85" s="202">
        <f>[2]Oca!H148</f>
        <v>43689.921999999999</v>
      </c>
      <c r="I85" s="202">
        <f>[2]Oca!I148</f>
        <v>21214.76</v>
      </c>
      <c r="J85" s="202">
        <v>6444.42</v>
      </c>
      <c r="K85" s="202">
        <v>1129.8499999999999</v>
      </c>
      <c r="L85" s="202">
        <v>222.15</v>
      </c>
      <c r="M85" s="202">
        <v>0</v>
      </c>
      <c r="N85" s="202">
        <v>0</v>
      </c>
      <c r="O85" s="202">
        <v>0</v>
      </c>
      <c r="P85" s="195">
        <v>98426.989999999991</v>
      </c>
    </row>
    <row r="86" spans="1:16" ht="12" customHeight="1">
      <c r="B86" s="87">
        <v>2021</v>
      </c>
      <c r="C86" s="343">
        <f t="shared" si="0"/>
        <v>91028.007000000012</v>
      </c>
      <c r="D86" s="202">
        <f>[2]Oca!D149</f>
        <v>9.5</v>
      </c>
      <c r="E86" s="202">
        <f>[2]Oca!E149</f>
        <v>47.75</v>
      </c>
      <c r="F86" s="202">
        <f>[2]Oca!F149</f>
        <v>628.04999999999995</v>
      </c>
      <c r="G86" s="202">
        <f>[2]Oca!G149</f>
        <v>24918.815000000002</v>
      </c>
      <c r="H86" s="202">
        <f>[2]Oca!H149</f>
        <v>42837.472999999998</v>
      </c>
      <c r="I86" s="202">
        <f>[2]Oca!I149</f>
        <v>22586.419000000002</v>
      </c>
      <c r="J86" s="202"/>
      <c r="K86" s="202"/>
      <c r="L86" s="202"/>
      <c r="M86" s="202"/>
      <c r="N86" s="202"/>
      <c r="O86" s="202"/>
      <c r="P86" s="195"/>
    </row>
    <row r="87" spans="1:16" ht="12" customHeight="1">
      <c r="A87" s="86" t="s">
        <v>300</v>
      </c>
      <c r="B87" s="87">
        <v>2020</v>
      </c>
      <c r="C87" s="343">
        <f t="shared" si="0"/>
        <v>159380.71</v>
      </c>
      <c r="D87" s="202">
        <f>[2]Ollu!D148</f>
        <v>1432.3</v>
      </c>
      <c r="E87" s="202">
        <f>[2]Ollu!E148</f>
        <v>3100.9</v>
      </c>
      <c r="F87" s="202">
        <f>[2]Ollu!F148</f>
        <v>10103.08</v>
      </c>
      <c r="G87" s="202">
        <f>[2]Ollu!G148</f>
        <v>33073</v>
      </c>
      <c r="H87" s="202">
        <f>[2]Ollu!H148</f>
        <v>67468.789000000004</v>
      </c>
      <c r="I87" s="202">
        <f>[2]Ollu!I148</f>
        <v>44202.640999999996</v>
      </c>
      <c r="J87" s="202">
        <v>13991.03</v>
      </c>
      <c r="K87" s="202">
        <v>2719.5</v>
      </c>
      <c r="L87" s="202">
        <v>751.34999999999991</v>
      </c>
      <c r="M87" s="202">
        <v>500</v>
      </c>
      <c r="N87" s="202">
        <v>1131.95</v>
      </c>
      <c r="O87" s="202">
        <v>1726.4</v>
      </c>
      <c r="P87" s="195">
        <v>180200.94</v>
      </c>
    </row>
    <row r="88" spans="1:16" ht="12" customHeight="1">
      <c r="A88" s="89"/>
      <c r="B88" s="90">
        <v>2021</v>
      </c>
      <c r="C88" s="343">
        <f t="shared" si="0"/>
        <v>156937.36800000002</v>
      </c>
      <c r="D88" s="202">
        <f>[2]Ollu!D149</f>
        <v>1432.9090000000001</v>
      </c>
      <c r="E88" s="202">
        <f>[2]Ollu!E149</f>
        <v>3925.5</v>
      </c>
      <c r="F88" s="202">
        <f>[2]Ollu!F149</f>
        <v>10614.53</v>
      </c>
      <c r="G88" s="202">
        <f>[2]Ollu!G149</f>
        <v>30861.314999999999</v>
      </c>
      <c r="H88" s="202">
        <f>[2]Ollu!H149</f>
        <v>60435.164000000004</v>
      </c>
      <c r="I88" s="202">
        <f>[2]Ollu!I149</f>
        <v>49667.95</v>
      </c>
      <c r="J88" s="202"/>
      <c r="K88" s="202"/>
      <c r="L88" s="202"/>
      <c r="M88" s="202"/>
      <c r="N88" s="202"/>
      <c r="O88" s="202"/>
      <c r="P88" s="195"/>
    </row>
    <row r="89" spans="1:16" ht="12" customHeight="1">
      <c r="A89" s="86" t="s">
        <v>81</v>
      </c>
      <c r="B89" s="87">
        <v>2020</v>
      </c>
      <c r="C89" s="343">
        <f t="shared" si="0"/>
        <v>273671.39899999998</v>
      </c>
      <c r="D89" s="202">
        <f>[2]Cafe!D148</f>
        <v>535.29999999999995</v>
      </c>
      <c r="E89" s="202">
        <f>[2]Cafe!E148</f>
        <v>7776.85</v>
      </c>
      <c r="F89" s="202">
        <f>[2]Cafe!F148</f>
        <v>26569.836000000003</v>
      </c>
      <c r="G89" s="202">
        <f>[2]Cafe!G148</f>
        <v>63034.885000000002</v>
      </c>
      <c r="H89" s="202">
        <f>[2]Cafe!H148</f>
        <v>86216.84599999999</v>
      </c>
      <c r="I89" s="202">
        <f>[2]Cafe!I148</f>
        <v>89537.682000000001</v>
      </c>
      <c r="J89" s="202">
        <v>59068.631999999998</v>
      </c>
      <c r="K89" s="202">
        <v>29312.453999999998</v>
      </c>
      <c r="L89" s="202">
        <v>10575.06</v>
      </c>
      <c r="M89" s="202">
        <v>3060.0390000000002</v>
      </c>
      <c r="N89" s="202">
        <v>591</v>
      </c>
      <c r="O89" s="202">
        <v>446.29999999999995</v>
      </c>
      <c r="P89" s="195">
        <v>376724.88399999996</v>
      </c>
    </row>
    <row r="90" spans="1:16" ht="12" customHeight="1">
      <c r="B90" s="87">
        <v>2021</v>
      </c>
      <c r="C90" s="343">
        <f t="shared" si="0"/>
        <v>260733.89899999998</v>
      </c>
      <c r="D90" s="202">
        <f>[2]Cafe!D149</f>
        <v>874.5</v>
      </c>
      <c r="E90" s="202">
        <f>[2]Cafe!E149</f>
        <v>8437.0629999999983</v>
      </c>
      <c r="F90" s="202">
        <f>[2]Cafe!F149</f>
        <v>20431.613999999998</v>
      </c>
      <c r="G90" s="202">
        <f>[2]Cafe!G149</f>
        <v>55397.565999999984</v>
      </c>
      <c r="H90" s="202">
        <f>[2]Cafe!H149</f>
        <v>84833.362000000008</v>
      </c>
      <c r="I90" s="202">
        <f>[2]Cafe!I149</f>
        <v>90759.794000000009</v>
      </c>
      <c r="J90" s="202"/>
      <c r="K90" s="202"/>
      <c r="L90" s="202"/>
      <c r="M90" s="202"/>
      <c r="N90" s="202"/>
      <c r="O90" s="202"/>
      <c r="P90" s="195"/>
    </row>
    <row r="91" spans="1:16" ht="12" customHeight="1">
      <c r="A91" s="86" t="s">
        <v>255</v>
      </c>
      <c r="B91" s="87">
        <v>2020</v>
      </c>
      <c r="C91" s="343">
        <f t="shared" si="0"/>
        <v>87826.813999999998</v>
      </c>
      <c r="D91" s="202">
        <f>[2]Ccao!D148</f>
        <v>10408.768</v>
      </c>
      <c r="E91" s="202">
        <f>[2]Ccao!E148</f>
        <v>11365.271000000001</v>
      </c>
      <c r="F91" s="202">
        <f>[2]Ccao!F148</f>
        <v>12099.448000000002</v>
      </c>
      <c r="G91" s="202">
        <f>[2]Ccao!G148</f>
        <v>15463.487999999999</v>
      </c>
      <c r="H91" s="202">
        <f>[2]Ccao!H148</f>
        <v>18503.215</v>
      </c>
      <c r="I91" s="202">
        <f>[2]Ccao!I148</f>
        <v>19986.623999999996</v>
      </c>
      <c r="J91" s="202">
        <v>16720.280999999995</v>
      </c>
      <c r="K91" s="202">
        <v>13301.107</v>
      </c>
      <c r="L91" s="202">
        <v>11365.343000000001</v>
      </c>
      <c r="M91" s="202">
        <v>10665.599</v>
      </c>
      <c r="N91" s="202">
        <v>9940.0449999999983</v>
      </c>
      <c r="O91" s="202">
        <v>10469.44</v>
      </c>
      <c r="P91" s="195">
        <v>160288.62900000002</v>
      </c>
    </row>
    <row r="92" spans="1:16" ht="12" customHeight="1">
      <c r="B92" s="87">
        <v>2021</v>
      </c>
      <c r="C92" s="343">
        <f t="shared" si="0"/>
        <v>83465.75</v>
      </c>
      <c r="D92" s="202">
        <f>[2]Ccao!D149</f>
        <v>9004.8350000000009</v>
      </c>
      <c r="E92" s="202">
        <f>[2]Ccao!E149</f>
        <v>10419.571</v>
      </c>
      <c r="F92" s="202">
        <f>[2]Ccao!F149</f>
        <v>11718.077999999998</v>
      </c>
      <c r="G92" s="202">
        <f>[2]Ccao!G149</f>
        <v>13783.227999999999</v>
      </c>
      <c r="H92" s="202">
        <f>[2]Ccao!H149</f>
        <v>18556.353999999999</v>
      </c>
      <c r="I92" s="202">
        <f>[2]Ccao!I149</f>
        <v>19983.683999999997</v>
      </c>
      <c r="J92" s="202"/>
      <c r="K92" s="202"/>
      <c r="L92" s="202"/>
      <c r="M92" s="202"/>
      <c r="N92" s="202"/>
      <c r="O92" s="202"/>
      <c r="P92" s="195"/>
    </row>
    <row r="93" spans="1:16" ht="12" customHeight="1">
      <c r="A93" s="86" t="s">
        <v>45</v>
      </c>
      <c r="B93" s="87">
        <v>2020</v>
      </c>
      <c r="C93" s="343">
        <f t="shared" si="0"/>
        <v>21108.250000000004</v>
      </c>
      <c r="D93" s="202">
        <f>[2]Papr!D148</f>
        <v>4643.96</v>
      </c>
      <c r="E93" s="202">
        <f>[2]Papr!E148</f>
        <v>3615.85</v>
      </c>
      <c r="F93" s="202">
        <f>[2]Papr!F148</f>
        <v>2650.75</v>
      </c>
      <c r="G93" s="202">
        <f>[2]Papr!G148</f>
        <v>2542.6400000000003</v>
      </c>
      <c r="H93" s="202">
        <f>[2]Papr!H148</f>
        <v>3510.8500000000004</v>
      </c>
      <c r="I93" s="202">
        <f>[2]Papr!I148</f>
        <v>4144.2</v>
      </c>
      <c r="J93" s="202">
        <v>3169.8</v>
      </c>
      <c r="K93" s="202">
        <v>4108</v>
      </c>
      <c r="L93" s="202">
        <v>3306.76</v>
      </c>
      <c r="M93" s="202">
        <v>2943.6</v>
      </c>
      <c r="N93" s="202">
        <v>4264.8999999999996</v>
      </c>
      <c r="O93" s="202">
        <v>3570</v>
      </c>
      <c r="P93" s="195">
        <v>42471.310000000005</v>
      </c>
    </row>
    <row r="94" spans="1:16" ht="12" customHeight="1">
      <c r="B94" s="87">
        <v>2021</v>
      </c>
      <c r="C94" s="343">
        <f t="shared" si="0"/>
        <v>18582.168000000001</v>
      </c>
      <c r="D94" s="202">
        <f>[2]Papr!D149</f>
        <v>3170</v>
      </c>
      <c r="E94" s="202">
        <f>[2]Papr!E149</f>
        <v>4623.2340000000004</v>
      </c>
      <c r="F94" s="202">
        <f>[2]Papr!F149</f>
        <v>2052.837</v>
      </c>
      <c r="G94" s="202">
        <f>[2]Papr!G149</f>
        <v>2781.933</v>
      </c>
      <c r="H94" s="202">
        <f>[2]Papr!H149</f>
        <v>3111.59</v>
      </c>
      <c r="I94" s="202">
        <f>[2]Papr!I149</f>
        <v>2842.5740000000001</v>
      </c>
      <c r="J94" s="202"/>
      <c r="K94" s="202"/>
      <c r="L94" s="202"/>
      <c r="M94" s="202"/>
      <c r="N94" s="202"/>
      <c r="O94" s="202"/>
      <c r="P94" s="196"/>
    </row>
    <row r="95" spans="1:16" ht="12" customHeight="1">
      <c r="A95" s="86" t="s">
        <v>253</v>
      </c>
      <c r="B95" s="87">
        <v>2020</v>
      </c>
      <c r="C95" s="343">
        <f t="shared" si="0"/>
        <v>40366.896000000008</v>
      </c>
      <c r="D95" s="202">
        <f>[2]FGS!D148</f>
        <v>2430.7199999999998</v>
      </c>
      <c r="E95" s="202">
        <f>[2]FGS!E148</f>
        <v>1744.1499999999996</v>
      </c>
      <c r="F95" s="202">
        <f>[2]FGS!F148</f>
        <v>2613.3489999999997</v>
      </c>
      <c r="G95" s="202">
        <f>[2]FGS!G148</f>
        <v>4261.4679999999998</v>
      </c>
      <c r="H95" s="202">
        <f>[2]FGS!H148</f>
        <v>12485.344999999999</v>
      </c>
      <c r="I95" s="202">
        <f>[2]FGS!I148</f>
        <v>16831.864000000005</v>
      </c>
      <c r="J95" s="202">
        <v>16206.448999999997</v>
      </c>
      <c r="K95" s="202">
        <v>14177.092000000001</v>
      </c>
      <c r="L95" s="202">
        <v>7322.8919999999998</v>
      </c>
      <c r="M95" s="202">
        <v>5560.387999999999</v>
      </c>
      <c r="N95" s="202">
        <v>2595.8290000000002</v>
      </c>
      <c r="O95" s="202">
        <v>1612.9890000000003</v>
      </c>
      <c r="P95" s="195">
        <v>87842.535000000003</v>
      </c>
    </row>
    <row r="96" spans="1:16" ht="12" customHeight="1">
      <c r="A96" s="89"/>
      <c r="B96" s="90">
        <v>2021</v>
      </c>
      <c r="C96" s="343">
        <f t="shared" si="0"/>
        <v>44167.600999999995</v>
      </c>
      <c r="D96" s="202">
        <f>[2]FGS!D149</f>
        <v>2346.1089999999999</v>
      </c>
      <c r="E96" s="202">
        <f>[2]FGS!E149</f>
        <v>2666.6990000000001</v>
      </c>
      <c r="F96" s="202">
        <f>[2]FGS!F149</f>
        <v>3139.5750000000003</v>
      </c>
      <c r="G96" s="202">
        <f>[2]FGS!G149</f>
        <v>5003.7699999999995</v>
      </c>
      <c r="H96" s="202">
        <f>[2]FGS!H149</f>
        <v>10592.393999999998</v>
      </c>
      <c r="I96" s="202">
        <f>[2]FGS!I149</f>
        <v>20419.054</v>
      </c>
      <c r="J96" s="202"/>
      <c r="K96" s="202"/>
      <c r="L96" s="202"/>
      <c r="M96" s="202"/>
      <c r="N96" s="202"/>
      <c r="O96" s="202"/>
      <c r="P96" s="195"/>
    </row>
    <row r="97" spans="1:16" ht="12" customHeight="1">
      <c r="A97" s="86" t="s">
        <v>117</v>
      </c>
      <c r="B97" s="87">
        <v>2020</v>
      </c>
      <c r="C97" s="343">
        <f t="shared" si="0"/>
        <v>306.84999999999997</v>
      </c>
      <c r="D97" s="202">
        <f>[2]PGS!D148</f>
        <v>62.349999999999994</v>
      </c>
      <c r="E97" s="202">
        <f>[2]PGS!E148</f>
        <v>131.94999999999999</v>
      </c>
      <c r="F97" s="202">
        <f>[2]PGS!F148</f>
        <v>25</v>
      </c>
      <c r="G97" s="202">
        <f>[2]PGS!G148</f>
        <v>60.25</v>
      </c>
      <c r="H97" s="202">
        <f>[2]PGS!H148</f>
        <v>27.3</v>
      </c>
      <c r="I97" s="202">
        <f>[2]PGS!I148</f>
        <v>0</v>
      </c>
      <c r="J97" s="202">
        <v>47.000000000000007</v>
      </c>
      <c r="K97" s="202">
        <v>234.19</v>
      </c>
      <c r="L97" s="202">
        <v>492.8490000000001</v>
      </c>
      <c r="M97" s="202">
        <v>5016.3289999999997</v>
      </c>
      <c r="N97" s="202">
        <v>3124.12</v>
      </c>
      <c r="O97" s="202">
        <v>278.94</v>
      </c>
      <c r="P97" s="195">
        <v>9500.2780000000002</v>
      </c>
    </row>
    <row r="98" spans="1:16" ht="12" customHeight="1">
      <c r="B98" s="87">
        <v>2021</v>
      </c>
      <c r="C98" s="343">
        <f t="shared" si="0"/>
        <v>276.55</v>
      </c>
      <c r="D98" s="202">
        <f>[2]PGS!D149</f>
        <v>81</v>
      </c>
      <c r="E98" s="202">
        <f>[2]PGS!E149</f>
        <v>62.32</v>
      </c>
      <c r="F98" s="202">
        <f>[2]PGS!F149</f>
        <v>77.009999999999991</v>
      </c>
      <c r="G98" s="202">
        <f>[2]PGS!G149</f>
        <v>30.42</v>
      </c>
      <c r="H98" s="202">
        <f>[2]PGS!H149</f>
        <v>10.6</v>
      </c>
      <c r="I98" s="202">
        <f>[2]PGS!I149</f>
        <v>15.2</v>
      </c>
      <c r="J98" s="202"/>
      <c r="K98" s="202"/>
      <c r="L98" s="202"/>
      <c r="M98" s="202"/>
      <c r="N98" s="202"/>
      <c r="O98" s="202"/>
      <c r="P98" s="195"/>
    </row>
    <row r="99" spans="1:16" ht="12" customHeight="1">
      <c r="A99" s="86" t="s">
        <v>263</v>
      </c>
      <c r="B99" s="87">
        <v>2020</v>
      </c>
      <c r="C99" s="343">
        <f t="shared" si="0"/>
        <v>60128.911</v>
      </c>
      <c r="D99" s="202">
        <f>[2]HBS!D148</f>
        <v>7</v>
      </c>
      <c r="E99" s="202">
        <f>[2]HBS!E148</f>
        <v>0</v>
      </c>
      <c r="F99" s="202">
        <f>[2]HBS!F148</f>
        <v>167.2</v>
      </c>
      <c r="G99" s="202">
        <f>[2]HBS!G148</f>
        <v>12595.473999999998</v>
      </c>
      <c r="H99" s="202">
        <f>[2]HBS!H148</f>
        <v>19508.826999999997</v>
      </c>
      <c r="I99" s="202">
        <f>[2]HBS!I148</f>
        <v>27850.410000000003</v>
      </c>
      <c r="J99" s="202">
        <v>16979.644999999997</v>
      </c>
      <c r="K99" s="202">
        <v>4941.5569999999998</v>
      </c>
      <c r="L99" s="202">
        <v>374.02899999999994</v>
      </c>
      <c r="M99" s="202">
        <v>34.338999999999992</v>
      </c>
      <c r="N99" s="202">
        <v>34.22</v>
      </c>
      <c r="O99" s="202">
        <v>31.849999999999998</v>
      </c>
      <c r="P99" s="195">
        <v>82524.551000000007</v>
      </c>
    </row>
    <row r="100" spans="1:16" ht="12" customHeight="1">
      <c r="B100" s="87">
        <v>2021</v>
      </c>
      <c r="C100" s="343">
        <f t="shared" si="0"/>
        <v>56160.501000000004</v>
      </c>
      <c r="D100" s="202">
        <f>[2]HBS!D149</f>
        <v>52</v>
      </c>
      <c r="E100" s="202">
        <f>[2]HBS!E149</f>
        <v>47</v>
      </c>
      <c r="F100" s="202">
        <f>[2]HBS!F149</f>
        <v>141.6</v>
      </c>
      <c r="G100" s="202">
        <f>[2]HBS!G149</f>
        <v>12599.359999999997</v>
      </c>
      <c r="H100" s="202">
        <f>[2]HBS!H149</f>
        <v>16102.608</v>
      </c>
      <c r="I100" s="202">
        <f>[2]HBS!I149</f>
        <v>27217.933000000001</v>
      </c>
      <c r="J100" s="202"/>
      <c r="K100" s="202"/>
      <c r="L100" s="202"/>
      <c r="M100" s="202"/>
      <c r="N100" s="202"/>
      <c r="O100" s="202"/>
      <c r="P100" s="195"/>
    </row>
    <row r="101" spans="1:16" ht="12" customHeight="1">
      <c r="A101" s="86" t="s">
        <v>264</v>
      </c>
      <c r="B101" s="87">
        <v>2020</v>
      </c>
      <c r="C101" s="343">
        <f t="shared" si="0"/>
        <v>20756.093999999997</v>
      </c>
      <c r="D101" s="202">
        <f>[2]AGS!D148</f>
        <v>2.95</v>
      </c>
      <c r="E101" s="202">
        <f>[2]AGS!E148</f>
        <v>23.15</v>
      </c>
      <c r="F101" s="202">
        <f>[2]AGS!F148</f>
        <v>162.85</v>
      </c>
      <c r="G101" s="202">
        <f>[2]AGS!G148</f>
        <v>1775.6899999999998</v>
      </c>
      <c r="H101" s="202">
        <f>[2]AGS!H148</f>
        <v>6973.53</v>
      </c>
      <c r="I101" s="202">
        <f>[2]AGS!I148</f>
        <v>11817.923999999999</v>
      </c>
      <c r="J101" s="202">
        <v>10861.495000000001</v>
      </c>
      <c r="K101" s="202">
        <v>8022.2789999999986</v>
      </c>
      <c r="L101" s="202">
        <v>4230.49</v>
      </c>
      <c r="M101" s="202">
        <v>3101.87</v>
      </c>
      <c r="N101" s="202">
        <v>1614.3580000000002</v>
      </c>
      <c r="O101" s="202">
        <v>59.97</v>
      </c>
      <c r="P101" s="195">
        <v>48646.556000000004</v>
      </c>
    </row>
    <row r="102" spans="1:16" ht="12" customHeight="1">
      <c r="B102" s="87">
        <v>2021</v>
      </c>
      <c r="C102" s="343">
        <f t="shared" si="0"/>
        <v>22099.590000000004</v>
      </c>
      <c r="D102" s="202">
        <f>[2]AGS!D149</f>
        <v>29.5</v>
      </c>
      <c r="E102" s="202">
        <f>[2]AGS!E149</f>
        <v>374</v>
      </c>
      <c r="F102" s="202">
        <f>[2]AGS!F149</f>
        <v>155.75</v>
      </c>
      <c r="G102" s="202">
        <f>[2]AGS!G149</f>
        <v>1462.98</v>
      </c>
      <c r="H102" s="202">
        <f>[2]AGS!H149</f>
        <v>7867.2800000000007</v>
      </c>
      <c r="I102" s="202">
        <f>[2]AGS!I149</f>
        <v>12210.080000000002</v>
      </c>
      <c r="J102" s="202"/>
      <c r="K102" s="202"/>
      <c r="L102" s="202"/>
      <c r="M102" s="202"/>
      <c r="N102" s="202"/>
      <c r="O102" s="202"/>
      <c r="P102" s="195"/>
    </row>
    <row r="103" spans="1:16" ht="12" customHeight="1">
      <c r="A103" s="86" t="s">
        <v>82</v>
      </c>
      <c r="B103" s="87">
        <v>2020</v>
      </c>
      <c r="C103" s="343">
        <f t="shared" si="0"/>
        <v>4791396.7530000005</v>
      </c>
      <c r="D103" s="202">
        <f>[2]Caña!D148</f>
        <v>839439.69</v>
      </c>
      <c r="E103" s="202">
        <f>[2]Caña!E148</f>
        <v>752577.38800000004</v>
      </c>
      <c r="F103" s="202">
        <f>[2]Caña!F148</f>
        <v>637266.88699999999</v>
      </c>
      <c r="G103" s="202">
        <f>[2]Caña!G148</f>
        <v>719264.02299999993</v>
      </c>
      <c r="H103" s="202">
        <f>[2]Caña!H148</f>
        <v>915353.46000000008</v>
      </c>
      <c r="I103" s="202">
        <f>[2]Caña!I148</f>
        <v>927495.30500000017</v>
      </c>
      <c r="J103" s="202">
        <v>834344.04300000006</v>
      </c>
      <c r="K103" s="202">
        <v>853138.16999999993</v>
      </c>
      <c r="L103" s="202">
        <v>945559.21900000004</v>
      </c>
      <c r="M103" s="202">
        <v>1064068.581</v>
      </c>
      <c r="N103" s="202">
        <v>957564.71</v>
      </c>
      <c r="O103" s="202">
        <v>1022728.8544619308</v>
      </c>
      <c r="P103" s="195">
        <v>10468800.33046193</v>
      </c>
    </row>
    <row r="104" spans="1:16" ht="12" customHeight="1">
      <c r="A104" s="89"/>
      <c r="B104" s="90">
        <v>2021</v>
      </c>
      <c r="C104" s="343">
        <f t="shared" si="0"/>
        <v>4295766.8232284877</v>
      </c>
      <c r="D104" s="202">
        <f>[2]Caña!D149</f>
        <v>772440.49100000004</v>
      </c>
      <c r="E104" s="202">
        <f>[2]Caña!E149</f>
        <v>887496.20200000005</v>
      </c>
      <c r="F104" s="202">
        <f>[2]Caña!F149</f>
        <v>693278.31499999994</v>
      </c>
      <c r="G104" s="202">
        <f>[2]Caña!G149</f>
        <v>565258.87100000004</v>
      </c>
      <c r="H104" s="202">
        <f>[2]Caña!H149</f>
        <v>636647.43822848832</v>
      </c>
      <c r="I104" s="202">
        <f>[2]Caña!I149</f>
        <v>740645.50600000005</v>
      </c>
      <c r="J104" s="202"/>
      <c r="K104" s="202"/>
      <c r="L104" s="202"/>
      <c r="M104" s="202"/>
      <c r="N104" s="202"/>
      <c r="O104" s="202"/>
      <c r="P104" s="195"/>
    </row>
    <row r="105" spans="1:16" ht="12" customHeight="1">
      <c r="A105" s="86" t="s">
        <v>283</v>
      </c>
      <c r="B105" s="87">
        <v>2020</v>
      </c>
      <c r="C105" s="343">
        <f t="shared" si="0"/>
        <v>4398613.7520000003</v>
      </c>
      <c r="D105" s="202">
        <f>[2]Alfa!D148</f>
        <v>507928.78899999999</v>
      </c>
      <c r="E105" s="202">
        <f>[2]Alfa!E148</f>
        <v>616049.12599999993</v>
      </c>
      <c r="F105" s="202">
        <f>[2]Alfa!F148</f>
        <v>868963.1050000001</v>
      </c>
      <c r="G105" s="202">
        <f>[2]Alfa!G148</f>
        <v>1014319.7430000001</v>
      </c>
      <c r="H105" s="202">
        <f>[2]Alfa!H148</f>
        <v>833512.66200000001</v>
      </c>
      <c r="I105" s="202">
        <f>[2]Alfa!I148</f>
        <v>557840.32700000005</v>
      </c>
      <c r="J105" s="202">
        <v>427513.60500000004</v>
      </c>
      <c r="K105" s="202">
        <v>436124.70900000003</v>
      </c>
      <c r="L105" s="202">
        <v>447109.24500000005</v>
      </c>
      <c r="M105" s="202">
        <v>457884.51900000003</v>
      </c>
      <c r="N105" s="202">
        <v>458506.68000000011</v>
      </c>
      <c r="O105" s="202">
        <v>530090.72199999995</v>
      </c>
      <c r="P105" s="195">
        <v>7155843.2320000008</v>
      </c>
    </row>
    <row r="106" spans="1:16" ht="12" customHeight="1">
      <c r="A106" s="89"/>
      <c r="B106" s="90">
        <v>2021</v>
      </c>
      <c r="C106" s="343">
        <f t="shared" si="0"/>
        <v>4396468.8210000005</v>
      </c>
      <c r="D106" s="202">
        <f>[2]Alfa!D149</f>
        <v>515440.28700000001</v>
      </c>
      <c r="E106" s="202">
        <f>[2]Alfa!E149</f>
        <v>619364.81299999997</v>
      </c>
      <c r="F106" s="202">
        <f>[2]Alfa!F149</f>
        <v>882535.57199999993</v>
      </c>
      <c r="G106" s="202">
        <f>[2]Alfa!G149</f>
        <v>1019409.665</v>
      </c>
      <c r="H106" s="202">
        <f>[2]Alfa!H149</f>
        <v>842785.26299999992</v>
      </c>
      <c r="I106" s="202">
        <f>[2]Alfa!I149</f>
        <v>516933.22099999996</v>
      </c>
      <c r="J106" s="202"/>
      <c r="K106" s="202"/>
      <c r="L106" s="202"/>
      <c r="M106" s="202"/>
      <c r="N106" s="202"/>
      <c r="O106" s="202"/>
      <c r="P106" s="196"/>
    </row>
    <row r="107" spans="1:16" ht="12" customHeight="1">
      <c r="A107" s="86" t="s">
        <v>46</v>
      </c>
      <c r="B107" s="87">
        <v>2020</v>
      </c>
      <c r="C107" s="343">
        <f t="shared" si="0"/>
        <v>899670.97000000009</v>
      </c>
      <c r="D107" s="202">
        <f>[2]Chala!D148</f>
        <v>139702.51200000002</v>
      </c>
      <c r="E107" s="202">
        <f>[2]Chala!E148</f>
        <v>143891.85500000001</v>
      </c>
      <c r="F107" s="202">
        <f>[2]Chala!F148</f>
        <v>151455.959</v>
      </c>
      <c r="G107" s="202">
        <f>[2]Chala!G148</f>
        <v>162246.04500000001</v>
      </c>
      <c r="H107" s="202">
        <f>[2]Chala!H148</f>
        <v>152093.47900000002</v>
      </c>
      <c r="I107" s="202">
        <f>[2]Chala!I148</f>
        <v>150281.12</v>
      </c>
      <c r="J107" s="202">
        <v>148895.51</v>
      </c>
      <c r="K107" s="202">
        <v>169279.50599999996</v>
      </c>
      <c r="L107" s="202">
        <v>157791.26299999998</v>
      </c>
      <c r="M107" s="202">
        <v>156500.52699999997</v>
      </c>
      <c r="N107" s="202">
        <v>151498.42500000002</v>
      </c>
      <c r="O107" s="202">
        <v>145182.788</v>
      </c>
      <c r="P107" s="195">
        <v>1828818.9890000001</v>
      </c>
    </row>
    <row r="108" spans="1:16" ht="12" customHeight="1">
      <c r="B108" s="87">
        <v>2021</v>
      </c>
      <c r="C108" s="343">
        <f t="shared" si="0"/>
        <v>971468.86600000015</v>
      </c>
      <c r="D108" s="202">
        <f>[2]Chala!D149</f>
        <v>165664.91399999996</v>
      </c>
      <c r="E108" s="202">
        <f>[2]Chala!E149</f>
        <v>154897.799</v>
      </c>
      <c r="F108" s="202">
        <f>[2]Chala!F149</f>
        <v>154434.11200000002</v>
      </c>
      <c r="G108" s="202">
        <f>[2]Chala!G149</f>
        <v>169844.46100000001</v>
      </c>
      <c r="H108" s="202">
        <f>[2]Chala!H149</f>
        <v>172912.06200000001</v>
      </c>
      <c r="I108" s="202">
        <f>[2]Chala!I149</f>
        <v>153715.51799999998</v>
      </c>
      <c r="J108" s="202"/>
      <c r="K108" s="202"/>
      <c r="L108" s="202"/>
      <c r="M108" s="202"/>
      <c r="N108" s="202"/>
      <c r="O108" s="202"/>
      <c r="P108" s="195"/>
    </row>
    <row r="109" spans="1:16" ht="12" customHeight="1">
      <c r="A109" s="86" t="s">
        <v>47</v>
      </c>
      <c r="B109" s="87">
        <v>2020</v>
      </c>
      <c r="C109" s="343">
        <f t="shared" si="0"/>
        <v>408991.23100000003</v>
      </c>
      <c r="D109" s="202">
        <f>[2]Cebaf!D148</f>
        <v>2214.239</v>
      </c>
      <c r="E109" s="202">
        <f>[2]Cebaf!E148</f>
        <v>4607.5290000000005</v>
      </c>
      <c r="F109" s="202">
        <f>[2]Cebaf!F148</f>
        <v>13645.8</v>
      </c>
      <c r="G109" s="202">
        <f>[2]Cebaf!G148</f>
        <v>206829.92</v>
      </c>
      <c r="H109" s="202">
        <f>[2]Cebaf!H148</f>
        <v>175841.26499999998</v>
      </c>
      <c r="I109" s="202">
        <f>[2]Cebaf!I148</f>
        <v>5852.4780000000001</v>
      </c>
      <c r="J109" s="202">
        <v>3135.7690000000002</v>
      </c>
      <c r="K109" s="202">
        <v>2424.3490000000002</v>
      </c>
      <c r="L109" s="202">
        <v>2038.8789999999999</v>
      </c>
      <c r="M109" s="202">
        <v>1389.019</v>
      </c>
      <c r="N109" s="202">
        <v>1738.48</v>
      </c>
      <c r="O109" s="202">
        <v>1792.047</v>
      </c>
      <c r="P109" s="195">
        <v>421509.77399999998</v>
      </c>
    </row>
    <row r="110" spans="1:16" ht="12" customHeight="1">
      <c r="B110" s="87">
        <v>2021</v>
      </c>
      <c r="C110" s="343">
        <f t="shared" si="0"/>
        <v>370591.72099999996</v>
      </c>
      <c r="D110" s="202">
        <f>[2]Cebaf!D149</f>
        <v>2413.8200000000002</v>
      </c>
      <c r="E110" s="202">
        <f>[2]Cebaf!E149</f>
        <v>5032.5689999999995</v>
      </c>
      <c r="F110" s="202">
        <f>[2]Cebaf!F149</f>
        <v>12620.95</v>
      </c>
      <c r="G110" s="202">
        <f>[2]Cebaf!G149</f>
        <v>183005.21899999998</v>
      </c>
      <c r="H110" s="202">
        <f>[2]Cebaf!H149</f>
        <v>157922.81899999999</v>
      </c>
      <c r="I110" s="202">
        <f>[2]Cebaf!I149</f>
        <v>9596.344000000001</v>
      </c>
      <c r="J110" s="202"/>
      <c r="K110" s="202"/>
      <c r="L110" s="202"/>
      <c r="M110" s="202"/>
      <c r="N110" s="202"/>
      <c r="O110" s="202"/>
      <c r="P110" s="195"/>
    </row>
    <row r="111" spans="1:16" ht="12" customHeight="1">
      <c r="A111" s="86" t="s">
        <v>48</v>
      </c>
      <c r="B111" s="87">
        <v>2020</v>
      </c>
      <c r="C111" s="343">
        <f t="shared" si="0"/>
        <v>2712513.68</v>
      </c>
      <c r="D111" s="202">
        <f>[2]Avef!D148</f>
        <v>2440.549</v>
      </c>
      <c r="E111" s="202">
        <f>[2]Avef!E148</f>
        <v>7747.9789999999994</v>
      </c>
      <c r="F111" s="202">
        <f>[2]Avef!F148</f>
        <v>59410.020000000004</v>
      </c>
      <c r="G111" s="202">
        <f>[2]Avef!G148</f>
        <v>1412377.3910000001</v>
      </c>
      <c r="H111" s="202">
        <f>[2]Avef!H148</f>
        <v>1107872.334</v>
      </c>
      <c r="I111" s="202">
        <f>[2]Avef!I148</f>
        <v>122665.40700000001</v>
      </c>
      <c r="J111" s="202">
        <v>19056.989999999998</v>
      </c>
      <c r="K111" s="202">
        <v>9784.6290000000008</v>
      </c>
      <c r="L111" s="202">
        <v>4133.6399999999994</v>
      </c>
      <c r="M111" s="202">
        <v>1786.739</v>
      </c>
      <c r="N111" s="202">
        <v>1799.2990000000002</v>
      </c>
      <c r="O111" s="202">
        <v>1648.48</v>
      </c>
      <c r="P111" s="195">
        <v>2750723.4570000009</v>
      </c>
    </row>
    <row r="112" spans="1:16" ht="12" customHeight="1">
      <c r="B112" s="87">
        <v>2021</v>
      </c>
      <c r="C112" s="343">
        <f t="shared" si="0"/>
        <v>3033665.5190000008</v>
      </c>
      <c r="D112" s="202">
        <f>[2]Avef!D149</f>
        <v>1956.8790000000001</v>
      </c>
      <c r="E112" s="202">
        <f>[2]Avef!E149</f>
        <v>6194.5189999999993</v>
      </c>
      <c r="F112" s="202">
        <f>[2]Avef!F149</f>
        <v>31861.540000000005</v>
      </c>
      <c r="G112" s="202">
        <f>[2]Avef!G149</f>
        <v>1351384.3230000001</v>
      </c>
      <c r="H112" s="202">
        <f>[2]Avef!H149</f>
        <v>1427805.9300000002</v>
      </c>
      <c r="I112" s="202">
        <f>[2]Avef!I149</f>
        <v>214462.32800000001</v>
      </c>
      <c r="J112" s="202"/>
      <c r="K112" s="202"/>
      <c r="L112" s="202"/>
      <c r="M112" s="202"/>
      <c r="N112" s="202"/>
      <c r="O112" s="202"/>
      <c r="P112" s="195"/>
    </row>
    <row r="113" spans="1:17" ht="12" customHeight="1">
      <c r="A113" s="86" t="s">
        <v>285</v>
      </c>
      <c r="B113" s="87">
        <v>2020</v>
      </c>
      <c r="C113" s="343">
        <f t="shared" si="0"/>
        <v>16038.919</v>
      </c>
      <c r="D113" s="202">
        <f>[2]Algo!D148</f>
        <v>2247.79</v>
      </c>
      <c r="E113" s="202">
        <f>[2]Algo!E148</f>
        <v>1867.7</v>
      </c>
      <c r="F113" s="202">
        <f>[2]Algo!F148</f>
        <v>2359.23</v>
      </c>
      <c r="G113" s="202">
        <f>[2]Algo!G148</f>
        <v>4838.49</v>
      </c>
      <c r="H113" s="202">
        <f>[2]Algo!H148</f>
        <v>3059.8589999999999</v>
      </c>
      <c r="I113" s="202">
        <f>[2]Algo!I148</f>
        <v>1665.85</v>
      </c>
      <c r="J113" s="202">
        <v>450.94</v>
      </c>
      <c r="K113" s="202">
        <v>10.4</v>
      </c>
      <c r="L113" s="202">
        <v>1143.6369999999999</v>
      </c>
      <c r="M113" s="202">
        <v>601.84</v>
      </c>
      <c r="N113" s="202">
        <v>676.86599999999999</v>
      </c>
      <c r="O113" s="202">
        <v>350.27</v>
      </c>
      <c r="P113" s="195">
        <v>19272.871999999999</v>
      </c>
    </row>
    <row r="114" spans="1:17" ht="12" customHeight="1">
      <c r="B114" s="87">
        <v>2021</v>
      </c>
      <c r="C114" s="343">
        <f t="shared" si="0"/>
        <v>9920.8970000000008</v>
      </c>
      <c r="D114" s="202">
        <f>[2]Algo!D149</f>
        <v>782.26</v>
      </c>
      <c r="E114" s="202">
        <f>[2]Algo!E149</f>
        <v>954.3900000000001</v>
      </c>
      <c r="F114" s="202">
        <f>[2]Algo!F149</f>
        <v>1446.789</v>
      </c>
      <c r="G114" s="202">
        <f>[2]Algo!G149</f>
        <v>3988</v>
      </c>
      <c r="H114" s="202">
        <f>[2]Algo!H149</f>
        <v>2392.4380000000001</v>
      </c>
      <c r="I114" s="202">
        <f>[2]Algo!I149</f>
        <v>357.02000000000004</v>
      </c>
      <c r="J114" s="202"/>
      <c r="K114" s="202"/>
      <c r="L114" s="202"/>
      <c r="M114" s="202"/>
      <c r="N114" s="202"/>
      <c r="O114" s="202"/>
      <c r="P114" s="195"/>
    </row>
    <row r="115" spans="1:17" ht="12" customHeight="1">
      <c r="A115" s="86" t="s">
        <v>88</v>
      </c>
      <c r="B115" s="87">
        <v>2020</v>
      </c>
      <c r="C115" s="343">
        <f t="shared" si="0"/>
        <v>6707.5689999999995</v>
      </c>
      <c r="D115" s="202">
        <f>[2]Oreg!D148</f>
        <v>557.16899999999998</v>
      </c>
      <c r="E115" s="202">
        <f>[2]Oreg!E148</f>
        <v>343.18</v>
      </c>
      <c r="F115" s="202">
        <f>[2]Oreg!F148</f>
        <v>389.24999999999994</v>
      </c>
      <c r="G115" s="202">
        <f>[2]Oreg!G148</f>
        <v>2653.08</v>
      </c>
      <c r="H115" s="202">
        <f>[2]Oreg!H148</f>
        <v>2236.15</v>
      </c>
      <c r="I115" s="202">
        <f>[2]Oreg!I148</f>
        <v>528.74</v>
      </c>
      <c r="J115" s="202">
        <v>316.67</v>
      </c>
      <c r="K115" s="202">
        <v>254.54000000000002</v>
      </c>
      <c r="L115" s="202">
        <v>526.6</v>
      </c>
      <c r="M115" s="202">
        <v>1769.42</v>
      </c>
      <c r="N115" s="202">
        <v>2732.16</v>
      </c>
      <c r="O115" s="202">
        <v>1197.49</v>
      </c>
      <c r="P115" s="195">
        <v>13504.448999999999</v>
      </c>
    </row>
    <row r="116" spans="1:17" ht="12" customHeight="1">
      <c r="A116" s="89"/>
      <c r="B116" s="90">
        <v>2021</v>
      </c>
      <c r="C116" s="343">
        <f t="shared" si="0"/>
        <v>6494.8590000000004</v>
      </c>
      <c r="D116" s="202">
        <f>[2]Oreg!D149</f>
        <v>219.86</v>
      </c>
      <c r="E116" s="202">
        <f>[2]Oreg!E149</f>
        <v>237.94</v>
      </c>
      <c r="F116" s="202">
        <f>[2]Oreg!F149</f>
        <v>335.709</v>
      </c>
      <c r="G116" s="202">
        <f>[2]Oreg!G149</f>
        <v>3261.76</v>
      </c>
      <c r="H116" s="202">
        <f>[2]Oreg!H149</f>
        <v>1649.79</v>
      </c>
      <c r="I116" s="202">
        <f>[2]Oreg!I149</f>
        <v>789.8</v>
      </c>
      <c r="J116" s="202"/>
      <c r="K116" s="202"/>
      <c r="L116" s="202"/>
      <c r="M116" s="202"/>
      <c r="N116" s="202"/>
      <c r="O116" s="202"/>
      <c r="P116" s="195"/>
    </row>
    <row r="117" spans="1:17" ht="12" customHeight="1">
      <c r="A117" s="86" t="s">
        <v>171</v>
      </c>
      <c r="B117" s="87">
        <v>2020</v>
      </c>
      <c r="C117" s="343">
        <f t="shared" si="0"/>
        <v>10791.909</v>
      </c>
      <c r="D117" s="203">
        <f>[2]Aran!D148</f>
        <v>6658.3590000000004</v>
      </c>
      <c r="E117" s="203">
        <f>[2]Aran!E148</f>
        <v>1911.25</v>
      </c>
      <c r="F117" s="203">
        <f>[2]Aran!F148</f>
        <v>770.15000000000009</v>
      </c>
      <c r="G117" s="203">
        <f>[2]Aran!G148</f>
        <v>150</v>
      </c>
      <c r="H117" s="203">
        <f>[2]Aran!H148</f>
        <v>271.63</v>
      </c>
      <c r="I117" s="203">
        <f>[2]Aran!I148</f>
        <v>1030.52</v>
      </c>
      <c r="J117" s="203">
        <v>5400.54</v>
      </c>
      <c r="K117" s="203">
        <v>22337.69</v>
      </c>
      <c r="L117" s="203">
        <v>39603.200000000004</v>
      </c>
      <c r="M117" s="203">
        <v>49782.299999999996</v>
      </c>
      <c r="N117" s="203">
        <v>34786.200000000004</v>
      </c>
      <c r="O117" s="203">
        <v>19005.399999999998</v>
      </c>
      <c r="P117" s="195">
        <v>181707.239</v>
      </c>
    </row>
    <row r="118" spans="1:17" ht="12" customHeight="1">
      <c r="A118" s="91"/>
      <c r="B118" s="88">
        <v>2021</v>
      </c>
      <c r="C118" s="344">
        <f t="shared" si="0"/>
        <v>13365.7</v>
      </c>
      <c r="D118" s="204">
        <f>[2]Aran!D149</f>
        <v>5697.6</v>
      </c>
      <c r="E118" s="204">
        <f>[2]Aran!E149</f>
        <v>2708.5</v>
      </c>
      <c r="F118" s="204">
        <f>[2]Aran!F149</f>
        <v>2126.6</v>
      </c>
      <c r="G118" s="204">
        <f>[2]Aran!G149</f>
        <v>819.8</v>
      </c>
      <c r="H118" s="204">
        <f>[2]Aran!H149</f>
        <v>460</v>
      </c>
      <c r="I118" s="204">
        <f>[2]Aran!I149</f>
        <v>1553.2</v>
      </c>
      <c r="J118" s="204"/>
      <c r="K118" s="204"/>
      <c r="L118" s="204"/>
      <c r="M118" s="204"/>
      <c r="N118" s="204"/>
      <c r="O118" s="204"/>
      <c r="P118" s="197"/>
    </row>
    <row r="119" spans="1:17" ht="9" customHeight="1">
      <c r="A119" s="137" t="s">
        <v>91</v>
      </c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</row>
    <row r="120" spans="1:17" ht="9" customHeight="1">
      <c r="A120" s="137" t="s">
        <v>98</v>
      </c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</row>
    <row r="121" spans="1:17" ht="9" customHeight="1">
      <c r="A121" s="241" t="s">
        <v>360</v>
      </c>
      <c r="B121" s="241"/>
      <c r="C121" s="241"/>
      <c r="D121" s="241"/>
      <c r="E121" s="202"/>
      <c r="F121" s="241"/>
      <c r="G121" s="241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C6" sqref="C6:L7"/>
    </sheetView>
  </sheetViews>
  <sheetFormatPr baseColWidth="10" defaultColWidth="10.7109375" defaultRowHeight="17.25" customHeight="1"/>
  <cols>
    <col min="1" max="1" width="10.85546875" style="162" customWidth="1"/>
    <col min="2" max="3" width="5.7109375" style="162" customWidth="1"/>
    <col min="4" max="7" width="6.7109375" style="162" customWidth="1"/>
    <col min="8" max="8" width="6" style="162" customWidth="1"/>
    <col min="9" max="12" width="6.7109375" style="162" customWidth="1"/>
    <col min="13" max="13" width="10.85546875" style="162" customWidth="1"/>
    <col min="14" max="14" width="5.85546875" style="162" customWidth="1"/>
    <col min="15" max="15" width="6.28515625" style="162" customWidth="1"/>
    <col min="16" max="16" width="7.42578125" style="162" bestFit="1" customWidth="1"/>
    <col min="17" max="17" width="6" style="162" customWidth="1"/>
    <col min="18" max="18" width="6.7109375" style="162" customWidth="1"/>
    <col min="19" max="19" width="7" style="162" customWidth="1"/>
    <col min="20" max="20" width="6.140625" style="162" customWidth="1"/>
    <col min="21" max="21" width="5.85546875" style="162" customWidth="1"/>
    <col min="22" max="22" width="6.28515625" style="162" customWidth="1"/>
    <col min="23" max="23" width="6.140625" style="162" customWidth="1"/>
    <col min="24" max="24" width="6.28515625" style="162" customWidth="1"/>
    <col min="25" max="25" width="10.85546875" style="162" customWidth="1"/>
    <col min="26" max="26" width="5.42578125" style="162" customWidth="1"/>
    <col min="27" max="27" width="6" style="162" customWidth="1"/>
    <col min="28" max="30" width="7.85546875" style="162" customWidth="1"/>
    <col min="31" max="31" width="8.140625" style="162" customWidth="1"/>
    <col min="32" max="32" width="8" style="162" bestFit="1" customWidth="1"/>
    <col min="33" max="33" width="6.28515625" style="162" customWidth="1"/>
    <col min="34" max="34" width="7.140625" style="162" customWidth="1"/>
    <col min="35" max="35" width="7" style="162" customWidth="1"/>
    <col min="36" max="37" width="8.85546875" style="162" customWidth="1"/>
    <col min="38" max="16384" width="10.7109375" style="162"/>
  </cols>
  <sheetData>
    <row r="1" spans="1:35" ht="16.350000000000001" customHeight="1">
      <c r="A1" s="174" t="s">
        <v>314</v>
      </c>
      <c r="B1" s="175"/>
      <c r="C1" s="175"/>
      <c r="D1" s="175"/>
      <c r="E1" s="79"/>
      <c r="F1" s="79"/>
      <c r="G1" s="79"/>
      <c r="H1" s="79"/>
      <c r="I1" s="79"/>
      <c r="J1" s="65"/>
      <c r="K1" s="65"/>
      <c r="L1" s="65"/>
    </row>
    <row r="2" spans="1:35" ht="11.1" customHeight="1">
      <c r="A2" s="230" t="s">
        <v>449</v>
      </c>
      <c r="B2" s="80"/>
      <c r="C2" s="80"/>
      <c r="D2" s="156"/>
      <c r="E2" s="80"/>
      <c r="F2" s="80"/>
      <c r="G2" s="80"/>
      <c r="H2" s="80"/>
      <c r="I2" s="80"/>
      <c r="J2" s="11"/>
      <c r="K2" s="11"/>
      <c r="L2" s="11"/>
      <c r="N2" s="11"/>
      <c r="O2" s="11"/>
      <c r="P2" s="66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30" t="s">
        <v>482</v>
      </c>
      <c r="B3" s="80"/>
      <c r="D3" s="24"/>
      <c r="E3" s="24"/>
      <c r="F3" s="24"/>
      <c r="M3" s="67" t="s">
        <v>313</v>
      </c>
      <c r="N3" s="65"/>
      <c r="O3" s="65"/>
      <c r="P3" s="65"/>
      <c r="Q3" s="65"/>
      <c r="R3" s="65"/>
      <c r="S3" s="65"/>
      <c r="T3" s="65"/>
      <c r="U3" s="65"/>
      <c r="V3" s="65"/>
      <c r="W3" s="22"/>
      <c r="X3" s="22"/>
      <c r="Y3" s="67" t="s">
        <v>313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367" t="s">
        <v>49</v>
      </c>
      <c r="B5" s="367" t="s">
        <v>121</v>
      </c>
      <c r="C5" s="367" t="s">
        <v>256</v>
      </c>
      <c r="D5" s="367" t="s">
        <v>238</v>
      </c>
      <c r="E5" s="367" t="s">
        <v>75</v>
      </c>
      <c r="F5" s="367" t="s">
        <v>280</v>
      </c>
      <c r="G5" s="367" t="s">
        <v>147</v>
      </c>
      <c r="H5" s="367" t="s">
        <v>62</v>
      </c>
      <c r="I5" s="367" t="s">
        <v>215</v>
      </c>
      <c r="J5" s="367" t="s">
        <v>268</v>
      </c>
      <c r="K5" s="367" t="s">
        <v>145</v>
      </c>
      <c r="L5" s="367" t="s">
        <v>266</v>
      </c>
      <c r="M5" s="367" t="s">
        <v>49</v>
      </c>
      <c r="N5" s="367" t="s">
        <v>121</v>
      </c>
      <c r="O5" s="367" t="s">
        <v>76</v>
      </c>
      <c r="P5" s="367" t="s">
        <v>265</v>
      </c>
      <c r="Q5" s="367" t="s">
        <v>262</v>
      </c>
      <c r="R5" s="367" t="s">
        <v>288</v>
      </c>
      <c r="S5" s="367" t="s">
        <v>239</v>
      </c>
      <c r="T5" s="367" t="s">
        <v>281</v>
      </c>
      <c r="U5" s="367" t="s">
        <v>287</v>
      </c>
      <c r="V5" s="367" t="s">
        <v>206</v>
      </c>
      <c r="W5" s="367" t="s">
        <v>267</v>
      </c>
      <c r="X5" s="367" t="s">
        <v>300</v>
      </c>
      <c r="Y5" s="367" t="s">
        <v>49</v>
      </c>
      <c r="Z5" s="367" t="s">
        <v>121</v>
      </c>
      <c r="AA5" s="367" t="s">
        <v>45</v>
      </c>
      <c r="AB5" s="367" t="s">
        <v>119</v>
      </c>
      <c r="AC5" s="367" t="s">
        <v>483</v>
      </c>
      <c r="AD5" s="367" t="s">
        <v>484</v>
      </c>
      <c r="AE5" s="367" t="s">
        <v>485</v>
      </c>
      <c r="AF5" s="367" t="s">
        <v>82</v>
      </c>
      <c r="AG5" s="367" t="s">
        <v>433</v>
      </c>
      <c r="AH5" s="367" t="s">
        <v>47</v>
      </c>
      <c r="AI5" s="367" t="s">
        <v>48</v>
      </c>
    </row>
    <row r="6" spans="1:35" ht="11.1" customHeight="1">
      <c r="A6" s="524" t="s">
        <v>182</v>
      </c>
      <c r="B6" s="333" t="s">
        <v>345</v>
      </c>
      <c r="C6" s="345">
        <v>1596.8472149336533</v>
      </c>
      <c r="D6" s="345">
        <v>4603.0194277550509</v>
      </c>
      <c r="E6" s="345">
        <v>1697.762980476796</v>
      </c>
      <c r="F6" s="345">
        <v>8900.2302463166834</v>
      </c>
      <c r="G6" s="345">
        <v>1512.0104228935791</v>
      </c>
      <c r="H6" s="345">
        <v>1409.9605186328697</v>
      </c>
      <c r="I6" s="345">
        <v>10571.378187507929</v>
      </c>
      <c r="J6" s="345">
        <v>29863.247863247863</v>
      </c>
      <c r="K6" s="345">
        <v>44047.698847198109</v>
      </c>
      <c r="L6" s="345">
        <v>24819.654601146565</v>
      </c>
      <c r="M6" s="524" t="s">
        <v>182</v>
      </c>
      <c r="N6" s="333" t="s">
        <v>345</v>
      </c>
      <c r="O6" s="345">
        <v>4138.4988357621733</v>
      </c>
      <c r="P6" s="345">
        <v>23364.448823344843</v>
      </c>
      <c r="Q6" s="345">
        <v>8195.8087985642924</v>
      </c>
      <c r="R6" s="345">
        <v>35146.151599178709</v>
      </c>
      <c r="S6" s="345">
        <v>8770.2136479293877</v>
      </c>
      <c r="T6" s="345">
        <v>15435.609977719158</v>
      </c>
      <c r="U6" s="345">
        <v>12475.511865741648</v>
      </c>
      <c r="V6" s="345">
        <v>18104.425580883242</v>
      </c>
      <c r="W6" s="345">
        <v>7276.3494038778053</v>
      </c>
      <c r="X6" s="345">
        <v>7080.8019956594862</v>
      </c>
      <c r="Y6" s="524" t="s">
        <v>182</v>
      </c>
      <c r="Z6" s="333" t="s">
        <v>345</v>
      </c>
      <c r="AA6" s="345">
        <v>5992.4059616749464</v>
      </c>
      <c r="AB6" s="345">
        <v>1294.1944647050811</v>
      </c>
      <c r="AC6" s="345">
        <v>1573.5897435897434</v>
      </c>
      <c r="AD6" s="345">
        <v>1500.4394598020674</v>
      </c>
      <c r="AE6" s="345">
        <v>1373.6660489741892</v>
      </c>
      <c r="AF6" s="345">
        <v>125375.11688557916</v>
      </c>
      <c r="AG6" s="345">
        <v>50828.868361581925</v>
      </c>
      <c r="AH6" s="345">
        <v>22182.575240677965</v>
      </c>
      <c r="AI6" s="345">
        <v>26211.53125688804</v>
      </c>
    </row>
    <row r="7" spans="1:35" ht="11.1" customHeight="1">
      <c r="A7" s="525"/>
      <c r="B7" s="334" t="s">
        <v>353</v>
      </c>
      <c r="C7" s="323">
        <v>1614.6844923655833</v>
      </c>
      <c r="D7" s="323">
        <v>4753.8455089159643</v>
      </c>
      <c r="E7" s="323">
        <v>1824.7282511716103</v>
      </c>
      <c r="F7" s="323">
        <v>8937.538496457797</v>
      </c>
      <c r="G7" s="323">
        <v>1541.70090004903</v>
      </c>
      <c r="H7" s="323">
        <v>1498.9358426846561</v>
      </c>
      <c r="I7" s="323">
        <v>10714.964688882868</v>
      </c>
      <c r="J7" s="323">
        <v>30430.730158730159</v>
      </c>
      <c r="K7" s="323">
        <v>44553.457988600843</v>
      </c>
      <c r="L7" s="323">
        <v>25512.558144710776</v>
      </c>
      <c r="M7" s="525"/>
      <c r="N7" s="334" t="s">
        <v>353</v>
      </c>
      <c r="O7" s="323">
        <v>4077.7432523209932</v>
      </c>
      <c r="P7" s="323">
        <v>22729.390240827131</v>
      </c>
      <c r="Q7" s="323">
        <v>8749.189651066692</v>
      </c>
      <c r="R7" s="323">
        <v>37269.353495806019</v>
      </c>
      <c r="S7" s="323">
        <v>8767.6243188234912</v>
      </c>
      <c r="T7" s="323">
        <v>16171.195940219064</v>
      </c>
      <c r="U7" s="323">
        <v>12688.597644356578</v>
      </c>
      <c r="V7" s="323">
        <v>16950.396548710472</v>
      </c>
      <c r="W7" s="323">
        <v>8181.7779555443713</v>
      </c>
      <c r="X7" s="323">
        <v>7696.3282200164767</v>
      </c>
      <c r="Y7" s="525"/>
      <c r="Z7" s="334" t="s">
        <v>353</v>
      </c>
      <c r="AA7" s="323">
        <v>6359.4004106776174</v>
      </c>
      <c r="AB7" s="323">
        <v>1347.2201133166081</v>
      </c>
      <c r="AC7" s="323">
        <v>1133.4016393442623</v>
      </c>
      <c r="AD7" s="323">
        <v>1627.2628124796267</v>
      </c>
      <c r="AE7" s="323">
        <v>1580.6873614190688</v>
      </c>
      <c r="AF7" s="323">
        <v>136901.48385997332</v>
      </c>
      <c r="AG7" s="323">
        <v>51221.600021090373</v>
      </c>
      <c r="AH7" s="323">
        <v>21486.069167439706</v>
      </c>
      <c r="AI7" s="323">
        <v>27698.839323540586</v>
      </c>
    </row>
    <row r="8" spans="1:35" ht="11.1" customHeight="1">
      <c r="A8" s="13" t="s">
        <v>23</v>
      </c>
      <c r="B8" s="157" t="s">
        <v>346</v>
      </c>
      <c r="C8" s="223">
        <v>949.7</v>
      </c>
      <c r="D8" s="224">
        <v>2432.7538792441237</v>
      </c>
      <c r="E8" s="224">
        <v>840.06475111290979</v>
      </c>
      <c r="F8" s="224">
        <v>9023.1515417098217</v>
      </c>
      <c r="G8" s="223">
        <v>960</v>
      </c>
      <c r="H8" s="223">
        <v>0</v>
      </c>
      <c r="I8" s="224">
        <v>6845.454545454546</v>
      </c>
      <c r="J8" s="223">
        <v>0</v>
      </c>
      <c r="K8" s="224">
        <v>8281.6993464052302</v>
      </c>
      <c r="L8" s="224">
        <v>11262.5</v>
      </c>
      <c r="M8" s="13" t="s">
        <v>23</v>
      </c>
      <c r="N8" s="157" t="s">
        <v>346</v>
      </c>
      <c r="O8" s="224">
        <v>2428.8435374149658</v>
      </c>
      <c r="P8" s="224">
        <v>12341.904761904761</v>
      </c>
      <c r="Q8" s="224">
        <v>5800</v>
      </c>
      <c r="R8" s="224">
        <v>7000</v>
      </c>
      <c r="S8" s="224">
        <v>6064.8021828103683</v>
      </c>
      <c r="T8" s="224">
        <v>18617.851278079008</v>
      </c>
      <c r="U8" s="224">
        <v>16937.9063405214</v>
      </c>
      <c r="V8" s="224">
        <v>7369.5652173913049</v>
      </c>
      <c r="W8" s="224">
        <v>6002.3529411764703</v>
      </c>
      <c r="X8" s="224">
        <v>6555.52</v>
      </c>
      <c r="Y8" s="13" t="s">
        <v>23</v>
      </c>
      <c r="Z8" s="157" t="s">
        <v>346</v>
      </c>
      <c r="AA8" s="223">
        <v>0</v>
      </c>
      <c r="AB8" s="224">
        <v>691.20641282565123</v>
      </c>
      <c r="AC8" s="223">
        <v>0</v>
      </c>
      <c r="AD8" s="224">
        <v>809.71830985915483</v>
      </c>
      <c r="AE8" s="224">
        <v>850.46511627906989</v>
      </c>
      <c r="AF8" s="223">
        <v>0</v>
      </c>
      <c r="AG8" s="223">
        <v>0</v>
      </c>
      <c r="AH8" s="223">
        <v>0</v>
      </c>
      <c r="AI8" s="223">
        <v>0</v>
      </c>
    </row>
    <row r="9" spans="1:35" ht="11.1" customHeight="1">
      <c r="A9" s="13"/>
      <c r="B9" s="157" t="s">
        <v>355</v>
      </c>
      <c r="C9" s="223">
        <v>2210</v>
      </c>
      <c r="D9" s="224">
        <v>2653.5441606303211</v>
      </c>
      <c r="E9" s="224">
        <v>1184.2214820982513</v>
      </c>
      <c r="F9" s="224">
        <v>9237.7662838607866</v>
      </c>
      <c r="G9" s="223">
        <v>960.00000000000011</v>
      </c>
      <c r="H9" s="223">
        <v>0</v>
      </c>
      <c r="I9" s="224">
        <v>7332.5</v>
      </c>
      <c r="J9" s="223">
        <v>0</v>
      </c>
      <c r="K9" s="224">
        <v>8138.4105960264887</v>
      </c>
      <c r="L9" s="224">
        <v>14844.999999999998</v>
      </c>
      <c r="M9" s="13"/>
      <c r="N9" s="157" t="s">
        <v>355</v>
      </c>
      <c r="O9" s="224">
        <v>2734.4240837696343</v>
      </c>
      <c r="P9" s="224">
        <v>11811.401273885351</v>
      </c>
      <c r="Q9" s="224">
        <v>5650</v>
      </c>
      <c r="R9" s="224">
        <v>7000</v>
      </c>
      <c r="S9" s="224">
        <v>5710.9665427509299</v>
      </c>
      <c r="T9" s="224">
        <v>20624.704892489874</v>
      </c>
      <c r="U9" s="224">
        <v>18279.330855018587</v>
      </c>
      <c r="V9" s="224">
        <v>7305.5555555555557</v>
      </c>
      <c r="W9" s="224">
        <v>7354.6875</v>
      </c>
      <c r="X9" s="224">
        <v>7803.3087557603694</v>
      </c>
      <c r="Y9" s="13"/>
      <c r="Z9" s="157" t="s">
        <v>355</v>
      </c>
      <c r="AA9" s="223">
        <v>0</v>
      </c>
      <c r="AB9" s="224">
        <v>831.89210630702098</v>
      </c>
      <c r="AC9" s="223">
        <v>0</v>
      </c>
      <c r="AD9" s="224">
        <v>1375.6097560975609</v>
      </c>
      <c r="AE9" s="224">
        <v>1103.818181818182</v>
      </c>
      <c r="AF9" s="223">
        <v>0</v>
      </c>
      <c r="AG9" s="223">
        <v>0</v>
      </c>
      <c r="AH9" s="223">
        <v>0</v>
      </c>
      <c r="AI9" s="223">
        <v>0</v>
      </c>
    </row>
    <row r="10" spans="1:35" ht="11.1" customHeight="1">
      <c r="A10" s="13" t="s">
        <v>24</v>
      </c>
      <c r="B10" s="159" t="s">
        <v>346</v>
      </c>
      <c r="C10" s="223">
        <v>992.92214357937314</v>
      </c>
      <c r="D10" s="224">
        <v>10997.637666992505</v>
      </c>
      <c r="E10" s="224">
        <v>1303.1908396946565</v>
      </c>
      <c r="F10" s="224">
        <v>12017.241379310346</v>
      </c>
      <c r="G10" s="223">
        <v>1006.4516129032257</v>
      </c>
      <c r="H10" s="223">
        <v>1062.9629629629628</v>
      </c>
      <c r="I10" s="224">
        <v>5330.2325581395344</v>
      </c>
      <c r="J10" s="223">
        <v>0</v>
      </c>
      <c r="K10" s="224">
        <v>21604.395604395606</v>
      </c>
      <c r="L10" s="224">
        <v>38919.191919191915</v>
      </c>
      <c r="M10" s="13" t="s">
        <v>24</v>
      </c>
      <c r="N10" s="159" t="s">
        <v>346</v>
      </c>
      <c r="O10" s="224">
        <v>3673.7430167597763</v>
      </c>
      <c r="P10" s="224">
        <v>19869.565217391304</v>
      </c>
      <c r="Q10" s="224">
        <v>5117.6470588235288</v>
      </c>
      <c r="R10" s="224">
        <v>21078.431372549021</v>
      </c>
      <c r="S10" s="224">
        <v>12734.851621808144</v>
      </c>
      <c r="T10" s="224">
        <v>11725.817115768465</v>
      </c>
      <c r="U10" s="224">
        <v>21012.6582278481</v>
      </c>
      <c r="V10" s="224">
        <v>20553.699284009548</v>
      </c>
      <c r="W10" s="224">
        <v>4039.5348837209299</v>
      </c>
      <c r="X10" s="224">
        <v>4686.0201511335017</v>
      </c>
      <c r="Y10" s="13" t="s">
        <v>24</v>
      </c>
      <c r="Z10" s="159" t="s">
        <v>346</v>
      </c>
      <c r="AA10" s="223">
        <v>5309.782608695652</v>
      </c>
      <c r="AB10" s="224">
        <v>1342.0758928571429</v>
      </c>
      <c r="AC10" s="223">
        <v>1366.6666666666667</v>
      </c>
      <c r="AD10" s="224">
        <v>1029.243937232525</v>
      </c>
      <c r="AE10" s="224">
        <v>1015.3465346534654</v>
      </c>
      <c r="AF10" s="223">
        <v>148704.47164537178</v>
      </c>
      <c r="AG10" s="223">
        <v>20663.716814159292</v>
      </c>
      <c r="AH10" s="223">
        <v>0</v>
      </c>
      <c r="AI10" s="223">
        <v>0</v>
      </c>
    </row>
    <row r="11" spans="1:35" ht="11.1" customHeight="1">
      <c r="A11" s="13"/>
      <c r="B11" s="159" t="s">
        <v>355</v>
      </c>
      <c r="C11" s="223">
        <v>1003.4227039361094</v>
      </c>
      <c r="D11" s="224">
        <v>11049.849049902326</v>
      </c>
      <c r="E11" s="224">
        <v>1274.7643979057593</v>
      </c>
      <c r="F11" s="224">
        <v>12482.845610494451</v>
      </c>
      <c r="G11" s="223">
        <v>1000</v>
      </c>
      <c r="H11" s="223">
        <v>1028.7878787878788</v>
      </c>
      <c r="I11" s="224">
        <v>5300</v>
      </c>
      <c r="J11" s="223">
        <v>0</v>
      </c>
      <c r="K11" s="224">
        <v>21089.74358974359</v>
      </c>
      <c r="L11" s="224">
        <v>40945.205479452059</v>
      </c>
      <c r="M11" s="13"/>
      <c r="N11" s="159" t="s">
        <v>355</v>
      </c>
      <c r="O11" s="224">
        <v>3632.7014218009481</v>
      </c>
      <c r="P11" s="224">
        <v>20666.666666666668</v>
      </c>
      <c r="Q11" s="224">
        <v>5333.333333333333</v>
      </c>
      <c r="R11" s="224">
        <v>20500</v>
      </c>
      <c r="S11" s="224">
        <v>13374.238657551276</v>
      </c>
      <c r="T11" s="224">
        <v>12357.439903846152</v>
      </c>
      <c r="U11" s="224">
        <v>20188.118811881188</v>
      </c>
      <c r="V11" s="224">
        <v>20640.826873385013</v>
      </c>
      <c r="W11" s="224">
        <v>4145.5172413793098</v>
      </c>
      <c r="X11" s="224">
        <v>4669.2779783393498</v>
      </c>
      <c r="Y11" s="13"/>
      <c r="Z11" s="159" t="s">
        <v>355</v>
      </c>
      <c r="AA11" s="223">
        <v>5082.5082508250825</v>
      </c>
      <c r="AB11" s="224">
        <v>1387.0786516853932</v>
      </c>
      <c r="AC11" s="223">
        <v>1318.181818181818</v>
      </c>
      <c r="AD11" s="224">
        <v>1013.3689839572193</v>
      </c>
      <c r="AE11" s="224">
        <v>1014.7058823529411</v>
      </c>
      <c r="AF11" s="223">
        <v>125973.77664381887</v>
      </c>
      <c r="AG11" s="223">
        <v>20570.281124497993</v>
      </c>
      <c r="AH11" s="223">
        <v>0</v>
      </c>
      <c r="AI11" s="223">
        <v>0</v>
      </c>
    </row>
    <row r="12" spans="1:35" ht="11.1" customHeight="1">
      <c r="A12" s="13" t="s">
        <v>25</v>
      </c>
      <c r="B12" s="159" t="s">
        <v>346</v>
      </c>
      <c r="C12" s="223">
        <v>2002.3691865559176</v>
      </c>
      <c r="D12" s="224">
        <v>2480.9581355200689</v>
      </c>
      <c r="E12" s="224">
        <v>2215.0134048257373</v>
      </c>
      <c r="F12" s="224">
        <v>0</v>
      </c>
      <c r="G12" s="223">
        <v>2187.4658085277556</v>
      </c>
      <c r="H12" s="223">
        <v>2287.9874147876244</v>
      </c>
      <c r="I12" s="224">
        <v>3600</v>
      </c>
      <c r="J12" s="223">
        <v>0</v>
      </c>
      <c r="K12" s="224">
        <v>14986.394557823129</v>
      </c>
      <c r="L12" s="224">
        <v>15550.26455026455</v>
      </c>
      <c r="M12" s="13" t="s">
        <v>25</v>
      </c>
      <c r="N12" s="159" t="s">
        <v>346</v>
      </c>
      <c r="O12" s="224">
        <v>3649.0680867249898</v>
      </c>
      <c r="P12" s="224">
        <v>8431.3883299798799</v>
      </c>
      <c r="Q12" s="224">
        <v>6420.3576341127937</v>
      </c>
      <c r="R12" s="224">
        <v>7267.0718627100468</v>
      </c>
      <c r="S12" s="224">
        <v>8140.2807203389821</v>
      </c>
      <c r="T12" s="224">
        <v>18934.861918647639</v>
      </c>
      <c r="U12" s="224">
        <v>27727.272727272728</v>
      </c>
      <c r="V12" s="224">
        <v>11038.759689922481</v>
      </c>
      <c r="W12" s="224">
        <v>8709.3898126551794</v>
      </c>
      <c r="X12" s="224">
        <v>9804.1903670663341</v>
      </c>
      <c r="Y12" s="13" t="s">
        <v>25</v>
      </c>
      <c r="Z12" s="159" t="s">
        <v>346</v>
      </c>
      <c r="AA12" s="223">
        <v>0</v>
      </c>
      <c r="AB12" s="224">
        <v>2182.4289845211774</v>
      </c>
      <c r="AC12" s="223">
        <v>4333.333333333333</v>
      </c>
      <c r="AD12" s="224">
        <v>2112.333911945716</v>
      </c>
      <c r="AE12" s="224">
        <v>1935.1168224299067</v>
      </c>
      <c r="AF12" s="223">
        <v>0</v>
      </c>
      <c r="AG12" s="223">
        <v>0</v>
      </c>
      <c r="AH12" s="223">
        <v>15980.749746707193</v>
      </c>
      <c r="AI12" s="223">
        <v>13372.972972972972</v>
      </c>
    </row>
    <row r="13" spans="1:35" ht="11.1" customHeight="1">
      <c r="A13" s="13"/>
      <c r="B13" s="159" t="s">
        <v>355</v>
      </c>
      <c r="C13" s="223">
        <v>2123.9578947368423</v>
      </c>
      <c r="D13" s="224">
        <v>2560.3930911256703</v>
      </c>
      <c r="E13" s="224">
        <v>2259.2699835732383</v>
      </c>
      <c r="F13" s="224">
        <v>0</v>
      </c>
      <c r="G13" s="223">
        <v>2609.1793754538853</v>
      </c>
      <c r="H13" s="223">
        <v>2302.241486068111</v>
      </c>
      <c r="I13" s="224">
        <v>4000</v>
      </c>
      <c r="J13" s="223">
        <v>0</v>
      </c>
      <c r="K13" s="224">
        <v>19164.179104477611</v>
      </c>
      <c r="L13" s="224">
        <v>25580.459770114943</v>
      </c>
      <c r="M13" s="13"/>
      <c r="N13" s="159" t="s">
        <v>355</v>
      </c>
      <c r="O13" s="224">
        <v>3648.0293619424051</v>
      </c>
      <c r="P13" s="224">
        <v>9895.8115183246064</v>
      </c>
      <c r="Q13" s="224">
        <v>4946.3414634146338</v>
      </c>
      <c r="R13" s="224">
        <v>9413.698630136987</v>
      </c>
      <c r="S13" s="224">
        <v>6665.5966503838108</v>
      </c>
      <c r="T13" s="224">
        <v>18029.279646808987</v>
      </c>
      <c r="U13" s="224">
        <v>16357.142857142857</v>
      </c>
      <c r="V13" s="224">
        <v>12636.363636363636</v>
      </c>
      <c r="W13" s="224">
        <v>9561.4901256732483</v>
      </c>
      <c r="X13" s="224">
        <v>10801.355932203389</v>
      </c>
      <c r="Y13" s="13"/>
      <c r="Z13" s="159" t="s">
        <v>355</v>
      </c>
      <c r="AA13" s="223">
        <v>0</v>
      </c>
      <c r="AB13" s="224">
        <v>2153.8709677419351</v>
      </c>
      <c r="AC13" s="223">
        <v>3000</v>
      </c>
      <c r="AD13" s="224">
        <v>2243.3645266594126</v>
      </c>
      <c r="AE13" s="224">
        <v>3055.2733900364519</v>
      </c>
      <c r="AF13" s="223">
        <v>0</v>
      </c>
      <c r="AG13" s="223">
        <v>0</v>
      </c>
      <c r="AH13" s="223">
        <v>12796.204933586336</v>
      </c>
      <c r="AI13" s="223">
        <v>10760.653734534901</v>
      </c>
    </row>
    <row r="14" spans="1:35" ht="11.1" customHeight="1">
      <c r="A14" s="13" t="s">
        <v>26</v>
      </c>
      <c r="B14" s="159" t="s">
        <v>346</v>
      </c>
      <c r="C14" s="223">
        <v>2770.7567567567557</v>
      </c>
      <c r="D14" s="224">
        <v>7156.2727272727279</v>
      </c>
      <c r="E14" s="224">
        <v>3118.6498685363717</v>
      </c>
      <c r="F14" s="224">
        <v>13441.882569848249</v>
      </c>
      <c r="G14" s="223">
        <v>3186.7054794520545</v>
      </c>
      <c r="H14" s="223">
        <v>3336.4232715008434</v>
      </c>
      <c r="I14" s="224">
        <v>4904.1401273885349</v>
      </c>
      <c r="J14" s="223">
        <v>0</v>
      </c>
      <c r="K14" s="224">
        <v>51622.828125</v>
      </c>
      <c r="L14" s="224">
        <v>39599.320916905446</v>
      </c>
      <c r="M14" s="13" t="s">
        <v>26</v>
      </c>
      <c r="N14" s="159" t="s">
        <v>346</v>
      </c>
      <c r="O14" s="224">
        <v>9202.6627497062273</v>
      </c>
      <c r="P14" s="224">
        <v>44920.291313559319</v>
      </c>
      <c r="Q14" s="224">
        <v>18596.971774193549</v>
      </c>
      <c r="R14" s="224">
        <v>40508.048071548343</v>
      </c>
      <c r="S14" s="224">
        <v>15831.903225806449</v>
      </c>
      <c r="T14" s="224">
        <v>34875.074573863632</v>
      </c>
      <c r="U14" s="224">
        <v>13865</v>
      </c>
      <c r="V14" s="224">
        <v>11263.904761904761</v>
      </c>
      <c r="W14" s="224">
        <v>2942.8571428571431</v>
      </c>
      <c r="X14" s="224">
        <v>3397.5199999999995</v>
      </c>
      <c r="Y14" s="13" t="s">
        <v>26</v>
      </c>
      <c r="Z14" s="159" t="s">
        <v>346</v>
      </c>
      <c r="AA14" s="223">
        <v>6265.2915766738652</v>
      </c>
      <c r="AB14" s="224">
        <v>3267.1264367816093</v>
      </c>
      <c r="AC14" s="223">
        <v>0</v>
      </c>
      <c r="AD14" s="224">
        <v>2233.982876712329</v>
      </c>
      <c r="AE14" s="224">
        <v>1526.6666666666665</v>
      </c>
      <c r="AF14" s="223">
        <v>104887.03850156088</v>
      </c>
      <c r="AG14" s="223">
        <v>59810.180587780364</v>
      </c>
      <c r="AH14" s="223">
        <v>15238.24213836478</v>
      </c>
      <c r="AI14" s="223">
        <v>15660.296416938112</v>
      </c>
    </row>
    <row r="15" spans="1:35" ht="11.1" customHeight="1">
      <c r="A15" s="13"/>
      <c r="B15" s="159" t="s">
        <v>355</v>
      </c>
      <c r="C15" s="223">
        <v>2627.1428571428564</v>
      </c>
      <c r="D15" s="224">
        <v>8486.7706422018364</v>
      </c>
      <c r="E15" s="224">
        <v>3086.4027552674229</v>
      </c>
      <c r="F15" s="224">
        <v>13772.725664145821</v>
      </c>
      <c r="G15" s="223">
        <v>2969.8157894736837</v>
      </c>
      <c r="H15" s="223">
        <v>3286.9195876288654</v>
      </c>
      <c r="I15" s="224">
        <v>3558.3360215053763</v>
      </c>
      <c r="J15" s="223">
        <v>0</v>
      </c>
      <c r="K15" s="224">
        <v>53842.838196286473</v>
      </c>
      <c r="L15" s="224">
        <v>41275.155922038983</v>
      </c>
      <c r="M15" s="225"/>
      <c r="N15" s="159" t="s">
        <v>355</v>
      </c>
      <c r="O15" s="224">
        <v>9037.7069597069603</v>
      </c>
      <c r="P15" s="224">
        <v>45024.451276102089</v>
      </c>
      <c r="Q15" s="224">
        <v>17866.003558718858</v>
      </c>
      <c r="R15" s="224">
        <v>42712.066035706608</v>
      </c>
      <c r="S15" s="224">
        <v>15849.808695652171</v>
      </c>
      <c r="T15" s="224">
        <v>33633.224598930479</v>
      </c>
      <c r="U15" s="224">
        <v>16800</v>
      </c>
      <c r="V15" s="224">
        <v>12243.153846153848</v>
      </c>
      <c r="W15" s="224">
        <v>2659.6</v>
      </c>
      <c r="X15" s="224">
        <v>2803</v>
      </c>
      <c r="Y15" s="225"/>
      <c r="Z15" s="159" t="s">
        <v>355</v>
      </c>
      <c r="AA15" s="223">
        <v>6586.9269893355213</v>
      </c>
      <c r="AB15" s="224">
        <v>2173.8842975206617</v>
      </c>
      <c r="AC15" s="223">
        <v>0</v>
      </c>
      <c r="AD15" s="224">
        <v>2165.0604534005042</v>
      </c>
      <c r="AE15" s="224">
        <v>1542.5</v>
      </c>
      <c r="AF15" s="223">
        <v>89877.400621118009</v>
      </c>
      <c r="AG15" s="223">
        <v>58526.13690337602</v>
      </c>
      <c r="AH15" s="223">
        <v>15073.434911242604</v>
      </c>
      <c r="AI15" s="223">
        <v>15501.82926829268</v>
      </c>
    </row>
    <row r="16" spans="1:35" ht="11.1" customHeight="1">
      <c r="A16" s="13" t="s">
        <v>27</v>
      </c>
      <c r="B16" s="159" t="s">
        <v>346</v>
      </c>
      <c r="C16" s="224">
        <v>1528.2204515272244</v>
      </c>
      <c r="D16" s="224">
        <v>2757.2815533980583</v>
      </c>
      <c r="E16" s="224">
        <v>1306.578476939578</v>
      </c>
      <c r="F16" s="224">
        <v>2947.3684210526312</v>
      </c>
      <c r="G16" s="224">
        <v>1384.6072073987457</v>
      </c>
      <c r="H16" s="224">
        <v>1677.882853163258</v>
      </c>
      <c r="I16" s="224">
        <v>5000</v>
      </c>
      <c r="J16" s="223">
        <v>0</v>
      </c>
      <c r="K16" s="224">
        <v>12731.707317073171</v>
      </c>
      <c r="L16" s="224">
        <v>10613.636363636364</v>
      </c>
      <c r="M16" s="13" t="s">
        <v>27</v>
      </c>
      <c r="N16" s="159" t="s">
        <v>346</v>
      </c>
      <c r="O16" s="224">
        <v>3108.2337317397078</v>
      </c>
      <c r="P16" s="224">
        <v>9469.1358024691363</v>
      </c>
      <c r="Q16" s="224">
        <v>4899.3506493506502</v>
      </c>
      <c r="R16" s="224">
        <v>9932.1533923303832</v>
      </c>
      <c r="S16" s="224">
        <v>5690.3719912472643</v>
      </c>
      <c r="T16" s="224">
        <v>16876.017309142881</v>
      </c>
      <c r="U16" s="224">
        <v>10197.231833910035</v>
      </c>
      <c r="V16" s="224">
        <v>17363.636363636364</v>
      </c>
      <c r="W16" s="224">
        <v>5028.6861732644866</v>
      </c>
      <c r="X16" s="224">
        <v>5515.3374233128834</v>
      </c>
      <c r="Y16" s="13" t="s">
        <v>27</v>
      </c>
      <c r="Z16" s="159" t="s">
        <v>346</v>
      </c>
      <c r="AA16" s="223">
        <v>0</v>
      </c>
      <c r="AB16" s="224">
        <v>1461.4809274495137</v>
      </c>
      <c r="AC16" s="224">
        <v>1571.4285714285713</v>
      </c>
      <c r="AD16" s="224">
        <v>1323.9956903186085</v>
      </c>
      <c r="AE16" s="224">
        <v>1310.9540636042402</v>
      </c>
      <c r="AF16" s="223">
        <v>0</v>
      </c>
      <c r="AG16" s="223">
        <v>0</v>
      </c>
      <c r="AH16" s="224">
        <v>11923.076923076924</v>
      </c>
      <c r="AI16" s="224">
        <v>20488</v>
      </c>
    </row>
    <row r="17" spans="1:35" ht="11.1" customHeight="1">
      <c r="A17" s="13"/>
      <c r="B17" s="159" t="s">
        <v>355</v>
      </c>
      <c r="C17" s="224">
        <v>1483.2986787957552</v>
      </c>
      <c r="D17" s="224">
        <v>2450</v>
      </c>
      <c r="E17" s="224">
        <v>1443.8123015580004</v>
      </c>
      <c r="F17" s="224">
        <v>3000</v>
      </c>
      <c r="G17" s="224">
        <v>1344.1860465116283</v>
      </c>
      <c r="H17" s="224">
        <v>1768.0596243322418</v>
      </c>
      <c r="I17" s="224">
        <v>3800</v>
      </c>
      <c r="J17" s="223">
        <v>0</v>
      </c>
      <c r="K17" s="224">
        <v>13368.421052631578</v>
      </c>
      <c r="L17" s="224">
        <v>12250</v>
      </c>
      <c r="M17" s="13"/>
      <c r="N17" s="159" t="s">
        <v>355</v>
      </c>
      <c r="O17" s="224">
        <v>2866.2020905923346</v>
      </c>
      <c r="P17" s="224">
        <v>9528.1690140845076</v>
      </c>
      <c r="Q17" s="224">
        <v>4086.6141732283463</v>
      </c>
      <c r="R17" s="224">
        <v>10482.142857142857</v>
      </c>
      <c r="S17" s="224">
        <v>5267.7595628415293</v>
      </c>
      <c r="T17" s="224">
        <v>15200.83811401936</v>
      </c>
      <c r="U17" s="224">
        <v>10948.717948717949</v>
      </c>
      <c r="V17" s="224">
        <v>17133.333333333332</v>
      </c>
      <c r="W17" s="224">
        <v>8947.9423868312751</v>
      </c>
      <c r="X17" s="224">
        <v>7133.588473660513</v>
      </c>
      <c r="Y17" s="13"/>
      <c r="Z17" s="159" t="s">
        <v>355</v>
      </c>
      <c r="AA17" s="223">
        <v>0</v>
      </c>
      <c r="AB17" s="224">
        <v>1466.320474777448</v>
      </c>
      <c r="AC17" s="224">
        <v>2000</v>
      </c>
      <c r="AD17" s="224">
        <v>2033.3140096618361</v>
      </c>
      <c r="AE17" s="224">
        <v>1922.4462585034012</v>
      </c>
      <c r="AF17" s="223">
        <v>0</v>
      </c>
      <c r="AG17" s="223">
        <v>0</v>
      </c>
      <c r="AH17" s="224">
        <v>7666.666666666667</v>
      </c>
      <c r="AI17" s="224">
        <v>19240.075290896646</v>
      </c>
    </row>
    <row r="18" spans="1:35" ht="11.1" customHeight="1">
      <c r="A18" s="13" t="s">
        <v>28</v>
      </c>
      <c r="B18" s="159" t="s">
        <v>346</v>
      </c>
      <c r="C18" s="224">
        <v>899.99163179916332</v>
      </c>
      <c r="D18" s="224">
        <v>3203.2019401175262</v>
      </c>
      <c r="E18" s="224">
        <v>802.80538364029519</v>
      </c>
      <c r="F18" s="224">
        <v>7713.6453406199953</v>
      </c>
      <c r="G18" s="224">
        <v>888.22875467664358</v>
      </c>
      <c r="H18" s="224">
        <v>1010.9058823529411</v>
      </c>
      <c r="I18" s="223">
        <v>0</v>
      </c>
      <c r="J18" s="223">
        <v>0</v>
      </c>
      <c r="K18" s="224">
        <v>7426.5996343692868</v>
      </c>
      <c r="L18" s="224">
        <v>16197.687095780719</v>
      </c>
      <c r="M18" s="13" t="s">
        <v>28</v>
      </c>
      <c r="N18" s="159" t="s">
        <v>346</v>
      </c>
      <c r="O18" s="224">
        <v>2081.9550282485875</v>
      </c>
      <c r="P18" s="224">
        <v>11467.957219251335</v>
      </c>
      <c r="Q18" s="224">
        <v>5305.7620817843872</v>
      </c>
      <c r="R18" s="224">
        <v>8178.5467128027685</v>
      </c>
      <c r="S18" s="224">
        <v>2687.4831806089273</v>
      </c>
      <c r="T18" s="224">
        <v>13308.808302895872</v>
      </c>
      <c r="U18" s="224">
        <v>8173.5458129632552</v>
      </c>
      <c r="V18" s="224">
        <v>5028.028673835126</v>
      </c>
      <c r="W18" s="224">
        <v>4897.9689737470162</v>
      </c>
      <c r="X18" s="224">
        <v>5035.7286599904628</v>
      </c>
      <c r="Y18" s="13" t="s">
        <v>28</v>
      </c>
      <c r="Z18" s="159" t="s">
        <v>346</v>
      </c>
      <c r="AA18" s="223">
        <v>18000</v>
      </c>
      <c r="AB18" s="224">
        <v>829.55506341856267</v>
      </c>
      <c r="AC18" s="223">
        <v>0</v>
      </c>
      <c r="AD18" s="224">
        <v>920.17425139570287</v>
      </c>
      <c r="AE18" s="224">
        <v>770.07511737089192</v>
      </c>
      <c r="AF18" s="223">
        <v>0</v>
      </c>
      <c r="AG18" s="223">
        <v>7043.2142857142862</v>
      </c>
      <c r="AH18" s="223">
        <v>0</v>
      </c>
      <c r="AI18" s="224">
        <v>18127.258320126781</v>
      </c>
    </row>
    <row r="19" spans="1:35" ht="11.1" customHeight="1">
      <c r="A19" s="13"/>
      <c r="B19" s="159" t="s">
        <v>355</v>
      </c>
      <c r="C19" s="224">
        <v>967.16261586745497</v>
      </c>
      <c r="D19" s="224">
        <v>3272.2154070237902</v>
      </c>
      <c r="E19" s="224">
        <v>903.85146149540969</v>
      </c>
      <c r="F19" s="224">
        <v>7960.4954390669964</v>
      </c>
      <c r="G19" s="224">
        <v>918.33486660533583</v>
      </c>
      <c r="H19" s="224">
        <v>1457.2972972972975</v>
      </c>
      <c r="I19" s="223">
        <v>0</v>
      </c>
      <c r="J19" s="223">
        <v>0</v>
      </c>
      <c r="K19" s="224">
        <v>6891.090573012938</v>
      </c>
      <c r="L19" s="224">
        <v>15165.702539298669</v>
      </c>
      <c r="M19" s="13"/>
      <c r="N19" s="159" t="s">
        <v>355</v>
      </c>
      <c r="O19" s="224">
        <v>2103.9295000915581</v>
      </c>
      <c r="P19" s="224">
        <v>10040.228426395939</v>
      </c>
      <c r="Q19" s="224">
        <v>6326.0759493670885</v>
      </c>
      <c r="R19" s="224">
        <v>6946.8401486988851</v>
      </c>
      <c r="S19" s="224">
        <v>2670.4521884583214</v>
      </c>
      <c r="T19" s="224">
        <v>14217.398571163532</v>
      </c>
      <c r="U19" s="224">
        <v>8279.1230655858508</v>
      </c>
      <c r="V19" s="224">
        <v>4695.3931034482757</v>
      </c>
      <c r="W19" s="224">
        <v>4178.4040701566482</v>
      </c>
      <c r="X19" s="224">
        <v>4751.2756689483504</v>
      </c>
      <c r="Y19" s="13"/>
      <c r="Z19" s="159" t="s">
        <v>355</v>
      </c>
      <c r="AA19" s="223">
        <v>0</v>
      </c>
      <c r="AB19" s="224">
        <v>908.33315346174595</v>
      </c>
      <c r="AC19" s="223">
        <v>0</v>
      </c>
      <c r="AD19" s="224">
        <v>1087.4168224299065</v>
      </c>
      <c r="AE19" s="224">
        <v>806.20545073375274</v>
      </c>
      <c r="AF19" s="223">
        <v>0</v>
      </c>
      <c r="AG19" s="223">
        <v>6527.2373540856033</v>
      </c>
      <c r="AH19" s="223">
        <v>0</v>
      </c>
      <c r="AI19" s="224">
        <v>15685.344827586207</v>
      </c>
    </row>
    <row r="20" spans="1:35" ht="11.1" customHeight="1">
      <c r="A20" s="13" t="s">
        <v>293</v>
      </c>
      <c r="B20" s="159" t="s">
        <v>346</v>
      </c>
      <c r="C20" s="223">
        <v>0</v>
      </c>
      <c r="D20" s="223">
        <v>0</v>
      </c>
      <c r="E20" s="223">
        <v>0</v>
      </c>
      <c r="F20" s="223">
        <v>0</v>
      </c>
      <c r="G20" s="223">
        <v>0</v>
      </c>
      <c r="H20" s="223">
        <v>0</v>
      </c>
      <c r="I20" s="223">
        <v>0</v>
      </c>
      <c r="J20" s="223">
        <v>0</v>
      </c>
      <c r="K20" s="223">
        <v>0</v>
      </c>
      <c r="L20" s="223">
        <v>0</v>
      </c>
      <c r="M20" s="13" t="s">
        <v>293</v>
      </c>
      <c r="N20" s="159" t="s">
        <v>346</v>
      </c>
      <c r="O20" s="223">
        <v>0</v>
      </c>
      <c r="P20" s="223">
        <v>0</v>
      </c>
      <c r="Q20" s="223">
        <v>0</v>
      </c>
      <c r="R20" s="223">
        <v>0</v>
      </c>
      <c r="S20" s="223">
        <v>0</v>
      </c>
      <c r="T20" s="223">
        <v>0</v>
      </c>
      <c r="U20" s="223">
        <v>0</v>
      </c>
      <c r="V20" s="223">
        <v>0</v>
      </c>
      <c r="W20" s="223">
        <v>0</v>
      </c>
      <c r="X20" s="223">
        <v>0</v>
      </c>
      <c r="Y20" s="13" t="s">
        <v>293</v>
      </c>
      <c r="Z20" s="159" t="s">
        <v>346</v>
      </c>
      <c r="AA20" s="223">
        <v>0</v>
      </c>
      <c r="AB20" s="223">
        <v>0</v>
      </c>
      <c r="AC20" s="223">
        <v>0</v>
      </c>
      <c r="AD20" s="223">
        <v>0</v>
      </c>
      <c r="AE20" s="223">
        <v>0</v>
      </c>
      <c r="AF20" s="223">
        <v>0</v>
      </c>
      <c r="AG20" s="223">
        <v>0</v>
      </c>
      <c r="AH20" s="223">
        <v>0</v>
      </c>
      <c r="AI20" s="223">
        <v>0</v>
      </c>
    </row>
    <row r="21" spans="1:35" ht="11.1" customHeight="1">
      <c r="A21" s="13"/>
      <c r="B21" s="159" t="s">
        <v>355</v>
      </c>
      <c r="C21" s="223">
        <v>0</v>
      </c>
      <c r="D21" s="223">
        <v>0</v>
      </c>
      <c r="E21" s="223">
        <v>0</v>
      </c>
      <c r="F21" s="223">
        <v>0</v>
      </c>
      <c r="G21" s="223">
        <v>0</v>
      </c>
      <c r="H21" s="223">
        <v>0</v>
      </c>
      <c r="I21" s="223">
        <v>0</v>
      </c>
      <c r="J21" s="223">
        <v>0</v>
      </c>
      <c r="K21" s="223">
        <v>0</v>
      </c>
      <c r="L21" s="223">
        <v>0</v>
      </c>
      <c r="M21" s="13"/>
      <c r="N21" s="159" t="s">
        <v>355</v>
      </c>
      <c r="O21" s="223">
        <v>0</v>
      </c>
      <c r="P21" s="223">
        <v>0</v>
      </c>
      <c r="Q21" s="223">
        <v>0</v>
      </c>
      <c r="R21" s="223">
        <v>0</v>
      </c>
      <c r="S21" s="223">
        <v>0</v>
      </c>
      <c r="T21" s="223">
        <v>0</v>
      </c>
      <c r="U21" s="223">
        <v>0</v>
      </c>
      <c r="V21" s="223">
        <v>0</v>
      </c>
      <c r="W21" s="223">
        <v>0</v>
      </c>
      <c r="X21" s="223">
        <v>0</v>
      </c>
      <c r="Y21" s="13"/>
      <c r="Z21" s="159" t="s">
        <v>355</v>
      </c>
      <c r="AA21" s="223">
        <v>0</v>
      </c>
      <c r="AB21" s="223">
        <v>0</v>
      </c>
      <c r="AC21" s="223">
        <v>0</v>
      </c>
      <c r="AD21" s="223">
        <v>0</v>
      </c>
      <c r="AE21" s="223">
        <v>0</v>
      </c>
      <c r="AF21" s="223">
        <v>0</v>
      </c>
      <c r="AG21" s="223">
        <v>0</v>
      </c>
      <c r="AH21" s="223">
        <v>0</v>
      </c>
      <c r="AI21" s="223">
        <v>0</v>
      </c>
    </row>
    <row r="22" spans="1:35" ht="11.1" customHeight="1">
      <c r="A22" s="13" t="s">
        <v>29</v>
      </c>
      <c r="B22" s="159" t="s">
        <v>346</v>
      </c>
      <c r="C22" s="224">
        <v>1926.7555740779333</v>
      </c>
      <c r="D22" s="224">
        <v>1613.8720182831025</v>
      </c>
      <c r="E22" s="224">
        <v>2708.4376726201435</v>
      </c>
      <c r="F22" s="224">
        <v>1814.6690518783541</v>
      </c>
      <c r="G22" s="224">
        <v>1968.3197127290737</v>
      </c>
      <c r="H22" s="224">
        <v>1932.6975476839234</v>
      </c>
      <c r="I22" s="223">
        <v>0</v>
      </c>
      <c r="J22" s="223">
        <v>0</v>
      </c>
      <c r="K22" s="224">
        <v>14758.620689655172</v>
      </c>
      <c r="L22" s="224">
        <v>20012.738853503182</v>
      </c>
      <c r="M22" s="13" t="s">
        <v>29</v>
      </c>
      <c r="N22" s="159" t="s">
        <v>346</v>
      </c>
      <c r="O22" s="224">
        <v>5609.2150170648465</v>
      </c>
      <c r="P22" s="224">
        <v>13963.855421686747</v>
      </c>
      <c r="Q22" s="223">
        <v>0</v>
      </c>
      <c r="R22" s="224">
        <v>13163.732394366198</v>
      </c>
      <c r="S22" s="224">
        <v>18149.690489589193</v>
      </c>
      <c r="T22" s="224">
        <v>14410.751600943713</v>
      </c>
      <c r="U22" s="224">
        <v>8695.2710927989501</v>
      </c>
      <c r="V22" s="224">
        <v>6074.1935483870966</v>
      </c>
      <c r="W22" s="224">
        <v>9409.7697573117603</v>
      </c>
      <c r="X22" s="224">
        <v>8573.1637610745929</v>
      </c>
      <c r="Y22" s="13" t="s">
        <v>29</v>
      </c>
      <c r="Z22" s="159" t="s">
        <v>346</v>
      </c>
      <c r="AA22" s="223">
        <v>0</v>
      </c>
      <c r="AB22" s="224">
        <v>1622.0869033047738</v>
      </c>
      <c r="AC22" s="223">
        <v>0</v>
      </c>
      <c r="AD22" s="224">
        <v>1946.7336309523807</v>
      </c>
      <c r="AE22" s="224">
        <v>1381.4090480678606</v>
      </c>
      <c r="AF22" s="223">
        <v>0</v>
      </c>
      <c r="AG22" s="223">
        <v>0</v>
      </c>
      <c r="AH22" s="224">
        <v>20080.545229244111</v>
      </c>
      <c r="AI22" s="224">
        <v>22009.079820532341</v>
      </c>
    </row>
    <row r="23" spans="1:35" ht="11.1" customHeight="1">
      <c r="A23" s="13"/>
      <c r="B23" s="159" t="s">
        <v>355</v>
      </c>
      <c r="C23" s="224">
        <v>1688.0163751395608</v>
      </c>
      <c r="D23" s="224">
        <v>1685.6258596973864</v>
      </c>
      <c r="E23" s="224">
        <v>3024.4080497690643</v>
      </c>
      <c r="F23" s="224">
        <v>1989.5895895895894</v>
      </c>
      <c r="G23" s="224">
        <v>1706.50860065086</v>
      </c>
      <c r="H23" s="224">
        <v>2943.3465085639</v>
      </c>
      <c r="I23" s="223">
        <v>0</v>
      </c>
      <c r="J23" s="223">
        <v>0</v>
      </c>
      <c r="K23" s="224">
        <v>16657.894736842107</v>
      </c>
      <c r="L23" s="224">
        <v>20331.125827814572</v>
      </c>
      <c r="M23" s="13"/>
      <c r="N23" s="159" t="s">
        <v>355</v>
      </c>
      <c r="O23" s="224">
        <v>6028.8018433179723</v>
      </c>
      <c r="P23" s="224">
        <v>12900.890868596882</v>
      </c>
      <c r="Q23" s="223">
        <v>0</v>
      </c>
      <c r="R23" s="224">
        <v>13833.819241982506</v>
      </c>
      <c r="S23" s="224">
        <v>17367.874396135267</v>
      </c>
      <c r="T23" s="224">
        <v>14226.793118810183</v>
      </c>
      <c r="U23" s="224">
        <v>9178.4559207094408</v>
      </c>
      <c r="V23" s="224">
        <v>4679.4117647058829</v>
      </c>
      <c r="W23" s="224">
        <v>9738.007380073801</v>
      </c>
      <c r="X23" s="224">
        <v>9095.5548835802838</v>
      </c>
      <c r="Y23" s="13"/>
      <c r="Z23" s="159" t="s">
        <v>355</v>
      </c>
      <c r="AA23" s="223">
        <v>0</v>
      </c>
      <c r="AB23" s="224">
        <v>1653.9186507936511</v>
      </c>
      <c r="AC23" s="223">
        <v>0</v>
      </c>
      <c r="AD23" s="224">
        <v>1924.2718446601941</v>
      </c>
      <c r="AE23" s="224">
        <v>1452.611324903793</v>
      </c>
      <c r="AF23" s="223">
        <v>0</v>
      </c>
      <c r="AG23" s="223">
        <v>0</v>
      </c>
      <c r="AH23" s="224">
        <v>19357.291666666664</v>
      </c>
      <c r="AI23" s="224">
        <v>22480.192685554921</v>
      </c>
    </row>
    <row r="24" spans="1:35" ht="11.1" customHeight="1">
      <c r="A24" s="13" t="s">
        <v>30</v>
      </c>
      <c r="B24" s="159" t="s">
        <v>346</v>
      </c>
      <c r="C24" s="224">
        <v>1537.7310619789782</v>
      </c>
      <c r="D24" s="224">
        <v>1746.7836257309941</v>
      </c>
      <c r="E24" s="224">
        <v>1915.0752732522169</v>
      </c>
      <c r="F24" s="223">
        <v>0</v>
      </c>
      <c r="G24" s="224">
        <v>1635.3030126788408</v>
      </c>
      <c r="H24" s="224">
        <v>1245.3642384105963</v>
      </c>
      <c r="I24" s="223">
        <v>0</v>
      </c>
      <c r="J24" s="223">
        <v>0</v>
      </c>
      <c r="K24" s="224">
        <v>10780</v>
      </c>
      <c r="L24" s="224">
        <v>11786.216216216219</v>
      </c>
      <c r="M24" s="13" t="s">
        <v>30</v>
      </c>
      <c r="N24" s="159" t="s">
        <v>346</v>
      </c>
      <c r="O24" s="224">
        <v>3802.279602420052</v>
      </c>
      <c r="P24" s="224">
        <v>7283.8709677419356</v>
      </c>
      <c r="Q24" s="224">
        <v>5520.0000000000009</v>
      </c>
      <c r="R24" s="224">
        <v>7062.5</v>
      </c>
      <c r="S24" s="224">
        <v>9703.9189189189183</v>
      </c>
      <c r="T24" s="224">
        <v>12466.728178220465</v>
      </c>
      <c r="U24" s="223">
        <v>0</v>
      </c>
      <c r="V24" s="224">
        <v>6266.666666666667</v>
      </c>
      <c r="W24" s="224">
        <v>5695.0657894736851</v>
      </c>
      <c r="X24" s="224">
        <v>5769.2889390519194</v>
      </c>
      <c r="Y24" s="13" t="s">
        <v>30</v>
      </c>
      <c r="Z24" s="159" t="s">
        <v>346</v>
      </c>
      <c r="AA24" s="223">
        <v>0</v>
      </c>
      <c r="AB24" s="224">
        <v>1954.8140043763681</v>
      </c>
      <c r="AC24" s="223">
        <v>0</v>
      </c>
      <c r="AD24" s="224">
        <v>1616.1803986028356</v>
      </c>
      <c r="AE24" s="224">
        <v>1637.017411052233</v>
      </c>
      <c r="AF24" s="223">
        <v>0</v>
      </c>
      <c r="AG24" s="223">
        <v>0</v>
      </c>
      <c r="AH24" s="223">
        <v>0</v>
      </c>
      <c r="AI24" s="224">
        <v>14057.445400397088</v>
      </c>
    </row>
    <row r="25" spans="1:35" ht="11.1" customHeight="1">
      <c r="A25" s="13"/>
      <c r="B25" s="159" t="s">
        <v>355</v>
      </c>
      <c r="C25" s="224">
        <v>1539.7852960312296</v>
      </c>
      <c r="D25" s="224">
        <v>1407.7319587628867</v>
      </c>
      <c r="E25" s="224">
        <v>1964.5275247140921</v>
      </c>
      <c r="F25" s="223">
        <v>0</v>
      </c>
      <c r="G25" s="224">
        <v>1615.8117529880474</v>
      </c>
      <c r="H25" s="224">
        <v>1481.7996742671012</v>
      </c>
      <c r="I25" s="223">
        <v>0</v>
      </c>
      <c r="J25" s="223">
        <v>0</v>
      </c>
      <c r="K25" s="224">
        <v>8738.7096774193542</v>
      </c>
      <c r="L25" s="224">
        <v>17049.648711943792</v>
      </c>
      <c r="M25" s="13"/>
      <c r="N25" s="159" t="s">
        <v>355</v>
      </c>
      <c r="O25" s="224">
        <v>3951.3969335604766</v>
      </c>
      <c r="P25" s="224">
        <v>11394.117647058822</v>
      </c>
      <c r="Q25" s="224">
        <v>5562.3376623376626</v>
      </c>
      <c r="R25" s="224">
        <v>6599.9999999999991</v>
      </c>
      <c r="S25" s="224">
        <v>9803.0448717948748</v>
      </c>
      <c r="T25" s="224">
        <v>13650.850987860031</v>
      </c>
      <c r="U25" s="223">
        <v>0</v>
      </c>
      <c r="V25" s="224">
        <v>6025</v>
      </c>
      <c r="W25" s="224">
        <v>5340.3726708074537</v>
      </c>
      <c r="X25" s="224">
        <v>6080.3469704816143</v>
      </c>
      <c r="Y25" s="13"/>
      <c r="Z25" s="159" t="s">
        <v>355</v>
      </c>
      <c r="AA25" s="223">
        <v>0</v>
      </c>
      <c r="AB25" s="224">
        <v>1978.9679189531444</v>
      </c>
      <c r="AC25" s="223">
        <v>1200</v>
      </c>
      <c r="AD25" s="224">
        <v>1840.3047555257865</v>
      </c>
      <c r="AE25" s="224">
        <v>1670.959466393022</v>
      </c>
      <c r="AF25" s="223">
        <v>0</v>
      </c>
      <c r="AG25" s="223">
        <v>0</v>
      </c>
      <c r="AH25" s="223">
        <v>11736.842105263158</v>
      </c>
      <c r="AI25" s="224">
        <v>18474.306358381506</v>
      </c>
    </row>
    <row r="26" spans="1:35" ht="11.1" customHeight="1">
      <c r="A26" s="13" t="s">
        <v>155</v>
      </c>
      <c r="B26" s="159" t="s">
        <v>346</v>
      </c>
      <c r="C26" s="224">
        <v>1718.7906371911574</v>
      </c>
      <c r="D26" s="224">
        <v>3751.5913063553312</v>
      </c>
      <c r="E26" s="224">
        <v>1109.1671815550715</v>
      </c>
      <c r="F26" s="224">
        <v>5818.4238551650697</v>
      </c>
      <c r="G26" s="224">
        <v>1613.4538152610442</v>
      </c>
      <c r="H26" s="224">
        <v>968.11320754716962</v>
      </c>
      <c r="I26" s="224">
        <v>4917.0068027210891</v>
      </c>
      <c r="J26" s="223">
        <v>0</v>
      </c>
      <c r="K26" s="224">
        <v>17240</v>
      </c>
      <c r="L26" s="224">
        <v>26857.423795476894</v>
      </c>
      <c r="M26" s="13" t="s">
        <v>155</v>
      </c>
      <c r="N26" s="159" t="s">
        <v>346</v>
      </c>
      <c r="O26" s="224">
        <v>5765.0816181689133</v>
      </c>
      <c r="P26" s="224">
        <v>20208.695652173912</v>
      </c>
      <c r="Q26" s="224">
        <v>5342.8571428571422</v>
      </c>
      <c r="R26" s="224">
        <v>13786.666666666668</v>
      </c>
      <c r="S26" s="224">
        <v>8116.9193450576104</v>
      </c>
      <c r="T26" s="224">
        <v>14003.302188415617</v>
      </c>
      <c r="U26" s="224">
        <v>13315.125086068396</v>
      </c>
      <c r="V26" s="224">
        <v>14238.227146814404</v>
      </c>
      <c r="W26" s="224">
        <v>7083.6065573770493</v>
      </c>
      <c r="X26" s="224">
        <v>10183.492496589359</v>
      </c>
      <c r="Y26" s="13" t="s">
        <v>155</v>
      </c>
      <c r="Z26" s="159" t="s">
        <v>346</v>
      </c>
      <c r="AA26" s="223">
        <v>0</v>
      </c>
      <c r="AB26" s="224">
        <v>1394.3168548073179</v>
      </c>
      <c r="AC26" s="223">
        <v>0</v>
      </c>
      <c r="AD26" s="224">
        <v>1064.8180242634314</v>
      </c>
      <c r="AE26" s="224">
        <v>1337.8489835430785</v>
      </c>
      <c r="AF26" s="223">
        <v>0</v>
      </c>
      <c r="AG26" s="224">
        <v>22444.964871194381</v>
      </c>
      <c r="AH26" s="223">
        <v>0</v>
      </c>
      <c r="AI26" s="224">
        <v>15948.186528497408</v>
      </c>
    </row>
    <row r="27" spans="1:35" ht="11.1" customHeight="1">
      <c r="A27" s="13"/>
      <c r="B27" s="159" t="s">
        <v>355</v>
      </c>
      <c r="C27" s="224">
        <v>1719.6710075394105</v>
      </c>
      <c r="D27" s="224">
        <v>3457.7659959031212</v>
      </c>
      <c r="E27" s="224">
        <v>1190.0658100908806</v>
      </c>
      <c r="F27" s="224">
        <v>5693.5002981514608</v>
      </c>
      <c r="G27" s="224">
        <v>1778.4478238070267</v>
      </c>
      <c r="H27" s="224">
        <v>1104.4776119402986</v>
      </c>
      <c r="I27" s="224">
        <v>4658.0645161290331</v>
      </c>
      <c r="J27" s="223">
        <v>0</v>
      </c>
      <c r="K27" s="224">
        <v>17404.580152671755</v>
      </c>
      <c r="L27" s="224">
        <v>27895.869489760498</v>
      </c>
      <c r="M27" s="13"/>
      <c r="N27" s="159" t="s">
        <v>355</v>
      </c>
      <c r="O27" s="224">
        <v>5852.8010514210619</v>
      </c>
      <c r="P27" s="224">
        <v>20722.466960352423</v>
      </c>
      <c r="Q27" s="224">
        <v>5608.695652173913</v>
      </c>
      <c r="R27" s="224">
        <v>13643.312101910828</v>
      </c>
      <c r="S27" s="224">
        <v>8590.5325443786987</v>
      </c>
      <c r="T27" s="224">
        <v>14474.741908225871</v>
      </c>
      <c r="U27" s="224">
        <v>14095.306513409962</v>
      </c>
      <c r="V27" s="224">
        <v>13950.937950937951</v>
      </c>
      <c r="W27" s="224">
        <v>7086.1598440545813</v>
      </c>
      <c r="X27" s="224">
        <v>10633.259842519685</v>
      </c>
      <c r="Y27" s="13"/>
      <c r="Z27" s="159" t="s">
        <v>355</v>
      </c>
      <c r="AA27" s="223">
        <v>0</v>
      </c>
      <c r="AB27" s="224">
        <v>1562.0272314674735</v>
      </c>
      <c r="AC27" s="223">
        <v>0</v>
      </c>
      <c r="AD27" s="224">
        <v>1168.9602446483179</v>
      </c>
      <c r="AE27" s="224">
        <v>1419.3548387096776</v>
      </c>
      <c r="AF27" s="223">
        <v>0</v>
      </c>
      <c r="AG27" s="224">
        <v>22351.59817351598</v>
      </c>
      <c r="AH27" s="223">
        <v>12608.695652173912</v>
      </c>
      <c r="AI27" s="224">
        <v>16012.158054711246</v>
      </c>
    </row>
    <row r="28" spans="1:35" ht="11.1" customHeight="1">
      <c r="A28" s="13" t="s">
        <v>31</v>
      </c>
      <c r="B28" s="159" t="s">
        <v>346</v>
      </c>
      <c r="C28" s="224">
        <v>2531.25</v>
      </c>
      <c r="D28" s="224">
        <v>9105.4294052916139</v>
      </c>
      <c r="E28" s="224">
        <v>5276.9230769230771</v>
      </c>
      <c r="F28" s="223">
        <v>0</v>
      </c>
      <c r="G28" s="224">
        <v>2833.3333333333335</v>
      </c>
      <c r="H28" s="224">
        <v>3150</v>
      </c>
      <c r="I28" s="224">
        <v>20654.296875</v>
      </c>
      <c r="J28" s="223">
        <v>0</v>
      </c>
      <c r="K28" s="224">
        <v>106037.98701298701</v>
      </c>
      <c r="L28" s="224">
        <v>33732.182103610678</v>
      </c>
      <c r="M28" s="13" t="s">
        <v>31</v>
      </c>
      <c r="N28" s="159" t="s">
        <v>346</v>
      </c>
      <c r="O28" s="224">
        <v>3844.7244094488192</v>
      </c>
      <c r="P28" s="223">
        <v>17850</v>
      </c>
      <c r="Q28" s="223">
        <v>11050</v>
      </c>
      <c r="R28" s="224">
        <v>60003.711340206195</v>
      </c>
      <c r="S28" s="224">
        <v>8439.9777777777763</v>
      </c>
      <c r="T28" s="224">
        <v>9708.0952380952385</v>
      </c>
      <c r="U28" s="224">
        <v>20529.523809523809</v>
      </c>
      <c r="V28" s="224">
        <v>23347.555555555555</v>
      </c>
      <c r="W28" s="223">
        <v>2254.5454545454545</v>
      </c>
      <c r="X28" s="224">
        <v>0</v>
      </c>
      <c r="Y28" s="13" t="s">
        <v>31</v>
      </c>
      <c r="Z28" s="159" t="s">
        <v>346</v>
      </c>
      <c r="AA28" s="224">
        <v>6372.4528301886785</v>
      </c>
      <c r="AB28" s="224">
        <v>1718.181818181818</v>
      </c>
      <c r="AC28" s="224">
        <v>1477.536231884058</v>
      </c>
      <c r="AD28" s="223">
        <v>0</v>
      </c>
      <c r="AE28" s="223">
        <v>0</v>
      </c>
      <c r="AF28" s="223">
        <v>0</v>
      </c>
      <c r="AG28" s="224">
        <v>0</v>
      </c>
      <c r="AH28" s="223">
        <v>0</v>
      </c>
      <c r="AI28" s="223">
        <v>0</v>
      </c>
    </row>
    <row r="29" spans="1:35" ht="11.1" customHeight="1">
      <c r="A29" s="13"/>
      <c r="B29" s="159" t="s">
        <v>355</v>
      </c>
      <c r="C29" s="223">
        <v>2585.0666666666666</v>
      </c>
      <c r="D29" s="224">
        <v>9362.3989252633819</v>
      </c>
      <c r="E29" s="224">
        <v>3851.8035714285716</v>
      </c>
      <c r="F29" s="223">
        <v>0</v>
      </c>
      <c r="G29" s="223">
        <v>3015.4722222222222</v>
      </c>
      <c r="H29" s="224">
        <v>3339.7999999999993</v>
      </c>
      <c r="I29" s="224">
        <v>22714.97297297297</v>
      </c>
      <c r="J29" s="223">
        <v>0</v>
      </c>
      <c r="K29" s="224">
        <v>101209.3820998279</v>
      </c>
      <c r="L29" s="224">
        <v>33476.950146627569</v>
      </c>
      <c r="M29" s="13"/>
      <c r="N29" s="159" t="s">
        <v>355</v>
      </c>
      <c r="O29" s="224">
        <v>3468.8717948717949</v>
      </c>
      <c r="P29" s="224">
        <v>8900</v>
      </c>
      <c r="Q29" s="223">
        <v>0</v>
      </c>
      <c r="R29" s="224">
        <v>62246.712550607284</v>
      </c>
      <c r="S29" s="224">
        <v>4633.8461538461534</v>
      </c>
      <c r="T29" s="224">
        <v>17957.382198952881</v>
      </c>
      <c r="U29" s="224">
        <v>23886.021857923497</v>
      </c>
      <c r="V29" s="224">
        <v>23814.46762589928</v>
      </c>
      <c r="W29" s="223">
        <v>0</v>
      </c>
      <c r="X29" s="224">
        <v>3412.5</v>
      </c>
      <c r="Y29" s="13"/>
      <c r="Z29" s="159" t="s">
        <v>355</v>
      </c>
      <c r="AA29" s="224">
        <v>6414.940298507463</v>
      </c>
      <c r="AB29" s="224">
        <v>1988.133333333333</v>
      </c>
      <c r="AC29" s="224">
        <v>1483.0708661417323</v>
      </c>
      <c r="AD29" s="223">
        <v>0</v>
      </c>
      <c r="AE29" s="223">
        <v>0</v>
      </c>
      <c r="AF29" s="223">
        <v>0</v>
      </c>
      <c r="AG29" s="224">
        <v>0</v>
      </c>
      <c r="AH29" s="223">
        <v>0</v>
      </c>
      <c r="AI29" s="223">
        <v>0</v>
      </c>
    </row>
    <row r="30" spans="1:35" ht="11.1" customHeight="1">
      <c r="A30" s="13" t="s">
        <v>156</v>
      </c>
      <c r="B30" s="159" t="s">
        <v>346</v>
      </c>
      <c r="C30" s="224">
        <v>2199.5425957690113</v>
      </c>
      <c r="D30" s="224">
        <v>4047.3305954825464</v>
      </c>
      <c r="E30" s="224">
        <v>1879.2344883158748</v>
      </c>
      <c r="F30" s="224">
        <v>3247.545219638243</v>
      </c>
      <c r="G30" s="224">
        <v>2071.0176991150438</v>
      </c>
      <c r="H30" s="224">
        <v>2045.9302325581393</v>
      </c>
      <c r="I30" s="224">
        <v>6449.6815286624205</v>
      </c>
      <c r="J30" s="223">
        <v>0</v>
      </c>
      <c r="K30" s="224">
        <v>11480</v>
      </c>
      <c r="L30" s="224">
        <v>13475.147928994083</v>
      </c>
      <c r="M30" s="13" t="s">
        <v>156</v>
      </c>
      <c r="N30" s="159" t="s">
        <v>346</v>
      </c>
      <c r="O30" s="224">
        <v>6656.9216475689054</v>
      </c>
      <c r="P30" s="224">
        <v>24596.901072705605</v>
      </c>
      <c r="Q30" s="224">
        <v>9203.4055727554187</v>
      </c>
      <c r="R30" s="224">
        <v>19561.702127659577</v>
      </c>
      <c r="S30" s="224">
        <v>12216.086278586277</v>
      </c>
      <c r="T30" s="224">
        <v>16028.42757496314</v>
      </c>
      <c r="U30" s="224">
        <v>14676.162950729426</v>
      </c>
      <c r="V30" s="223">
        <v>0</v>
      </c>
      <c r="W30" s="224">
        <v>6479.6610169491523</v>
      </c>
      <c r="X30" s="224">
        <v>6649.1150618462407</v>
      </c>
      <c r="Y30" s="13" t="s">
        <v>156</v>
      </c>
      <c r="Z30" s="159" t="s">
        <v>346</v>
      </c>
      <c r="AA30" s="223">
        <v>0</v>
      </c>
      <c r="AB30" s="224">
        <v>948.60362567368929</v>
      </c>
      <c r="AC30" s="223">
        <v>0</v>
      </c>
      <c r="AD30" s="224">
        <v>1971.8952772073924</v>
      </c>
      <c r="AE30" s="224">
        <v>1952.9177718832896</v>
      </c>
      <c r="AF30" s="223">
        <v>0</v>
      </c>
      <c r="AG30" s="223">
        <v>0</v>
      </c>
      <c r="AH30" s="224">
        <v>16896.981132075471</v>
      </c>
      <c r="AI30" s="224">
        <v>16804.586969758475</v>
      </c>
    </row>
    <row r="31" spans="1:35" ht="11.1" customHeight="1">
      <c r="A31" s="13"/>
      <c r="B31" s="159" t="s">
        <v>355</v>
      </c>
      <c r="C31" s="224">
        <v>2484.3849585723387</v>
      </c>
      <c r="D31" s="224">
        <v>3935.1610757388571</v>
      </c>
      <c r="E31" s="224">
        <v>2068.2277437090293</v>
      </c>
      <c r="F31" s="224">
        <v>3057.3948439620081</v>
      </c>
      <c r="G31" s="224">
        <v>2281.4853999153611</v>
      </c>
      <c r="H31" s="224">
        <v>2444.3564356435636</v>
      </c>
      <c r="I31" s="224">
        <v>6375.8064516129034</v>
      </c>
      <c r="J31" s="223">
        <v>0</v>
      </c>
      <c r="K31" s="224">
        <v>12020</v>
      </c>
      <c r="L31" s="224">
        <v>14123.437499999996</v>
      </c>
      <c r="M31" s="13"/>
      <c r="N31" s="159" t="s">
        <v>355</v>
      </c>
      <c r="O31" s="224">
        <v>7058.1922708399861</v>
      </c>
      <c r="P31" s="224">
        <v>25168.780487804874</v>
      </c>
      <c r="Q31" s="224">
        <v>9453.0201342281889</v>
      </c>
      <c r="R31" s="224">
        <v>20379.51807228916</v>
      </c>
      <c r="S31" s="224">
        <v>13142.143364088006</v>
      </c>
      <c r="T31" s="224">
        <v>17182.130715824755</v>
      </c>
      <c r="U31" s="224">
        <v>14387.343532684285</v>
      </c>
      <c r="V31" s="223">
        <v>0</v>
      </c>
      <c r="W31" s="224">
        <v>6786.1271676300594</v>
      </c>
      <c r="X31" s="224">
        <v>7303.6199095022621</v>
      </c>
      <c r="Y31" s="13"/>
      <c r="Z31" s="159" t="s">
        <v>355</v>
      </c>
      <c r="AA31" s="223">
        <v>0</v>
      </c>
      <c r="AB31" s="224">
        <v>984.76975278720317</v>
      </c>
      <c r="AC31" s="223">
        <v>0</v>
      </c>
      <c r="AD31" s="224">
        <v>2113.1746031746034</v>
      </c>
      <c r="AE31" s="224">
        <v>2064.0619307832421</v>
      </c>
      <c r="AF31" s="223">
        <v>0</v>
      </c>
      <c r="AG31" s="223">
        <v>0</v>
      </c>
      <c r="AH31" s="224">
        <v>18620.764119601328</v>
      </c>
      <c r="AI31" s="224">
        <v>18776.208749040678</v>
      </c>
    </row>
    <row r="32" spans="1:35" ht="11.1" customHeight="1">
      <c r="A32" s="13" t="s">
        <v>32</v>
      </c>
      <c r="B32" s="159" t="s">
        <v>346</v>
      </c>
      <c r="C32" s="224">
        <v>2018.185373484552</v>
      </c>
      <c r="D32" s="224">
        <v>8544.6808510638311</v>
      </c>
      <c r="E32" s="224">
        <v>1641.0668615272198</v>
      </c>
      <c r="F32" s="224">
        <v>12275.513149454779</v>
      </c>
      <c r="G32" s="224">
        <v>1778.014184397163</v>
      </c>
      <c r="H32" s="224">
        <v>1370.3180212014133</v>
      </c>
      <c r="I32" s="224">
        <v>25781.407035175875</v>
      </c>
      <c r="J32" s="224">
        <v>31423.076923076922</v>
      </c>
      <c r="K32" s="224">
        <v>33062.087912087911</v>
      </c>
      <c r="L32" s="224">
        <v>29664.580369843527</v>
      </c>
      <c r="M32" s="13" t="s">
        <v>32</v>
      </c>
      <c r="N32" s="159" t="s">
        <v>346</v>
      </c>
      <c r="O32" s="224">
        <v>3015.7922628510864</v>
      </c>
      <c r="P32" s="224">
        <v>18373.314203730271</v>
      </c>
      <c r="Q32" s="224">
        <v>8827.6315789473701</v>
      </c>
      <c r="R32" s="224">
        <v>41968.794326241135</v>
      </c>
      <c r="S32" s="224">
        <v>11253.300733496331</v>
      </c>
      <c r="T32" s="224">
        <v>20847.280388479227</v>
      </c>
      <c r="U32" s="224">
        <v>15146.092184368737</v>
      </c>
      <c r="V32" s="224">
        <v>14225.418060200667</v>
      </c>
      <c r="W32" s="224">
        <v>6247.9791395045631</v>
      </c>
      <c r="X32" s="224">
        <v>6125.1824817518245</v>
      </c>
      <c r="Y32" s="13" t="s">
        <v>32</v>
      </c>
      <c r="Z32" s="159" t="s">
        <v>346</v>
      </c>
      <c r="AA32" s="224">
        <v>9230.7692307692305</v>
      </c>
      <c r="AB32" s="224">
        <v>1470.9789434798668</v>
      </c>
      <c r="AC32" s="224">
        <v>2000</v>
      </c>
      <c r="AD32" s="224">
        <v>1295.7666980244589</v>
      </c>
      <c r="AE32" s="224">
        <v>1371.2746858168762</v>
      </c>
      <c r="AF32" s="224">
        <v>137024.41884482099</v>
      </c>
      <c r="AG32" s="224">
        <v>55931.756756756753</v>
      </c>
      <c r="AH32" s="224">
        <v>15000</v>
      </c>
      <c r="AI32" s="224">
        <v>14361.04347826087</v>
      </c>
    </row>
    <row r="33" spans="1:35" ht="11.1" customHeight="1">
      <c r="A33" s="13"/>
      <c r="B33" s="159" t="s">
        <v>355</v>
      </c>
      <c r="C33" s="224">
        <v>2095.2102803738321</v>
      </c>
      <c r="D33" s="224">
        <v>8476.0709783306775</v>
      </c>
      <c r="E33" s="224">
        <v>1742.3494469479722</v>
      </c>
      <c r="F33" s="224">
        <v>11669.727989433277</v>
      </c>
      <c r="G33" s="224">
        <v>1813.4952004517222</v>
      </c>
      <c r="H33" s="224">
        <v>1354.2784163473821</v>
      </c>
      <c r="I33" s="224">
        <v>22742.723004694835</v>
      </c>
      <c r="J33" s="224">
        <v>30140.507614213198</v>
      </c>
      <c r="K33" s="224">
        <v>30020.091324200912</v>
      </c>
      <c r="L33" s="224">
        <v>31318.811881188121</v>
      </c>
      <c r="M33" s="13"/>
      <c r="N33" s="159" t="s">
        <v>355</v>
      </c>
      <c r="O33" s="224">
        <v>2996.9959035047791</v>
      </c>
      <c r="P33" s="224">
        <v>17358.439490445857</v>
      </c>
      <c r="Q33" s="224">
        <v>9100.4149377593349</v>
      </c>
      <c r="R33" s="224">
        <v>42397.211155378485</v>
      </c>
      <c r="S33" s="224">
        <v>11594.464675892206</v>
      </c>
      <c r="T33" s="224">
        <v>22672.436900802189</v>
      </c>
      <c r="U33" s="224">
        <v>16702.644964394713</v>
      </c>
      <c r="V33" s="224">
        <v>14314.11042944785</v>
      </c>
      <c r="W33" s="224">
        <v>6246.8144044321325</v>
      </c>
      <c r="X33" s="224">
        <v>6302.8009084027253</v>
      </c>
      <c r="Y33" s="13"/>
      <c r="Z33" s="159" t="s">
        <v>355</v>
      </c>
      <c r="AA33" s="224">
        <v>10000</v>
      </c>
      <c r="AB33" s="224">
        <v>1495.2622673434855</v>
      </c>
      <c r="AC33" s="223">
        <v>0</v>
      </c>
      <c r="AD33" s="224">
        <v>1257.4723247232471</v>
      </c>
      <c r="AE33" s="224">
        <v>1333.0249110320285</v>
      </c>
      <c r="AF33" s="224">
        <v>124855.83517664677</v>
      </c>
      <c r="AG33" s="224">
        <v>53441.355065516138</v>
      </c>
      <c r="AH33" s="224">
        <v>15000</v>
      </c>
      <c r="AI33" s="224">
        <v>14726.487093153759</v>
      </c>
    </row>
    <row r="34" spans="1:35" ht="11.1" customHeight="1">
      <c r="A34" s="13" t="s">
        <v>33</v>
      </c>
      <c r="B34" s="159" t="s">
        <v>346</v>
      </c>
      <c r="C34" s="224">
        <v>800</v>
      </c>
      <c r="D34" s="224">
        <v>6184.1846758349702</v>
      </c>
      <c r="E34" s="224">
        <v>2385.8823529411761</v>
      </c>
      <c r="F34" s="224">
        <v>8784.2585059557332</v>
      </c>
      <c r="G34" s="224">
        <v>900</v>
      </c>
      <c r="H34" s="223">
        <v>1200</v>
      </c>
      <c r="I34" s="224">
        <v>10062.5</v>
      </c>
      <c r="J34" s="223">
        <v>0</v>
      </c>
      <c r="K34" s="224">
        <v>23640.449438202246</v>
      </c>
      <c r="L34" s="224">
        <v>28285.714285714286</v>
      </c>
      <c r="M34" s="13" t="s">
        <v>33</v>
      </c>
      <c r="N34" s="159" t="s">
        <v>346</v>
      </c>
      <c r="O34" s="224">
        <v>2343.1372549019611</v>
      </c>
      <c r="P34" s="224">
        <v>11378.378378378378</v>
      </c>
      <c r="Q34" s="223">
        <v>0</v>
      </c>
      <c r="R34" s="224">
        <v>29534.591194968551</v>
      </c>
      <c r="S34" s="224">
        <v>7440.188172043011</v>
      </c>
      <c r="T34" s="224">
        <v>7328.3582089552237</v>
      </c>
      <c r="U34" s="224">
        <v>11572.727272727272</v>
      </c>
      <c r="V34" s="224">
        <v>13310.430463576158</v>
      </c>
      <c r="W34" s="224">
        <v>2087.5</v>
      </c>
      <c r="X34" s="224">
        <v>2500</v>
      </c>
      <c r="Y34" s="13" t="s">
        <v>33</v>
      </c>
      <c r="Z34" s="159" t="s">
        <v>346</v>
      </c>
      <c r="AA34" s="224">
        <v>4500</v>
      </c>
      <c r="AB34" s="224">
        <v>851.063829787234</v>
      </c>
      <c r="AC34" s="224">
        <v>1288.8888888888889</v>
      </c>
      <c r="AD34" s="224">
        <v>763.82978723404244</v>
      </c>
      <c r="AE34" s="224">
        <v>600</v>
      </c>
      <c r="AF34" s="224">
        <v>93348.166207605886</v>
      </c>
      <c r="AG34" s="224">
        <v>30107.763615295484</v>
      </c>
      <c r="AH34" s="223">
        <v>0</v>
      </c>
      <c r="AI34" s="223">
        <v>0</v>
      </c>
    </row>
    <row r="35" spans="1:35" ht="11.1" customHeight="1">
      <c r="A35" s="13"/>
      <c r="B35" s="159" t="s">
        <v>355</v>
      </c>
      <c r="C35" s="224">
        <v>900</v>
      </c>
      <c r="D35" s="224">
        <v>6029.7126436781609</v>
      </c>
      <c r="E35" s="224">
        <v>1428.8840262582057</v>
      </c>
      <c r="F35" s="224">
        <v>8777.0214639515689</v>
      </c>
      <c r="G35" s="224">
        <v>800</v>
      </c>
      <c r="H35" s="223">
        <v>0</v>
      </c>
      <c r="I35" s="224">
        <v>0</v>
      </c>
      <c r="J35" s="223">
        <v>37000</v>
      </c>
      <c r="K35" s="224">
        <v>23541.666666666668</v>
      </c>
      <c r="L35" s="224">
        <v>22750</v>
      </c>
      <c r="M35" s="13"/>
      <c r="N35" s="159" t="s">
        <v>355</v>
      </c>
      <c r="O35" s="224">
        <v>2249.158249158249</v>
      </c>
      <c r="P35" s="224">
        <v>11894.736842105263</v>
      </c>
      <c r="Q35" s="223">
        <v>0</v>
      </c>
      <c r="R35" s="224">
        <v>27175.257731958762</v>
      </c>
      <c r="S35" s="224">
        <v>6340.9506398537478</v>
      </c>
      <c r="T35" s="224">
        <v>5709.333333333333</v>
      </c>
      <c r="U35" s="224">
        <v>10463.855421686747</v>
      </c>
      <c r="V35" s="224">
        <v>12542.307692307693</v>
      </c>
      <c r="W35" s="223">
        <v>0</v>
      </c>
      <c r="X35" s="224">
        <v>2000</v>
      </c>
      <c r="Y35" s="13"/>
      <c r="Z35" s="159" t="s">
        <v>355</v>
      </c>
      <c r="AA35" s="224">
        <v>9000</v>
      </c>
      <c r="AB35" s="224">
        <v>910</v>
      </c>
      <c r="AC35" s="224">
        <v>189.18918918918919</v>
      </c>
      <c r="AD35" s="224">
        <v>837.69230769230774</v>
      </c>
      <c r="AE35" s="224">
        <v>0</v>
      </c>
      <c r="AF35" s="224">
        <v>94626.374148267845</v>
      </c>
      <c r="AG35" s="224">
        <v>30947.222222222223</v>
      </c>
      <c r="AH35" s="223">
        <v>0</v>
      </c>
      <c r="AI35" s="223">
        <v>0</v>
      </c>
    </row>
    <row r="36" spans="1:35" ht="11.1" customHeight="1">
      <c r="A36" s="13" t="s">
        <v>34</v>
      </c>
      <c r="B36" s="159" t="s">
        <v>346</v>
      </c>
      <c r="C36" s="224">
        <v>2154.9549549549547</v>
      </c>
      <c r="D36" s="224">
        <v>9595.0231779551887</v>
      </c>
      <c r="E36" s="224">
        <v>3587.7233165368757</v>
      </c>
      <c r="F36" s="223">
        <v>0</v>
      </c>
      <c r="G36" s="224">
        <v>2352</v>
      </c>
      <c r="H36" s="224">
        <v>7700</v>
      </c>
      <c r="I36" s="224">
        <v>8483.5858585858587</v>
      </c>
      <c r="J36" s="223">
        <v>5000</v>
      </c>
      <c r="K36" s="224">
        <v>30645.904954499496</v>
      </c>
      <c r="L36" s="224">
        <v>27558.128078817732</v>
      </c>
      <c r="M36" s="13" t="s">
        <v>34</v>
      </c>
      <c r="N36" s="159" t="s">
        <v>346</v>
      </c>
      <c r="O36" s="224">
        <v>4559.4594594594591</v>
      </c>
      <c r="P36" s="224">
        <v>22060.447761194031</v>
      </c>
      <c r="Q36" s="224">
        <v>8794.8616600790519</v>
      </c>
      <c r="R36" s="224">
        <v>28306.319702602232</v>
      </c>
      <c r="S36" s="224">
        <v>17120.135363790188</v>
      </c>
      <c r="T36" s="224">
        <v>21024.282581540599</v>
      </c>
      <c r="U36" s="224">
        <v>31979.764705882357</v>
      </c>
      <c r="V36" s="224">
        <v>22204.591061112798</v>
      </c>
      <c r="W36" s="224">
        <v>2981.5884476534293</v>
      </c>
      <c r="X36" s="224">
        <v>3236.8557656655544</v>
      </c>
      <c r="Y36" s="13" t="s">
        <v>34</v>
      </c>
      <c r="Z36" s="159" t="s">
        <v>346</v>
      </c>
      <c r="AA36" s="224">
        <v>6581.586402266289</v>
      </c>
      <c r="AB36" s="224">
        <v>2777.1084337349398</v>
      </c>
      <c r="AC36" s="223">
        <v>4362.5</v>
      </c>
      <c r="AD36" s="224">
        <v>1569.0866510538642</v>
      </c>
      <c r="AE36" s="224">
        <v>970</v>
      </c>
      <c r="AF36" s="224">
        <v>125323.08836431033</v>
      </c>
      <c r="AG36" s="224">
        <v>46220.714213043037</v>
      </c>
      <c r="AH36" s="223">
        <v>0</v>
      </c>
      <c r="AI36" s="223">
        <v>0</v>
      </c>
    </row>
    <row r="37" spans="1:35" ht="11.1" customHeight="1">
      <c r="A37" s="13"/>
      <c r="B37" s="159" t="s">
        <v>355</v>
      </c>
      <c r="C37" s="224">
        <v>1711.7647058823532</v>
      </c>
      <c r="D37" s="224">
        <v>10003.719717246586</v>
      </c>
      <c r="E37" s="224">
        <v>3710.204081632653</v>
      </c>
      <c r="F37" s="223">
        <v>0</v>
      </c>
      <c r="G37" s="224">
        <v>2012.2448979591834</v>
      </c>
      <c r="H37" s="224">
        <v>0</v>
      </c>
      <c r="I37" s="224">
        <v>8118.0107526881729</v>
      </c>
      <c r="J37" s="223">
        <v>0</v>
      </c>
      <c r="K37" s="224">
        <v>34574.036850921271</v>
      </c>
      <c r="L37" s="224">
        <v>29059.53002610966</v>
      </c>
      <c r="M37" s="13"/>
      <c r="N37" s="159" t="s">
        <v>355</v>
      </c>
      <c r="O37" s="224">
        <v>4527.4199484725796</v>
      </c>
      <c r="P37" s="224">
        <v>20344.632768361582</v>
      </c>
      <c r="Q37" s="224">
        <v>11062.681610626814</v>
      </c>
      <c r="R37" s="224">
        <v>28268.978805394992</v>
      </c>
      <c r="S37" s="224">
        <v>18261.619190404796</v>
      </c>
      <c r="T37" s="224">
        <v>27674.611398963731</v>
      </c>
      <c r="U37" s="224">
        <v>34261.772151898738</v>
      </c>
      <c r="V37" s="224">
        <v>21508.132361189004</v>
      </c>
      <c r="W37" s="224">
        <v>2969.090909090909</v>
      </c>
      <c r="X37" s="224">
        <v>3163.5351426583161</v>
      </c>
      <c r="Y37" s="13"/>
      <c r="Z37" s="159" t="s">
        <v>355</v>
      </c>
      <c r="AA37" s="224">
        <v>6172.8697355533795</v>
      </c>
      <c r="AB37" s="224">
        <v>2675.2895752895752</v>
      </c>
      <c r="AC37" s="224">
        <v>2125</v>
      </c>
      <c r="AD37" s="224">
        <v>1938.5964912280701</v>
      </c>
      <c r="AE37" s="223">
        <v>1944.4444444444443</v>
      </c>
      <c r="AF37" s="224">
        <v>0</v>
      </c>
      <c r="AG37" s="224">
        <v>49892.921862384501</v>
      </c>
      <c r="AH37" s="223">
        <v>0</v>
      </c>
      <c r="AI37" s="223">
        <v>0</v>
      </c>
    </row>
    <row r="38" spans="1:35" ht="11.1" customHeight="1">
      <c r="A38" s="13" t="s">
        <v>292</v>
      </c>
      <c r="B38" s="159" t="s">
        <v>346</v>
      </c>
      <c r="C38" s="224">
        <v>0</v>
      </c>
      <c r="D38" s="224">
        <v>8070</v>
      </c>
      <c r="E38" s="224">
        <v>3130</v>
      </c>
      <c r="F38" s="223">
        <v>0</v>
      </c>
      <c r="G38" s="223">
        <v>5057.5</v>
      </c>
      <c r="H38" s="224">
        <v>2070</v>
      </c>
      <c r="I38" s="224">
        <v>17675.827814569537</v>
      </c>
      <c r="J38" s="223">
        <v>0</v>
      </c>
      <c r="K38" s="224">
        <v>23204.782608695656</v>
      </c>
      <c r="L38" s="224">
        <v>33522.999999999993</v>
      </c>
      <c r="M38" s="13" t="s">
        <v>292</v>
      </c>
      <c r="N38" s="159" t="s">
        <v>346</v>
      </c>
      <c r="O38" s="224">
        <v>6163.75</v>
      </c>
      <c r="P38" s="223">
        <v>0</v>
      </c>
      <c r="Q38" s="223">
        <v>0</v>
      </c>
      <c r="R38" s="224">
        <v>23694.354838709682</v>
      </c>
      <c r="S38" s="223">
        <v>14266.666666666666</v>
      </c>
      <c r="T38" s="223">
        <v>28198.571428571428</v>
      </c>
      <c r="U38" s="224">
        <v>17123.529411764706</v>
      </c>
      <c r="V38" s="224">
        <v>21482.016806722691</v>
      </c>
      <c r="W38" s="223">
        <v>0</v>
      </c>
      <c r="X38" s="223">
        <v>0</v>
      </c>
      <c r="Y38" s="13" t="s">
        <v>292</v>
      </c>
      <c r="Z38" s="159" t="s">
        <v>346</v>
      </c>
      <c r="AA38" s="223">
        <v>0</v>
      </c>
      <c r="AB38" s="224">
        <v>0</v>
      </c>
      <c r="AC38" s="223">
        <v>0</v>
      </c>
      <c r="AD38" s="223">
        <v>0</v>
      </c>
      <c r="AE38" s="223">
        <v>0</v>
      </c>
      <c r="AF38" s="223">
        <v>0</v>
      </c>
      <c r="AG38" s="224">
        <v>35303.007079646013</v>
      </c>
      <c r="AH38" s="223">
        <v>0</v>
      </c>
      <c r="AI38" s="223">
        <v>0</v>
      </c>
    </row>
    <row r="39" spans="1:35" ht="11.1" customHeight="1">
      <c r="A39" s="13"/>
      <c r="B39" s="159" t="s">
        <v>355</v>
      </c>
      <c r="C39" s="224">
        <v>7755</v>
      </c>
      <c r="D39" s="224">
        <v>8100.9500000000007</v>
      </c>
      <c r="E39" s="224">
        <v>3100</v>
      </c>
      <c r="F39" s="223">
        <v>0</v>
      </c>
      <c r="G39" s="224">
        <v>5092.0000000000009</v>
      </c>
      <c r="H39" s="224">
        <v>2104.6666666666665</v>
      </c>
      <c r="I39" s="224">
        <v>17621.232876712325</v>
      </c>
      <c r="J39" s="223">
        <v>0</v>
      </c>
      <c r="K39" s="224">
        <v>23276.739130434784</v>
      </c>
      <c r="L39" s="224">
        <v>33118</v>
      </c>
      <c r="M39" s="13"/>
      <c r="N39" s="159" t="s">
        <v>355</v>
      </c>
      <c r="O39" s="224">
        <v>5795.8823529411766</v>
      </c>
      <c r="P39" s="223">
        <v>13405.000000000002</v>
      </c>
      <c r="Q39" s="223">
        <v>0</v>
      </c>
      <c r="R39" s="224">
        <v>23396.124031007752</v>
      </c>
      <c r="S39" s="224">
        <v>14460</v>
      </c>
      <c r="T39" s="223">
        <v>27755</v>
      </c>
      <c r="U39" s="224">
        <v>17428.571428571428</v>
      </c>
      <c r="V39" s="224">
        <v>21169.834710743802</v>
      </c>
      <c r="W39" s="223">
        <v>0</v>
      </c>
      <c r="X39" s="223">
        <v>0</v>
      </c>
      <c r="Y39" s="13"/>
      <c r="Z39" s="159" t="s">
        <v>355</v>
      </c>
      <c r="AA39" s="223">
        <v>0</v>
      </c>
      <c r="AB39" s="224">
        <v>3300.0000000000005</v>
      </c>
      <c r="AC39" s="223">
        <v>0</v>
      </c>
      <c r="AD39" s="223">
        <v>0</v>
      </c>
      <c r="AE39" s="223">
        <v>0</v>
      </c>
      <c r="AF39" s="223">
        <v>0</v>
      </c>
      <c r="AG39" s="224">
        <v>33312.05980066445</v>
      </c>
      <c r="AH39" s="223">
        <v>0</v>
      </c>
      <c r="AI39" s="223">
        <v>0</v>
      </c>
    </row>
    <row r="40" spans="1:35" ht="11.1" customHeight="1">
      <c r="A40" s="13" t="s">
        <v>35</v>
      </c>
      <c r="B40" s="159" t="s">
        <v>346</v>
      </c>
      <c r="C40" s="223">
        <v>0</v>
      </c>
      <c r="D40" s="224">
        <v>2997.6072738873827</v>
      </c>
      <c r="E40" s="223">
        <v>0</v>
      </c>
      <c r="F40" s="224">
        <v>2964.7700701480908</v>
      </c>
      <c r="G40" s="223">
        <v>0</v>
      </c>
      <c r="H40" s="223">
        <v>0</v>
      </c>
      <c r="I40" s="224">
        <v>1720.2797202797201</v>
      </c>
      <c r="J40" s="223">
        <v>0</v>
      </c>
      <c r="K40" s="224">
        <v>3625</v>
      </c>
      <c r="L40" s="224">
        <v>6324.3243243243242</v>
      </c>
      <c r="M40" s="13" t="s">
        <v>35</v>
      </c>
      <c r="N40" s="159" t="s">
        <v>346</v>
      </c>
      <c r="O40" s="223">
        <v>0</v>
      </c>
      <c r="P40" s="223">
        <v>0</v>
      </c>
      <c r="Q40" s="223">
        <v>0</v>
      </c>
      <c r="R40" s="223">
        <v>0</v>
      </c>
      <c r="S40" s="224">
        <v>4379.9086757990863</v>
      </c>
      <c r="T40" s="223">
        <v>0</v>
      </c>
      <c r="U40" s="224">
        <v>10323.02953048651</v>
      </c>
      <c r="V40" s="223">
        <v>0</v>
      </c>
      <c r="W40" s="223">
        <v>0</v>
      </c>
      <c r="X40" s="223">
        <v>0</v>
      </c>
      <c r="Y40" s="13" t="s">
        <v>35</v>
      </c>
      <c r="Z40" s="159" t="s">
        <v>346</v>
      </c>
      <c r="AA40" s="223">
        <v>0</v>
      </c>
      <c r="AB40" s="223">
        <v>0</v>
      </c>
      <c r="AC40" s="223">
        <v>0</v>
      </c>
      <c r="AD40" s="223">
        <v>0</v>
      </c>
      <c r="AE40" s="223">
        <v>0</v>
      </c>
      <c r="AF40" s="223">
        <v>0</v>
      </c>
      <c r="AG40" s="223">
        <v>0</v>
      </c>
      <c r="AH40" s="223">
        <v>0</v>
      </c>
      <c r="AI40" s="223">
        <v>0</v>
      </c>
    </row>
    <row r="41" spans="1:35" ht="11.1" customHeight="1">
      <c r="A41" s="13"/>
      <c r="B41" s="159" t="s">
        <v>355</v>
      </c>
      <c r="C41" s="223">
        <v>0</v>
      </c>
      <c r="D41" s="224">
        <v>3012.5321336760926</v>
      </c>
      <c r="E41" s="223">
        <v>0</v>
      </c>
      <c r="F41" s="224">
        <v>2970.379512496143</v>
      </c>
      <c r="G41" s="223">
        <v>0</v>
      </c>
      <c r="H41" s="223">
        <v>0</v>
      </c>
      <c r="I41" s="224">
        <v>1687.9432624113474</v>
      </c>
      <c r="J41" s="223">
        <v>0</v>
      </c>
      <c r="K41" s="224">
        <v>3526.3157894736842</v>
      </c>
      <c r="L41" s="224">
        <v>6342.8571428571422</v>
      </c>
      <c r="M41" s="13"/>
      <c r="N41" s="159" t="s">
        <v>355</v>
      </c>
      <c r="O41" s="223">
        <v>0</v>
      </c>
      <c r="P41" s="223">
        <v>0</v>
      </c>
      <c r="Q41" s="223">
        <v>0</v>
      </c>
      <c r="R41" s="223">
        <v>0</v>
      </c>
      <c r="S41" s="224">
        <v>4354.166666666667</v>
      </c>
      <c r="T41" s="223">
        <v>0</v>
      </c>
      <c r="U41" s="224">
        <v>10249.203378685954</v>
      </c>
      <c r="V41" s="223">
        <v>0</v>
      </c>
      <c r="W41" s="223">
        <v>0</v>
      </c>
      <c r="X41" s="223">
        <v>0</v>
      </c>
      <c r="Y41" s="13"/>
      <c r="Z41" s="159" t="s">
        <v>355</v>
      </c>
      <c r="AA41" s="223">
        <v>0</v>
      </c>
      <c r="AB41" s="223">
        <v>0</v>
      </c>
      <c r="AC41" s="223">
        <v>0</v>
      </c>
      <c r="AD41" s="223">
        <v>0</v>
      </c>
      <c r="AE41" s="223">
        <v>0</v>
      </c>
      <c r="AF41" s="223">
        <v>0</v>
      </c>
      <c r="AG41" s="223">
        <v>0</v>
      </c>
      <c r="AH41" s="223">
        <v>0</v>
      </c>
      <c r="AI41" s="223">
        <v>0</v>
      </c>
    </row>
    <row r="42" spans="1:35" ht="11.1" customHeight="1">
      <c r="A42" s="13" t="s">
        <v>54</v>
      </c>
      <c r="B42" s="159" t="s">
        <v>346</v>
      </c>
      <c r="C42" s="223">
        <v>0</v>
      </c>
      <c r="D42" s="224">
        <v>3319.5876288659797</v>
      </c>
      <c r="E42" s="223">
        <v>0</v>
      </c>
      <c r="F42" s="224">
        <v>3080.6330472103009</v>
      </c>
      <c r="G42" s="223">
        <v>0</v>
      </c>
      <c r="H42" s="223">
        <v>0</v>
      </c>
      <c r="I42" s="223">
        <v>0</v>
      </c>
      <c r="J42" s="223">
        <v>0</v>
      </c>
      <c r="K42" s="223">
        <v>0</v>
      </c>
      <c r="L42" s="223">
        <v>0</v>
      </c>
      <c r="M42" s="13" t="s">
        <v>54</v>
      </c>
      <c r="N42" s="159" t="s">
        <v>346</v>
      </c>
      <c r="O42" s="223">
        <v>0</v>
      </c>
      <c r="P42" s="223">
        <v>0</v>
      </c>
      <c r="Q42" s="223">
        <v>0</v>
      </c>
      <c r="R42" s="223">
        <v>0</v>
      </c>
      <c r="S42" s="224">
        <v>0</v>
      </c>
      <c r="T42" s="223">
        <v>0</v>
      </c>
      <c r="U42" s="224">
        <v>14815.679733110926</v>
      </c>
      <c r="V42" s="224">
        <v>7550.0884955752208</v>
      </c>
      <c r="W42" s="223">
        <v>0</v>
      </c>
      <c r="X42" s="223">
        <v>0</v>
      </c>
      <c r="Y42" s="13" t="s">
        <v>54</v>
      </c>
      <c r="Z42" s="159" t="s">
        <v>346</v>
      </c>
      <c r="AA42" s="223">
        <v>0</v>
      </c>
      <c r="AB42" s="224">
        <v>850</v>
      </c>
      <c r="AC42" s="223">
        <v>0</v>
      </c>
      <c r="AD42" s="223">
        <v>0</v>
      </c>
      <c r="AE42" s="223">
        <v>0</v>
      </c>
      <c r="AF42" s="223">
        <v>0</v>
      </c>
      <c r="AG42" s="223">
        <v>0</v>
      </c>
      <c r="AH42" s="223">
        <v>0</v>
      </c>
      <c r="AI42" s="223">
        <v>0</v>
      </c>
    </row>
    <row r="43" spans="1:35" ht="11.1" customHeight="1">
      <c r="A43" s="13"/>
      <c r="B43" s="159" t="s">
        <v>355</v>
      </c>
      <c r="C43" s="223">
        <v>0</v>
      </c>
      <c r="D43" s="224">
        <v>3615.2210753350796</v>
      </c>
      <c r="E43" s="223">
        <v>0</v>
      </c>
      <c r="F43" s="224">
        <v>3529.2579075425792</v>
      </c>
      <c r="G43" s="223">
        <v>0</v>
      </c>
      <c r="H43" s="223">
        <v>0</v>
      </c>
      <c r="I43" s="223">
        <v>0</v>
      </c>
      <c r="J43" s="223">
        <v>0</v>
      </c>
      <c r="K43" s="223">
        <v>0</v>
      </c>
      <c r="L43" s="223">
        <v>0</v>
      </c>
      <c r="M43" s="13"/>
      <c r="N43" s="159" t="s">
        <v>355</v>
      </c>
      <c r="O43" s="223">
        <v>0</v>
      </c>
      <c r="P43" s="223">
        <v>0</v>
      </c>
      <c r="Q43" s="223">
        <v>0</v>
      </c>
      <c r="R43" s="223">
        <v>0</v>
      </c>
      <c r="S43" s="224">
        <v>0</v>
      </c>
      <c r="T43" s="223">
        <v>0</v>
      </c>
      <c r="U43" s="224">
        <v>14030.564784053156</v>
      </c>
      <c r="V43" s="224">
        <v>8412.8467153284673</v>
      </c>
      <c r="W43" s="223">
        <v>0</v>
      </c>
      <c r="X43" s="223">
        <v>0</v>
      </c>
      <c r="Y43" s="13"/>
      <c r="Z43" s="159" t="s">
        <v>355</v>
      </c>
      <c r="AA43" s="223">
        <v>0</v>
      </c>
      <c r="AB43" s="224">
        <v>926.08695652173913</v>
      </c>
      <c r="AC43" s="223">
        <v>0</v>
      </c>
      <c r="AD43" s="223">
        <v>0</v>
      </c>
      <c r="AE43" s="223">
        <v>0</v>
      </c>
      <c r="AF43" s="223">
        <v>0</v>
      </c>
      <c r="AG43" s="223">
        <v>0</v>
      </c>
      <c r="AH43" s="223">
        <v>0</v>
      </c>
      <c r="AI43" s="223">
        <v>0</v>
      </c>
    </row>
    <row r="44" spans="1:35" ht="11.1" customHeight="1">
      <c r="A44" s="13" t="s">
        <v>64</v>
      </c>
      <c r="B44" s="159" t="s">
        <v>346</v>
      </c>
      <c r="C44" s="224">
        <v>1106.7916666666667</v>
      </c>
      <c r="D44" s="224">
        <v>3530.5128205128208</v>
      </c>
      <c r="E44" s="224">
        <v>1238.672131147541</v>
      </c>
      <c r="F44" s="223">
        <v>0</v>
      </c>
      <c r="G44" s="224">
        <v>1021.279411764706</v>
      </c>
      <c r="H44" s="224">
        <v>1028.5714285714287</v>
      </c>
      <c r="I44" s="223">
        <v>4950</v>
      </c>
      <c r="J44" s="223">
        <v>0</v>
      </c>
      <c r="K44" s="224">
        <v>26527.5</v>
      </c>
      <c r="L44" s="224">
        <v>9143.3333333333321</v>
      </c>
      <c r="M44" s="13" t="s">
        <v>64</v>
      </c>
      <c r="N44" s="159" t="s">
        <v>346</v>
      </c>
      <c r="O44" s="224">
        <v>4021.166666666667</v>
      </c>
      <c r="P44" s="224">
        <v>27361.250000000004</v>
      </c>
      <c r="Q44" s="224">
        <v>7178</v>
      </c>
      <c r="R44" s="224">
        <v>27821.627906976744</v>
      </c>
      <c r="S44" s="224">
        <v>15982.4</v>
      </c>
      <c r="T44" s="224">
        <v>11850.747126436781</v>
      </c>
      <c r="U44" s="223">
        <v>0</v>
      </c>
      <c r="V44" s="223">
        <v>8162.0000000000009</v>
      </c>
      <c r="W44" s="224">
        <v>6592.5999999999995</v>
      </c>
      <c r="X44" s="224">
        <v>6140</v>
      </c>
      <c r="Y44" s="13" t="s">
        <v>64</v>
      </c>
      <c r="Z44" s="159" t="s">
        <v>346</v>
      </c>
      <c r="AA44" s="223">
        <v>0</v>
      </c>
      <c r="AB44" s="224">
        <v>2860</v>
      </c>
      <c r="AC44" s="223">
        <v>0</v>
      </c>
      <c r="AD44" s="224">
        <v>1233.2708333333333</v>
      </c>
      <c r="AE44" s="223">
        <v>0</v>
      </c>
      <c r="AF44" s="223">
        <v>0</v>
      </c>
      <c r="AG44" s="224">
        <v>61276.222222222219</v>
      </c>
      <c r="AH44" s="223">
        <v>0</v>
      </c>
      <c r="AI44" s="224">
        <v>16527.785714285717</v>
      </c>
    </row>
    <row r="45" spans="1:35" ht="11.1" customHeight="1">
      <c r="A45" s="13"/>
      <c r="B45" s="159" t="s">
        <v>355</v>
      </c>
      <c r="C45" s="224">
        <v>1173.2075471698111</v>
      </c>
      <c r="D45" s="224">
        <v>3413.6538461538466</v>
      </c>
      <c r="E45" s="224">
        <v>1223.2903811252268</v>
      </c>
      <c r="F45" s="223">
        <v>0</v>
      </c>
      <c r="G45" s="224">
        <v>1158.1011235955057</v>
      </c>
      <c r="H45" s="224">
        <v>1036.0714285714284</v>
      </c>
      <c r="I45" s="223">
        <v>0</v>
      </c>
      <c r="J45" s="223">
        <v>0</v>
      </c>
      <c r="K45" s="224">
        <v>27652</v>
      </c>
      <c r="L45" s="224">
        <v>7764</v>
      </c>
      <c r="M45" s="13"/>
      <c r="N45" s="159" t="s">
        <v>355</v>
      </c>
      <c r="O45" s="224">
        <v>4344.739130434783</v>
      </c>
      <c r="P45" s="224">
        <v>27473.75</v>
      </c>
      <c r="Q45" s="223">
        <v>7856.6666666666661</v>
      </c>
      <c r="R45" s="224">
        <v>32551.184210526317</v>
      </c>
      <c r="S45" s="224">
        <v>16477.12</v>
      </c>
      <c r="T45" s="224">
        <v>12004.680069930069</v>
      </c>
      <c r="U45" s="223">
        <v>0</v>
      </c>
      <c r="V45" s="224">
        <v>8735</v>
      </c>
      <c r="W45" s="224">
        <v>6622.7777777777783</v>
      </c>
      <c r="X45" s="224">
        <v>5820</v>
      </c>
      <c r="Y45" s="13"/>
      <c r="Z45" s="159" t="s">
        <v>355</v>
      </c>
      <c r="AA45" s="223">
        <v>0</v>
      </c>
      <c r="AB45" s="224">
        <v>3638.0000000000005</v>
      </c>
      <c r="AC45" s="223">
        <v>0</v>
      </c>
      <c r="AD45" s="224">
        <v>1310.2222222222222</v>
      </c>
      <c r="AE45" s="223">
        <v>0</v>
      </c>
      <c r="AF45" s="223">
        <v>0</v>
      </c>
      <c r="AG45" s="224">
        <v>59952.089552238802</v>
      </c>
      <c r="AH45" s="223">
        <v>0</v>
      </c>
      <c r="AI45" s="224">
        <v>15961.625</v>
      </c>
    </row>
    <row r="46" spans="1:35" ht="11.1" customHeight="1">
      <c r="A46" s="13" t="s">
        <v>36</v>
      </c>
      <c r="B46" s="159" t="s">
        <v>346</v>
      </c>
      <c r="C46" s="223">
        <v>0</v>
      </c>
      <c r="D46" s="224">
        <v>1666.957069528698</v>
      </c>
      <c r="E46" s="224">
        <v>1376.0409924487594</v>
      </c>
      <c r="F46" s="224">
        <v>1447.6146907216494</v>
      </c>
      <c r="G46" s="223">
        <v>9800</v>
      </c>
      <c r="H46" s="223">
        <v>0</v>
      </c>
      <c r="I46" s="224">
        <v>14280.309523809525</v>
      </c>
      <c r="J46" s="223">
        <v>0</v>
      </c>
      <c r="K46" s="223">
        <v>0</v>
      </c>
      <c r="L46" s="224">
        <v>21867.752161383287</v>
      </c>
      <c r="M46" s="13" t="s">
        <v>36</v>
      </c>
      <c r="N46" s="159" t="s">
        <v>346</v>
      </c>
      <c r="O46" s="224">
        <v>3479.7619047619046</v>
      </c>
      <c r="P46" s="224">
        <v>14859.157894736843</v>
      </c>
      <c r="Q46" s="224">
        <v>2500</v>
      </c>
      <c r="R46" s="223">
        <v>0</v>
      </c>
      <c r="S46" s="224">
        <v>15061.833776595744</v>
      </c>
      <c r="T46" s="224">
        <v>19096.869591601433</v>
      </c>
      <c r="U46" s="224">
        <v>14670.02664859982</v>
      </c>
      <c r="V46" s="223">
        <v>0</v>
      </c>
      <c r="W46" s="224">
        <v>9050.0377358490568</v>
      </c>
      <c r="X46" s="224">
        <v>10069.524444444445</v>
      </c>
      <c r="Y46" s="13" t="s">
        <v>36</v>
      </c>
      <c r="Z46" s="159" t="s">
        <v>346</v>
      </c>
      <c r="AA46" s="223">
        <v>0</v>
      </c>
      <c r="AB46" s="224">
        <v>1327.1084337349398</v>
      </c>
      <c r="AC46" s="223">
        <v>0</v>
      </c>
      <c r="AD46" s="224">
        <v>1752.1761658031085</v>
      </c>
      <c r="AE46" s="224">
        <v>630.24096385542168</v>
      </c>
      <c r="AF46" s="223">
        <v>0</v>
      </c>
      <c r="AG46" s="223">
        <v>0</v>
      </c>
      <c r="AH46" s="223">
        <v>0</v>
      </c>
      <c r="AI46" s="224">
        <v>18336.326530612245</v>
      </c>
    </row>
    <row r="47" spans="1:35" ht="11.1" customHeight="1">
      <c r="A47" s="13"/>
      <c r="B47" s="159" t="s">
        <v>355</v>
      </c>
      <c r="C47" s="223">
        <v>0</v>
      </c>
      <c r="D47" s="224">
        <v>1763.280487804878</v>
      </c>
      <c r="E47" s="224">
        <v>1320.2674897119341</v>
      </c>
      <c r="F47" s="224">
        <v>1461.6000000000001</v>
      </c>
      <c r="G47" s="223">
        <v>6533.333333333333</v>
      </c>
      <c r="H47" s="223">
        <v>0</v>
      </c>
      <c r="I47" s="224">
        <v>16273.576158940397</v>
      </c>
      <c r="J47" s="223">
        <v>0</v>
      </c>
      <c r="K47" s="223">
        <v>0</v>
      </c>
      <c r="L47" s="224">
        <v>21282.338830584707</v>
      </c>
      <c r="M47" s="13"/>
      <c r="N47" s="159" t="s">
        <v>355</v>
      </c>
      <c r="O47" s="224">
        <v>3368.392603129445</v>
      </c>
      <c r="P47" s="224">
        <v>14184.186046511626</v>
      </c>
      <c r="Q47" s="224">
        <v>2300</v>
      </c>
      <c r="R47" s="223">
        <v>0</v>
      </c>
      <c r="S47" s="224">
        <v>12058.59523453065</v>
      </c>
      <c r="T47" s="224">
        <v>17806.05872592832</v>
      </c>
      <c r="U47" s="224">
        <v>14624.281631592621</v>
      </c>
      <c r="V47" s="223">
        <v>0</v>
      </c>
      <c r="W47" s="224">
        <v>9108.2254025044713</v>
      </c>
      <c r="X47" s="224">
        <v>9934.3622047244098</v>
      </c>
      <c r="Y47" s="13"/>
      <c r="Z47" s="159" t="s">
        <v>355</v>
      </c>
      <c r="AA47" s="223">
        <v>0</v>
      </c>
      <c r="AB47" s="224">
        <v>1367.2556390977443</v>
      </c>
      <c r="AC47" s="223">
        <v>0</v>
      </c>
      <c r="AD47" s="224">
        <v>1544.0729483282673</v>
      </c>
      <c r="AE47" s="224">
        <v>684.70588235294122</v>
      </c>
      <c r="AF47" s="223">
        <v>0</v>
      </c>
      <c r="AG47" s="223">
        <v>0</v>
      </c>
      <c r="AH47" s="223">
        <v>0</v>
      </c>
      <c r="AI47" s="224">
        <v>0</v>
      </c>
    </row>
    <row r="48" spans="1:35" ht="11.1" customHeight="1">
      <c r="A48" s="13" t="s">
        <v>37</v>
      </c>
      <c r="B48" s="159" t="s">
        <v>346</v>
      </c>
      <c r="C48" s="224">
        <v>965.83996256434261</v>
      </c>
      <c r="D48" s="224">
        <v>4013.7092602172793</v>
      </c>
      <c r="E48" s="224">
        <v>1134.238310708899</v>
      </c>
      <c r="F48" s="224">
        <v>8157.6760812856273</v>
      </c>
      <c r="G48" s="224">
        <v>868.42105263157896</v>
      </c>
      <c r="H48" s="223">
        <v>0</v>
      </c>
      <c r="I48" s="224">
        <v>0</v>
      </c>
      <c r="J48" s="224">
        <v>27315.78947368421</v>
      </c>
      <c r="K48" s="224">
        <v>17200</v>
      </c>
      <c r="L48" s="224">
        <v>0</v>
      </c>
      <c r="M48" s="13" t="s">
        <v>37</v>
      </c>
      <c r="N48" s="159" t="s">
        <v>346</v>
      </c>
      <c r="O48" s="224">
        <v>1994.6236559139786</v>
      </c>
      <c r="P48" s="224">
        <v>5423.5294117647063</v>
      </c>
      <c r="Q48" s="224">
        <v>3000</v>
      </c>
      <c r="R48" s="224">
        <v>21525.423728813559</v>
      </c>
      <c r="S48" s="224">
        <v>6000</v>
      </c>
      <c r="T48" s="224">
        <v>12293.264248704663</v>
      </c>
      <c r="U48" s="224">
        <v>8259.0090090090089</v>
      </c>
      <c r="V48" s="224">
        <v>14551.79282868526</v>
      </c>
      <c r="W48" s="224">
        <v>4716.4502164502173</v>
      </c>
      <c r="X48" s="224">
        <v>2569.7674418604652</v>
      </c>
      <c r="Y48" s="13" t="s">
        <v>37</v>
      </c>
      <c r="Z48" s="159" t="s">
        <v>346</v>
      </c>
      <c r="AA48" s="224">
        <v>2566.579634464752</v>
      </c>
      <c r="AB48" s="224">
        <v>873.08003233629745</v>
      </c>
      <c r="AC48" s="223">
        <v>0</v>
      </c>
      <c r="AD48" s="224">
        <v>854.4600938967136</v>
      </c>
      <c r="AE48" s="224">
        <v>966.21621621621625</v>
      </c>
      <c r="AF48" s="224">
        <v>139573.50878990535</v>
      </c>
      <c r="AG48" s="223">
        <v>0</v>
      </c>
      <c r="AH48" s="223">
        <v>0</v>
      </c>
      <c r="AI48" s="223">
        <v>0</v>
      </c>
    </row>
    <row r="49" spans="1:35" ht="11.1" customHeight="1">
      <c r="A49" s="13"/>
      <c r="B49" s="159" t="s">
        <v>355</v>
      </c>
      <c r="C49" s="224">
        <v>1088.1355932203389</v>
      </c>
      <c r="D49" s="224">
        <v>3464.2614023144997</v>
      </c>
      <c r="E49" s="224">
        <v>994.70619375330864</v>
      </c>
      <c r="F49" s="224">
        <v>8491.0850919961558</v>
      </c>
      <c r="G49" s="224">
        <v>1000</v>
      </c>
      <c r="H49" s="223">
        <v>0</v>
      </c>
      <c r="I49" s="223">
        <v>0</v>
      </c>
      <c r="J49" s="224">
        <v>27297.297297297297</v>
      </c>
      <c r="K49" s="224">
        <v>21314.285714285714</v>
      </c>
      <c r="L49" s="223">
        <v>3305.0847457627119</v>
      </c>
      <c r="M49" s="13"/>
      <c r="N49" s="159" t="s">
        <v>355</v>
      </c>
      <c r="O49" s="224">
        <v>1868.6131386861314</v>
      </c>
      <c r="P49" s="224">
        <v>4250</v>
      </c>
      <c r="Q49" s="224">
        <v>0</v>
      </c>
      <c r="R49" s="224">
        <v>18488.372093023256</v>
      </c>
      <c r="S49" s="224">
        <v>6000</v>
      </c>
      <c r="T49" s="224">
        <v>11087.196467991171</v>
      </c>
      <c r="U49" s="224">
        <v>4038.8349514563106</v>
      </c>
      <c r="V49" s="224">
        <v>12707.165109034268</v>
      </c>
      <c r="W49" s="224">
        <v>2420.8144796380088</v>
      </c>
      <c r="X49" s="224">
        <v>2171.2707182320441</v>
      </c>
      <c r="Y49" s="13"/>
      <c r="Z49" s="159" t="s">
        <v>355</v>
      </c>
      <c r="AA49" s="224">
        <v>10000</v>
      </c>
      <c r="AB49" s="224">
        <v>781.78368121442122</v>
      </c>
      <c r="AC49" s="223">
        <v>0</v>
      </c>
      <c r="AD49" s="224">
        <v>921.6300940438872</v>
      </c>
      <c r="AE49" s="224">
        <v>726.19047619047615</v>
      </c>
      <c r="AF49" s="224">
        <v>138774.66473962588</v>
      </c>
      <c r="AG49" s="223">
        <v>0</v>
      </c>
      <c r="AH49" s="223">
        <v>0</v>
      </c>
      <c r="AI49" s="223">
        <v>0</v>
      </c>
    </row>
    <row r="50" spans="1:35" ht="11.1" customHeight="1">
      <c r="A50" s="13" t="s">
        <v>38</v>
      </c>
      <c r="B50" s="159" t="s">
        <v>346</v>
      </c>
      <c r="C50" s="224">
        <v>1398.980190755686</v>
      </c>
      <c r="D50" s="224">
        <v>1683.5276419706656</v>
      </c>
      <c r="E50" s="224">
        <v>1635.5399408284022</v>
      </c>
      <c r="F50" s="224">
        <v>1830.9523809523812</v>
      </c>
      <c r="G50" s="224">
        <v>1187.6092233009708</v>
      </c>
      <c r="H50" s="224">
        <v>1102.0035604016578</v>
      </c>
      <c r="I50" s="223">
        <v>0</v>
      </c>
      <c r="J50" s="223">
        <v>0</v>
      </c>
      <c r="K50" s="223">
        <v>0</v>
      </c>
      <c r="L50" s="224">
        <v>10001.785714285714</v>
      </c>
      <c r="M50" s="13" t="s">
        <v>38</v>
      </c>
      <c r="N50" s="159" t="s">
        <v>346</v>
      </c>
      <c r="O50" s="223">
        <v>0</v>
      </c>
      <c r="P50" s="224">
        <v>7675</v>
      </c>
      <c r="Q50" s="223">
        <v>0</v>
      </c>
      <c r="R50" s="224">
        <v>16560</v>
      </c>
      <c r="S50" s="224">
        <v>0</v>
      </c>
      <c r="T50" s="224">
        <v>13725.668297406957</v>
      </c>
      <c r="U50" s="224">
        <v>13122.177954847277</v>
      </c>
      <c r="V50" s="224">
        <v>11345.081967213113</v>
      </c>
      <c r="W50" s="224">
        <v>8360.0448053766449</v>
      </c>
      <c r="X50" s="224">
        <v>6699.8574991093692</v>
      </c>
      <c r="Y50" s="13" t="s">
        <v>38</v>
      </c>
      <c r="Z50" s="159" t="s">
        <v>346</v>
      </c>
      <c r="AA50" s="223">
        <v>0</v>
      </c>
      <c r="AB50" s="224">
        <v>1199.4746059544659</v>
      </c>
      <c r="AC50" s="223">
        <v>0</v>
      </c>
      <c r="AD50" s="224">
        <v>1279.5861108347426</v>
      </c>
      <c r="AE50" s="224">
        <v>1012.4186046511627</v>
      </c>
      <c r="AF50" s="223">
        <v>0</v>
      </c>
      <c r="AG50" s="223">
        <v>0</v>
      </c>
      <c r="AH50" s="224">
        <v>22712.726887192537</v>
      </c>
      <c r="AI50" s="224">
        <v>28608.587650816182</v>
      </c>
    </row>
    <row r="51" spans="1:35" ht="11.1" customHeight="1">
      <c r="A51" s="13"/>
      <c r="B51" s="159" t="s">
        <v>355</v>
      </c>
      <c r="C51" s="224">
        <v>1271.6481892091649</v>
      </c>
      <c r="D51" s="224">
        <v>1686.5753424657532</v>
      </c>
      <c r="E51" s="224">
        <v>1668.7435765673176</v>
      </c>
      <c r="F51" s="224">
        <v>1832.5000000000002</v>
      </c>
      <c r="G51" s="224">
        <v>1263.8621654348822</v>
      </c>
      <c r="H51" s="224">
        <v>1121.3604155928708</v>
      </c>
      <c r="I51" s="223">
        <v>0</v>
      </c>
      <c r="J51" s="223">
        <v>0</v>
      </c>
      <c r="K51" s="223">
        <v>0</v>
      </c>
      <c r="L51" s="224">
        <v>10265.740740740741</v>
      </c>
      <c r="M51" s="13"/>
      <c r="N51" s="159" t="s">
        <v>355</v>
      </c>
      <c r="O51" s="223">
        <v>0</v>
      </c>
      <c r="P51" s="224">
        <v>8205.2631578947385</v>
      </c>
      <c r="Q51" s="223">
        <v>0</v>
      </c>
      <c r="R51" s="224">
        <v>16059.102902374672</v>
      </c>
      <c r="S51" s="223">
        <v>4809.090909090909</v>
      </c>
      <c r="T51" s="224">
        <v>15507.702588980745</v>
      </c>
      <c r="U51" s="224">
        <v>16286.879925822901</v>
      </c>
      <c r="V51" s="224">
        <v>9292.4369747899145</v>
      </c>
      <c r="W51" s="224">
        <v>8630.5649072753204</v>
      </c>
      <c r="X51" s="224">
        <v>6931.2641242937834</v>
      </c>
      <c r="Y51" s="13"/>
      <c r="Z51" s="159" t="s">
        <v>355</v>
      </c>
      <c r="AA51" s="223">
        <v>0</v>
      </c>
      <c r="AB51" s="224">
        <v>1198.2363636363636</v>
      </c>
      <c r="AC51" s="223">
        <v>0</v>
      </c>
      <c r="AD51" s="224">
        <v>1292.4253393665158</v>
      </c>
      <c r="AE51" s="224">
        <v>985.61436672967864</v>
      </c>
      <c r="AF51" s="223">
        <v>0</v>
      </c>
      <c r="AG51" s="223">
        <v>0</v>
      </c>
      <c r="AH51" s="224">
        <v>22452.312599681019</v>
      </c>
      <c r="AI51" s="224">
        <v>30891.318732707223</v>
      </c>
    </row>
    <row r="52" spans="1:35" ht="11.1" customHeight="1">
      <c r="A52" s="13" t="s">
        <v>67</v>
      </c>
      <c r="B52" s="159" t="s">
        <v>346</v>
      </c>
      <c r="C52" s="223">
        <v>0</v>
      </c>
      <c r="D52" s="224">
        <v>2863.702105191443</v>
      </c>
      <c r="E52" s="223">
        <v>0</v>
      </c>
      <c r="F52" s="224">
        <v>7776.0732862869818</v>
      </c>
      <c r="G52" s="223">
        <v>0</v>
      </c>
      <c r="H52" s="223">
        <v>0</v>
      </c>
      <c r="I52" s="223">
        <v>0</v>
      </c>
      <c r="J52" s="223">
        <v>0</v>
      </c>
      <c r="K52" s="224">
        <v>13372.319688109163</v>
      </c>
      <c r="L52" s="223">
        <v>0</v>
      </c>
      <c r="M52" s="13" t="s">
        <v>67</v>
      </c>
      <c r="N52" s="159" t="s">
        <v>346</v>
      </c>
      <c r="O52" s="223">
        <v>0</v>
      </c>
      <c r="P52" s="223">
        <v>0</v>
      </c>
      <c r="Q52" s="223">
        <v>0</v>
      </c>
      <c r="R52" s="223">
        <v>0</v>
      </c>
      <c r="S52" s="223">
        <v>0</v>
      </c>
      <c r="T52" s="223">
        <v>0</v>
      </c>
      <c r="U52" s="224">
        <v>15875.378637212005</v>
      </c>
      <c r="V52" s="223">
        <v>0</v>
      </c>
      <c r="W52" s="223">
        <v>0</v>
      </c>
      <c r="X52" s="223">
        <v>0</v>
      </c>
      <c r="Y52" s="13" t="s">
        <v>67</v>
      </c>
      <c r="Z52" s="159" t="s">
        <v>346</v>
      </c>
      <c r="AA52" s="223">
        <v>0</v>
      </c>
      <c r="AB52" s="224">
        <v>948.49873289406992</v>
      </c>
      <c r="AC52" s="223">
        <v>0</v>
      </c>
      <c r="AD52" s="223">
        <v>0</v>
      </c>
      <c r="AE52" s="223">
        <v>0</v>
      </c>
      <c r="AF52" s="223">
        <v>0</v>
      </c>
      <c r="AG52" s="223">
        <v>0</v>
      </c>
      <c r="AH52" s="223">
        <v>0</v>
      </c>
      <c r="AI52" s="223">
        <v>0</v>
      </c>
    </row>
    <row r="53" spans="1:35" ht="11.1" customHeight="1">
      <c r="A53" s="13"/>
      <c r="B53" s="159" t="s">
        <v>355</v>
      </c>
      <c r="C53" s="223">
        <v>0</v>
      </c>
      <c r="D53" s="224">
        <v>3137.592807029494</v>
      </c>
      <c r="E53" s="223">
        <v>0</v>
      </c>
      <c r="F53" s="224">
        <v>7856.347296364891</v>
      </c>
      <c r="G53" s="223">
        <v>0</v>
      </c>
      <c r="H53" s="223">
        <v>0</v>
      </c>
      <c r="I53" s="224">
        <v>13250</v>
      </c>
      <c r="J53" s="223">
        <v>0</v>
      </c>
      <c r="K53" s="224">
        <v>13656.941649899396</v>
      </c>
      <c r="L53" s="223">
        <v>0</v>
      </c>
      <c r="M53" s="13"/>
      <c r="N53" s="159" t="s">
        <v>355</v>
      </c>
      <c r="O53" s="223">
        <v>0</v>
      </c>
      <c r="P53" s="223">
        <v>0</v>
      </c>
      <c r="Q53" s="223">
        <v>0</v>
      </c>
      <c r="R53" s="223">
        <v>0</v>
      </c>
      <c r="S53" s="223">
        <v>0</v>
      </c>
      <c r="T53" s="223">
        <v>0</v>
      </c>
      <c r="U53" s="224">
        <v>16852.242744063326</v>
      </c>
      <c r="V53" s="223">
        <v>0</v>
      </c>
      <c r="W53" s="223">
        <v>0</v>
      </c>
      <c r="X53" s="223">
        <v>0</v>
      </c>
      <c r="Y53" s="13"/>
      <c r="Z53" s="159" t="s">
        <v>355</v>
      </c>
      <c r="AA53" s="223">
        <v>0</v>
      </c>
      <c r="AB53" s="224">
        <v>944.74980268350441</v>
      </c>
      <c r="AC53" s="223">
        <v>0</v>
      </c>
      <c r="AD53" s="223">
        <v>0</v>
      </c>
      <c r="AE53" s="223">
        <v>0</v>
      </c>
      <c r="AF53" s="223">
        <v>0</v>
      </c>
      <c r="AG53" s="223">
        <v>0</v>
      </c>
      <c r="AH53" s="223">
        <v>0</v>
      </c>
      <c r="AI53" s="223">
        <v>0</v>
      </c>
    </row>
    <row r="54" spans="1:35" ht="11.1" customHeight="1">
      <c r="A54" s="13" t="s">
        <v>65</v>
      </c>
      <c r="B54" s="159" t="s">
        <v>346</v>
      </c>
      <c r="C54" s="224">
        <v>0</v>
      </c>
      <c r="D54" s="224">
        <v>0</v>
      </c>
      <c r="E54" s="224">
        <v>3201.0968921389399</v>
      </c>
      <c r="F54" s="223">
        <v>0</v>
      </c>
      <c r="G54" s="223">
        <v>0</v>
      </c>
      <c r="H54" s="224">
        <v>1724.1379310344826</v>
      </c>
      <c r="I54" s="224">
        <v>11729.312762973352</v>
      </c>
      <c r="J54" s="223">
        <v>0</v>
      </c>
      <c r="K54" s="224">
        <v>37440.366972477066</v>
      </c>
      <c r="L54" s="224">
        <v>34045.454545454544</v>
      </c>
      <c r="M54" s="13" t="s">
        <v>65</v>
      </c>
      <c r="N54" s="159" t="s">
        <v>346</v>
      </c>
      <c r="O54" s="224">
        <v>7750</v>
      </c>
      <c r="P54" s="223">
        <v>0</v>
      </c>
      <c r="Q54" s="224">
        <v>10750</v>
      </c>
      <c r="R54" s="224">
        <v>30106.995884773663</v>
      </c>
      <c r="S54" s="224">
        <v>13676.767676767677</v>
      </c>
      <c r="T54" s="224">
        <v>19919.708029197081</v>
      </c>
      <c r="U54" s="223">
        <v>0</v>
      </c>
      <c r="V54" s="224">
        <v>15606.557377049179</v>
      </c>
      <c r="W54" s="223">
        <v>0</v>
      </c>
      <c r="X54" s="223">
        <v>0</v>
      </c>
      <c r="Y54" s="13" t="s">
        <v>65</v>
      </c>
      <c r="Z54" s="159" t="s">
        <v>346</v>
      </c>
      <c r="AA54" s="224">
        <v>5692.3076923076924</v>
      </c>
      <c r="AB54" s="223">
        <v>0</v>
      </c>
      <c r="AC54" s="223">
        <v>0</v>
      </c>
      <c r="AD54" s="223">
        <v>0</v>
      </c>
      <c r="AE54" s="223">
        <v>0</v>
      </c>
      <c r="AF54" s="223">
        <v>0</v>
      </c>
      <c r="AG54" s="224">
        <v>47316.100443131458</v>
      </c>
      <c r="AH54" s="223">
        <v>0</v>
      </c>
      <c r="AI54" s="224">
        <v>0</v>
      </c>
    </row>
    <row r="55" spans="1:35" ht="11.1" customHeight="1">
      <c r="A55" s="13"/>
      <c r="B55" s="159" t="s">
        <v>355</v>
      </c>
      <c r="C55" s="223">
        <v>0</v>
      </c>
      <c r="D55" s="224">
        <v>0</v>
      </c>
      <c r="E55" s="224">
        <v>2992.1011058451818</v>
      </c>
      <c r="F55" s="223">
        <v>0</v>
      </c>
      <c r="G55" s="223">
        <v>0</v>
      </c>
      <c r="H55" s="224">
        <v>2013.5746606334842</v>
      </c>
      <c r="I55" s="224">
        <v>11767.656090071649</v>
      </c>
      <c r="J55" s="223">
        <v>0</v>
      </c>
      <c r="K55" s="224">
        <v>38617.647058823532</v>
      </c>
      <c r="L55" s="224">
        <v>34744.680851063829</v>
      </c>
      <c r="M55" s="13"/>
      <c r="N55" s="159" t="s">
        <v>355</v>
      </c>
      <c r="O55" s="224">
        <v>7142.8571428571431</v>
      </c>
      <c r="P55" s="223">
        <v>0</v>
      </c>
      <c r="Q55" s="224">
        <v>9000</v>
      </c>
      <c r="R55" s="224">
        <v>34839.622641509435</v>
      </c>
      <c r="S55" s="224">
        <v>14278.350515463919</v>
      </c>
      <c r="T55" s="224">
        <v>21606.145251396647</v>
      </c>
      <c r="U55" s="223">
        <v>0</v>
      </c>
      <c r="V55" s="224">
        <v>15418.439716312056</v>
      </c>
      <c r="W55" s="223">
        <v>0</v>
      </c>
      <c r="X55" s="223">
        <v>0</v>
      </c>
      <c r="Y55" s="13"/>
      <c r="Z55" s="159" t="s">
        <v>355</v>
      </c>
      <c r="AA55" s="224">
        <v>5842.105263157895</v>
      </c>
      <c r="AB55" s="223">
        <v>0</v>
      </c>
      <c r="AC55" s="223">
        <v>0</v>
      </c>
      <c r="AD55" s="223">
        <v>0</v>
      </c>
      <c r="AE55" s="223">
        <v>0</v>
      </c>
      <c r="AF55" s="223">
        <v>0</v>
      </c>
      <c r="AG55" s="224">
        <v>43589.857651245555</v>
      </c>
      <c r="AH55" s="223">
        <v>0</v>
      </c>
      <c r="AI55" s="224">
        <v>0</v>
      </c>
    </row>
    <row r="56" spans="1:35" ht="11.1" customHeight="1">
      <c r="A56" s="13" t="s">
        <v>66</v>
      </c>
      <c r="B56" s="159" t="s">
        <v>346</v>
      </c>
      <c r="C56" s="223">
        <v>0</v>
      </c>
      <c r="D56" s="224">
        <v>3768.2877343990162</v>
      </c>
      <c r="E56" s="223">
        <v>0</v>
      </c>
      <c r="F56" s="224">
        <v>8695.9649280737467</v>
      </c>
      <c r="G56" s="223">
        <v>0</v>
      </c>
      <c r="H56" s="223">
        <v>0</v>
      </c>
      <c r="I56" s="224">
        <v>10493.684210526315</v>
      </c>
      <c r="J56" s="223">
        <v>0</v>
      </c>
      <c r="K56" s="224">
        <v>17000</v>
      </c>
      <c r="L56" s="224">
        <v>6310.9090909090919</v>
      </c>
      <c r="M56" s="13" t="s">
        <v>66</v>
      </c>
      <c r="N56" s="159" t="s">
        <v>346</v>
      </c>
      <c r="O56" s="223">
        <v>0</v>
      </c>
      <c r="P56" s="223">
        <v>0</v>
      </c>
      <c r="Q56" s="223">
        <v>0</v>
      </c>
      <c r="R56" s="223">
        <v>0</v>
      </c>
      <c r="S56" s="224">
        <v>7071.6675489677073</v>
      </c>
      <c r="T56" s="223">
        <v>0</v>
      </c>
      <c r="U56" s="224">
        <v>16440.423921271762</v>
      </c>
      <c r="V56" s="224">
        <v>7527.2727272727261</v>
      </c>
      <c r="W56" s="223">
        <v>0</v>
      </c>
      <c r="X56" s="223">
        <v>0</v>
      </c>
      <c r="Y56" s="13" t="s">
        <v>66</v>
      </c>
      <c r="Z56" s="159" t="s">
        <v>346</v>
      </c>
      <c r="AA56" s="223">
        <v>0</v>
      </c>
      <c r="AB56" s="223">
        <v>0</v>
      </c>
      <c r="AC56" s="223">
        <v>0</v>
      </c>
      <c r="AD56" s="223">
        <v>0</v>
      </c>
      <c r="AE56" s="223">
        <v>0</v>
      </c>
      <c r="AF56" s="223">
        <v>0</v>
      </c>
      <c r="AG56" s="223">
        <v>0</v>
      </c>
      <c r="AH56" s="223">
        <v>0</v>
      </c>
      <c r="AI56" s="223">
        <v>0</v>
      </c>
    </row>
    <row r="57" spans="1:35" ht="11.1" customHeight="1">
      <c r="A57" s="13"/>
      <c r="B57" s="159" t="s">
        <v>355</v>
      </c>
      <c r="C57" s="223">
        <v>0</v>
      </c>
      <c r="D57" s="224">
        <v>2471.7544587308171</v>
      </c>
      <c r="E57" s="223">
        <v>0</v>
      </c>
      <c r="F57" s="224">
        <v>8852.7810022794547</v>
      </c>
      <c r="G57" s="223">
        <v>0</v>
      </c>
      <c r="H57" s="223">
        <v>0</v>
      </c>
      <c r="I57" s="224">
        <v>0</v>
      </c>
      <c r="J57" s="223">
        <v>0</v>
      </c>
      <c r="K57" s="224">
        <v>20666.666666666668</v>
      </c>
      <c r="L57" s="224">
        <v>10600.891089108911</v>
      </c>
      <c r="M57" s="13"/>
      <c r="N57" s="159" t="s">
        <v>355</v>
      </c>
      <c r="O57" s="223">
        <v>0</v>
      </c>
      <c r="P57" s="223">
        <v>0</v>
      </c>
      <c r="Q57" s="223">
        <v>0</v>
      </c>
      <c r="R57" s="223">
        <v>0</v>
      </c>
      <c r="S57" s="224">
        <v>7054.6706586826349</v>
      </c>
      <c r="T57" s="223">
        <v>0</v>
      </c>
      <c r="U57" s="224">
        <v>17651.251591005515</v>
      </c>
      <c r="V57" s="224">
        <v>5119.0476190476184</v>
      </c>
      <c r="W57" s="223">
        <v>0</v>
      </c>
      <c r="X57" s="223">
        <v>0</v>
      </c>
      <c r="Y57" s="13"/>
      <c r="Z57" s="159" t="s">
        <v>355</v>
      </c>
      <c r="AA57" s="223">
        <v>0</v>
      </c>
      <c r="AB57" s="223">
        <v>1600</v>
      </c>
      <c r="AC57" s="223">
        <v>0</v>
      </c>
      <c r="AD57" s="223">
        <v>0</v>
      </c>
      <c r="AE57" s="223">
        <v>0</v>
      </c>
      <c r="AF57" s="223">
        <v>0</v>
      </c>
      <c r="AG57" s="223">
        <v>0</v>
      </c>
      <c r="AH57" s="223">
        <v>0</v>
      </c>
      <c r="AI57" s="223">
        <v>0</v>
      </c>
    </row>
    <row r="58" spans="1:35" ht="11.1" customHeight="1">
      <c r="A58" s="13" t="s">
        <v>68</v>
      </c>
      <c r="B58" s="159" t="s">
        <v>346</v>
      </c>
      <c r="C58" s="223">
        <v>0</v>
      </c>
      <c r="D58" s="224">
        <v>2242.9143367043425</v>
      </c>
      <c r="E58" s="223">
        <v>0</v>
      </c>
      <c r="F58" s="224">
        <v>4430.9949207135778</v>
      </c>
      <c r="G58" s="223">
        <v>0</v>
      </c>
      <c r="H58" s="223">
        <v>0</v>
      </c>
      <c r="I58" s="224">
        <v>0</v>
      </c>
      <c r="J58" s="223">
        <v>0</v>
      </c>
      <c r="K58" s="223">
        <v>4716.1538461538457</v>
      </c>
      <c r="L58" s="223">
        <v>0</v>
      </c>
      <c r="M58" s="13" t="s">
        <v>68</v>
      </c>
      <c r="N58" s="159" t="s">
        <v>346</v>
      </c>
      <c r="O58" s="223">
        <v>0</v>
      </c>
      <c r="P58" s="223">
        <v>0</v>
      </c>
      <c r="Q58" s="223">
        <v>0</v>
      </c>
      <c r="R58" s="223">
        <v>0</v>
      </c>
      <c r="S58" s="223">
        <v>0</v>
      </c>
      <c r="T58" s="223">
        <v>0</v>
      </c>
      <c r="U58" s="224">
        <v>12244.374809989144</v>
      </c>
      <c r="V58" s="224">
        <v>5033.4246575342477</v>
      </c>
      <c r="W58" s="223">
        <v>0</v>
      </c>
      <c r="X58" s="223">
        <v>0</v>
      </c>
      <c r="Y58" s="13" t="s">
        <v>68</v>
      </c>
      <c r="Z58" s="159" t="s">
        <v>346</v>
      </c>
      <c r="AA58" s="223">
        <v>0</v>
      </c>
      <c r="AB58" s="224">
        <v>1463.2162162162163</v>
      </c>
      <c r="AC58" s="223">
        <v>0</v>
      </c>
      <c r="AD58" s="223">
        <v>0</v>
      </c>
      <c r="AE58" s="223">
        <v>0</v>
      </c>
      <c r="AF58" s="223">
        <v>0</v>
      </c>
      <c r="AG58" s="223">
        <v>0</v>
      </c>
      <c r="AH58" s="223">
        <v>0</v>
      </c>
      <c r="AI58" s="223">
        <v>0</v>
      </c>
    </row>
    <row r="59" spans="1:35" ht="11.1" customHeight="1">
      <c r="A59" s="14"/>
      <c r="B59" s="158" t="s">
        <v>355</v>
      </c>
      <c r="C59" s="226">
        <v>0</v>
      </c>
      <c r="D59" s="227">
        <v>2456.4621483375959</v>
      </c>
      <c r="E59" s="226">
        <v>0</v>
      </c>
      <c r="F59" s="227">
        <v>4998.1197007481296</v>
      </c>
      <c r="G59" s="226">
        <v>0</v>
      </c>
      <c r="H59" s="226">
        <v>0</v>
      </c>
      <c r="I59" s="227">
        <v>0</v>
      </c>
      <c r="J59" s="226">
        <v>0</v>
      </c>
      <c r="K59" s="227">
        <v>6037.2222222222226</v>
      </c>
      <c r="L59" s="227">
        <v>0</v>
      </c>
      <c r="M59" s="14"/>
      <c r="N59" s="158" t="s">
        <v>355</v>
      </c>
      <c r="O59" s="226">
        <v>0</v>
      </c>
      <c r="P59" s="226">
        <v>0</v>
      </c>
      <c r="Q59" s="226">
        <v>0</v>
      </c>
      <c r="R59" s="226">
        <v>0</v>
      </c>
      <c r="S59" s="226">
        <v>0</v>
      </c>
      <c r="T59" s="226">
        <v>0</v>
      </c>
      <c r="U59" s="227">
        <v>12138.806643202817</v>
      </c>
      <c r="V59" s="227">
        <v>5338.0281690140846</v>
      </c>
      <c r="W59" s="226">
        <v>0</v>
      </c>
      <c r="X59" s="226">
        <v>0</v>
      </c>
      <c r="Y59" s="14"/>
      <c r="Z59" s="158" t="s">
        <v>355</v>
      </c>
      <c r="AA59" s="226">
        <v>0</v>
      </c>
      <c r="AB59" s="226">
        <v>1474.9928571428572</v>
      </c>
      <c r="AC59" s="226">
        <v>0</v>
      </c>
      <c r="AD59" s="226">
        <v>0</v>
      </c>
      <c r="AE59" s="226">
        <v>0</v>
      </c>
      <c r="AF59" s="226">
        <v>0</v>
      </c>
      <c r="AG59" s="226">
        <v>0</v>
      </c>
      <c r="AH59" s="226">
        <v>0</v>
      </c>
      <c r="AI59" s="226">
        <v>0</v>
      </c>
    </row>
    <row r="60" spans="1:35" ht="9" customHeight="1">
      <c r="A60" s="121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52" t="s">
        <v>152</v>
      </c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221" t="s">
        <v>152</v>
      </c>
      <c r="Y60" s="165" t="s">
        <v>91</v>
      </c>
      <c r="Z60" s="123"/>
      <c r="AA60" s="123"/>
      <c r="AB60" s="123"/>
      <c r="AC60" s="123"/>
      <c r="AD60" s="123"/>
      <c r="AE60" s="123"/>
      <c r="AF60" s="22"/>
      <c r="AG60" s="22"/>
      <c r="AH60" s="22"/>
      <c r="AI60" s="22"/>
    </row>
    <row r="61" spans="1:35" ht="9" customHeight="1">
      <c r="A61" s="121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65" t="s">
        <v>98</v>
      </c>
      <c r="Z61" s="123"/>
      <c r="AA61" s="123"/>
      <c r="AB61" s="123"/>
      <c r="AC61" s="123"/>
      <c r="AD61" s="123"/>
      <c r="AE61" s="123"/>
      <c r="AF61" s="22"/>
      <c r="AG61" s="22"/>
      <c r="AH61" s="22"/>
      <c r="AI61" s="22"/>
    </row>
    <row r="62" spans="1:35" ht="9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509" t="s">
        <v>360</v>
      </c>
      <c r="Z62" s="509"/>
      <c r="AA62" s="509"/>
      <c r="AB62" s="509"/>
      <c r="AC62" s="509"/>
      <c r="AD62" s="509"/>
      <c r="AE62" s="509"/>
    </row>
    <row r="63" spans="1:35" ht="12.75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</row>
    <row r="64" spans="1:35" ht="12.75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</row>
    <row r="65" spans="1:31" ht="12.7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2021-08-13T17:25:49Z</cp:lastPrinted>
  <dcterms:created xsi:type="dcterms:W3CDTF">2018-05-02T15:50:35Z</dcterms:created>
  <dcterms:modified xsi:type="dcterms:W3CDTF">2021-08-14T00:47:14Z</dcterms:modified>
  <cp:category/>
</cp:coreProperties>
</file>