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1\AGOSTO 2021\"/>
    </mc:Choice>
  </mc:AlternateContent>
  <xr:revisionPtr revIDLastSave="0" documentId="13_ncr:1_{F8693771-9891-4F67-9B77-A343635C6BD5}" xr6:coauthVersionLast="47" xr6:coauthVersionMax="47" xr10:uidLastSave="{00000000-0000-0000-0000-000000000000}"/>
  <bookViews>
    <workbookView xWindow="-120" yWindow="-120" windowWidth="20730" windowHeight="11760" tabRatio="744" firstSheet="5" activeTab="21" xr2:uid="{00000000-000D-0000-FFFF-FFFF00000000}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externalReferences>
    <externalReference r:id="rId23"/>
  </externalReference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'C-2'!#REF!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'c-8'!$A$1:$W$96</definedName>
    <definedName name="_xlnm.Print_Area" localSheetId="9">'C-9'!#REF!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G22" i="1" l="1"/>
  <c r="D22" i="1"/>
  <c r="G21" i="1"/>
  <c r="D21" i="1"/>
  <c r="G20" i="1"/>
  <c r="D20" i="1"/>
  <c r="G19" i="1"/>
  <c r="D19" i="1"/>
  <c r="C21" i="1"/>
  <c r="C20" i="1"/>
  <c r="D17" i="1"/>
  <c r="D15" i="1"/>
  <c r="C22" i="1"/>
  <c r="F20" i="1"/>
  <c r="F17" i="1"/>
  <c r="G8" i="1"/>
  <c r="C15" i="1" l="1"/>
  <c r="F22" i="1"/>
  <c r="G15" i="1"/>
  <c r="G13" i="1"/>
  <c r="F21" i="1"/>
  <c r="G11" i="1"/>
  <c r="C14" i="1" l="1"/>
  <c r="C17" i="1"/>
  <c r="F15" i="1"/>
  <c r="F19" i="1"/>
  <c r="D11" i="1"/>
  <c r="D8" i="1"/>
  <c r="D12" i="1" l="1"/>
  <c r="C11" i="1"/>
  <c r="G16" i="1"/>
  <c r="C13" i="1"/>
  <c r="D16" i="1"/>
  <c r="C10" i="1"/>
  <c r="F11" i="1"/>
  <c r="F9" i="1"/>
  <c r="C8" i="1"/>
  <c r="D13" i="1"/>
  <c r="C12" i="1"/>
  <c r="C9" i="1"/>
  <c r="F16" i="1"/>
  <c r="C16" i="1"/>
  <c r="F10" i="1"/>
  <c r="F14" i="1"/>
  <c r="G10" i="1" l="1"/>
  <c r="C19" i="1"/>
  <c r="G17" i="1"/>
  <c r="D10" i="1"/>
  <c r="G14" i="1"/>
  <c r="F12" i="1"/>
  <c r="G12" i="1"/>
  <c r="D14" i="1"/>
  <c r="D9" i="1"/>
  <c r="F8" i="1" l="1"/>
  <c r="G9" i="1"/>
  <c r="F13" i="1"/>
  <c r="E21" i="1" l="1"/>
  <c r="E15" i="1"/>
  <c r="H21" i="1"/>
  <c r="H11" i="1"/>
  <c r="H14" i="1"/>
  <c r="H9" i="1"/>
  <c r="E20" i="1" l="1"/>
  <c r="E9" i="1"/>
  <c r="H20" i="1"/>
  <c r="C18" i="1"/>
  <c r="E16" i="1"/>
  <c r="E19" i="1"/>
  <c r="E11" i="1"/>
  <c r="H10" i="1"/>
  <c r="E12" i="1"/>
  <c r="H12" i="1"/>
  <c r="H15" i="1"/>
  <c r="H22" i="1" l="1"/>
  <c r="G18" i="1"/>
  <c r="E22" i="1"/>
  <c r="E14" i="1"/>
  <c r="H19" i="1"/>
  <c r="F18" i="1"/>
  <c r="E17" i="1"/>
  <c r="H18" i="1" l="1"/>
  <c r="D18" i="1"/>
  <c r="E18" i="1" s="1"/>
  <c r="H17" i="1"/>
  <c r="G7" i="1"/>
  <c r="G6" i="1" s="1"/>
  <c r="E13" i="1"/>
  <c r="H16" i="1"/>
  <c r="D7" i="1"/>
  <c r="E8" i="1"/>
  <c r="H13" i="1"/>
  <c r="E10" i="1"/>
  <c r="D6" i="1" l="1"/>
  <c r="C7" i="1"/>
  <c r="C6" i="1" s="1"/>
  <c r="H8" i="1"/>
  <c r="F7" i="1"/>
  <c r="E6" i="1" l="1"/>
  <c r="E7" i="1"/>
  <c r="H7" i="1"/>
  <c r="F6" i="1"/>
  <c r="H6" i="1" s="1"/>
</calcChain>
</file>

<file path=xl/sharedStrings.xml><?xml version="1.0" encoding="utf-8"?>
<sst xmlns="http://schemas.openxmlformats.org/spreadsheetml/2006/main" count="2767" uniqueCount="513">
  <si>
    <t>sigue…</t>
    <phoneticPr fontId="10" type="noConversion"/>
  </si>
  <si>
    <t>Perú: Evaluación de la producción Agroindustrial de las principales actividades, por producto terminado  (Millones de soles a precios 2007)</t>
  </si>
  <si>
    <t xml:space="preserve">        (Millones de soles a precios 2007)</t>
    <phoneticPr fontId="10" type="noConversion"/>
  </si>
  <si>
    <t>Ene-Dic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</si>
  <si>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</si>
  <si>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</si>
  <si>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</si>
  <si>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</si>
  <si>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</si>
  <si>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</si>
  <si>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</si>
  <si>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</si>
  <si>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</si>
  <si>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</si>
  <si>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</si>
  <si>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</si>
  <si>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</si>
  <si>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</si>
  <si>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</si>
  <si>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</si>
  <si>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</si>
  <si>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</si>
  <si>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</si>
  <si>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</si>
  <si>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</si>
  <si>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</si>
  <si>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</si>
  <si>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</si>
  <si>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</si>
  <si>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</si>
  <si>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</si>
  <si>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</si>
  <si>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</si>
  <si>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</si>
  <si>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</si>
  <si>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</si>
  <si>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</si>
  <si>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</si>
  <si>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</si>
  <si>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</si>
  <si>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</si>
  <si>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</si>
  <si>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</si>
  <si>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</si>
  <si>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</si>
  <si>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</si>
  <si>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</si>
  <si>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</si>
  <si>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</si>
  <si>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</si>
  <si>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</si>
  <si>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</si>
  <si>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</si>
  <si>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</si>
  <si>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</si>
  <si>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</si>
  <si>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</si>
  <si>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</si>
  <si>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</si>
  <si>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</si>
  <si>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</si>
  <si>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</si>
  <si>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</si>
  <si>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</si>
  <si>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</si>
  <si>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</si>
  <si>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</si>
  <si>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</si>
  <si>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</si>
  <si>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</si>
  <si>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</si>
  <si>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</si>
  <si>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</si>
  <si>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</si>
  <si>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</si>
  <si>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</si>
  <si>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</si>
  <si>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</si>
  <si>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Maíz amilácceo</t>
  </si>
  <si>
    <t>Arveja  verde</t>
  </si>
  <si>
    <t>INDICADORES PRODUCTIVOS AGRICOLAS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</si>
  <si>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</si>
  <si>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</si>
  <si>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</si>
  <si>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</si>
  <si>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</si>
  <si>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</si>
  <si>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</si>
  <si>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</si>
  <si>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</si>
  <si>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</si>
  <si>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</si>
  <si>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</si>
  <si>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</si>
  <si>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</si>
  <si>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</si>
  <si>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</si>
  <si>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</si>
  <si>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</si>
  <si>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</si>
  <si>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</si>
  <si>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</si>
  <si>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</si>
  <si>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Porcino 2/</t>
  </si>
  <si>
    <t>Vacuno</t>
  </si>
  <si>
    <t>Vacuno 2/</t>
  </si>
  <si>
    <t>Caprino</t>
  </si>
  <si>
    <t>Caprino 2/</t>
  </si>
  <si>
    <t>Alpaca</t>
  </si>
  <si>
    <t>Alpaca 2/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</si>
  <si>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</si>
  <si>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</si>
  <si>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</si>
  <si>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</si>
  <si>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</si>
  <si>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</si>
  <si>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</si>
  <si>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</si>
  <si>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</si>
  <si>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</si>
  <si>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</si>
  <si>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</si>
  <si>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</si>
  <si>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</si>
  <si>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</si>
  <si>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</si>
  <si>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</si>
  <si>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</si>
  <si>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</si>
  <si>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</si>
  <si>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</si>
  <si>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Llama 2/</t>
  </si>
  <si>
    <t>Huevo</t>
  </si>
  <si>
    <t>Leche</t>
  </si>
  <si>
    <t>Fibra Alpaca</t>
  </si>
  <si>
    <t>Fibra Llama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</si>
  <si>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</si>
  <si>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</si>
  <si>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</si>
  <si>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</si>
  <si>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</si>
  <si>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</si>
  <si>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</si>
  <si>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</si>
  <si>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</si>
  <si>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</si>
  <si>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</si>
  <si>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</si>
  <si>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</si>
  <si>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</si>
  <si>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</si>
  <si>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</si>
  <si>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</si>
  <si>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</si>
  <si>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</si>
  <si>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</si>
  <si>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</si>
  <si>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</si>
  <si>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</si>
  <si>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</si>
  <si>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</si>
  <si>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</si>
  <si>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</si>
  <si>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</si>
  <si>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</si>
  <si>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</si>
  <si>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</si>
  <si>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</si>
  <si>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</si>
  <si>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</si>
  <si>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</si>
  <si>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</si>
  <si>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</si>
  <si>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</si>
  <si>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</si>
  <si>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</si>
  <si>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</si>
  <si>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</si>
  <si>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</si>
  <si>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</si>
  <si>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</si>
  <si>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</si>
  <si>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</si>
  <si>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</si>
  <si>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</si>
  <si>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</si>
  <si>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</si>
  <si>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</si>
  <si>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</si>
  <si>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</si>
  <si>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</si>
  <si>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</si>
  <si>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</si>
  <si>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</si>
  <si>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</si>
  <si>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</si>
  <si>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</si>
  <si>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</si>
  <si>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</si>
  <si>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</si>
  <si>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</si>
  <si>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</si>
  <si>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</si>
  <si>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</si>
  <si>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</si>
  <si>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</si>
  <si>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</si>
  <si>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</si>
  <si>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</si>
  <si>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Ovino 2/</t>
  </si>
  <si>
    <t>sigue…</t>
    <phoneticPr fontId="10" type="noConversion"/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</si>
  <si>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</si>
  <si>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</si>
  <si>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</si>
  <si>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</si>
  <si>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</si>
  <si>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</si>
  <si>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</si>
  <si>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</si>
  <si>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</si>
  <si>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</si>
  <si>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</si>
  <si>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</si>
  <si>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</si>
  <si>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</si>
  <si>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</si>
  <si>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</si>
  <si>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</si>
  <si>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</si>
  <si>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</si>
  <si>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</si>
  <si>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</si>
  <si>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</si>
  <si>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</si>
  <si>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</si>
  <si>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</si>
  <si>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</si>
  <si>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</si>
  <si>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</si>
  <si>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</si>
  <si>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</si>
  <si>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</si>
  <si>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</si>
  <si>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</si>
  <si>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</si>
  <si>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</si>
  <si>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</si>
  <si>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</si>
  <si>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Ene-Dic</t>
    <phoneticPr fontId="6" type="noConversion"/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</si>
  <si>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</si>
  <si>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</si>
  <si>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</si>
  <si>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</si>
  <si>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</si>
  <si>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</si>
  <si>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</si>
  <si>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</si>
  <si>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</si>
  <si>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</si>
  <si>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</si>
  <si>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</si>
  <si>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</si>
  <si>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</si>
  <si>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</si>
  <si>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</si>
  <si>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</si>
  <si>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</si>
  <si>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</si>
  <si>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</si>
  <si>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</si>
  <si>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</si>
  <si>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</si>
  <si>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</si>
  <si>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</si>
  <si>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</si>
  <si>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</si>
  <si>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</si>
  <si>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</si>
  <si>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</si>
  <si>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</si>
  <si>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</si>
  <si>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</si>
  <si>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</si>
  <si>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</si>
  <si>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</si>
  <si>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</si>
  <si>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</si>
  <si>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</si>
  <si>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</si>
  <si>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</si>
  <si>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</si>
  <si>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</si>
  <si>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</si>
  <si>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</si>
  <si>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</si>
  <si>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</si>
  <si>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</si>
  <si>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</si>
  <si>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</si>
  <si>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</si>
  <si>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Ave 2/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</si>
  <si>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</si>
  <si>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</si>
  <si>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</si>
  <si>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</si>
  <si>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</si>
  <si>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</si>
  <si>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</si>
  <si>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</si>
  <si>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</si>
  <si>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</si>
  <si>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</si>
  <si>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</si>
  <si>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</si>
  <si>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</si>
  <si>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</si>
  <si>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</si>
  <si>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</si>
  <si>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</si>
  <si>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</si>
  <si>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</si>
  <si>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</si>
  <si>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</si>
  <si>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</si>
  <si>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</si>
  <si>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</si>
  <si>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</si>
  <si>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</si>
  <si>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</si>
  <si>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</si>
  <si>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</si>
  <si>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</si>
  <si>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</si>
  <si>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</si>
  <si>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</si>
  <si>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</si>
  <si>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</si>
  <si>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</si>
  <si>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</si>
  <si>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</si>
  <si>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</si>
  <si>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</si>
  <si>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</si>
  <si>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p/</t>
    </r>
  </si>
  <si>
    <t>2020p/</t>
  </si>
  <si>
    <t>2020</t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</si>
  <si>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</si>
  <si>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</si>
  <si>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(DEA)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</si>
  <si>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p/</t>
    </r>
  </si>
  <si>
    <t>2021p/</t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</si>
  <si>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</si>
  <si>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</si>
  <si>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</si>
  <si>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</si>
  <si>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</si>
  <si>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</si>
  <si>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>Junin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</si>
  <si>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</si>
  <si>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</si>
  <si>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</si>
  <si>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</si>
  <si>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</si>
  <si>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</si>
  <si>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</si>
  <si>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</si>
  <si>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</si>
  <si>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</si>
  <si>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</si>
  <si>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</si>
  <si>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</si>
  <si>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</si>
  <si>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</si>
  <si>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</si>
  <si>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</si>
  <si>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</si>
  <si>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</si>
  <si>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</si>
  <si>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</si>
  <si>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</si>
  <si>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</si>
  <si>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</si>
  <si>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</si>
  <si>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Aves carne</t>
    <phoneticPr fontId="12" type="noConversion"/>
  </si>
  <si>
    <t xml:space="preserve">    Aves Post. /Rep.</t>
    <phoneticPr fontId="12" type="noConversion"/>
  </si>
  <si>
    <t xml:space="preserve">    Porcinos</t>
  </si>
  <si>
    <t xml:space="preserve">    Vacunos</t>
  </si>
  <si>
    <t xml:space="preserve">    Pavos y patos</t>
  </si>
  <si>
    <t xml:space="preserve">    Azúcar</t>
  </si>
  <si>
    <t xml:space="preserve">Embutidos y Carnes Preparadas </t>
  </si>
  <si>
    <t xml:space="preserve">    Carne ahumada</t>
    <phoneticPr fontId="12" type="noConversion"/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</si>
  <si>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</si>
  <si>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</si>
  <si>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</si>
  <si>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</si>
  <si>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</si>
  <si>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</si>
  <si>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</si>
  <si>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</si>
  <si>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</si>
  <si>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Corriente a granel</t>
    <phoneticPr fontId="12" type="noConversion"/>
  </si>
  <si>
    <t xml:space="preserve">    Corriente envasado</t>
    <phoneticPr fontId="12" type="noConversion"/>
  </si>
  <si>
    <t xml:space="preserve">Harina y Derivados </t>
  </si>
  <si>
    <t xml:space="preserve">    Harina de trigo</t>
    <phoneticPr fontId="12" type="noConversion"/>
  </si>
  <si>
    <t xml:space="preserve">    Sémola</t>
  </si>
  <si>
    <t xml:space="preserve">    Sub producto</t>
    <phoneticPr fontId="12" type="noConversion"/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</si>
  <si>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</si>
  <si>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</si>
  <si>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</si>
  <si>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</si>
  <si>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</si>
  <si>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</si>
  <si>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</si>
  <si>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</si>
  <si>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</si>
  <si>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</si>
  <si>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</si>
  <si>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</si>
  <si>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</si>
  <si>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</si>
  <si>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Limón.        sutíl</t>
  </si>
  <si>
    <t>Maiz       chala</t>
  </si>
  <si>
    <t>mar</t>
  </si>
  <si>
    <t>Ene-Dic</t>
  </si>
  <si>
    <t>Total Nacional</t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</si>
  <si>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</t>
    </r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</si>
  <si>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</t>
    </r>
  </si>
  <si>
    <t>p Preliminar</t>
  </si>
  <si>
    <t xml:space="preserve">         (hectárea)</t>
  </si>
  <si>
    <t xml:space="preserve">          (hectárea)</t>
  </si>
  <si>
    <t xml:space="preserve">          (tonelada)</t>
  </si>
  <si>
    <t xml:space="preserve">          (kilogramos/hectárea)</t>
  </si>
  <si>
    <t>C.1  PERÚ: VALOR BRUTO DE LA PRODUCCIÓN AGROPECUARIA POR SUBSECTORES, ENERO-AGOSTO 2020-2021</t>
  </si>
  <si>
    <t xml:space="preserve">        PRINCIPALES PRODUCTOS.  ENERO-AGOSTO  2020-2021</t>
  </si>
  <si>
    <t>C.8 PERÚ:  VARIACIÓN PORCENTUAL DEL VALOR DE LA PRODUCCIÓN (VBP) AGROPECUARIA, POR SUBSECTORES Y PRINCIPALES PRODUCTOS, ENERO-AGOSTO 2000 - 2021</t>
  </si>
  <si>
    <t>C.7   PERÚ: PRODUCCIÓN AGROPECUARIA POR SUBSECTORES Y PRINCIPALES PRODUCTOS, ENERO-AGOSTO 2000-2021</t>
  </si>
  <si>
    <t>C.6   PERÚ: VALOR DE LA PRODUCCIÓN (VBP) AGROPECUARIA POR SUBSECTORES Y PRINCIPALES PRODUCTOS, ENERO - AGOSTO 2000-2021</t>
  </si>
  <si>
    <t xml:space="preserve">        ENERO-AGOSTO 2020-2021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</si>
  <si>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</si>
  <si>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t>Ene-ago</t>
  </si>
  <si>
    <r>
      <t>2020</t>
    </r>
    <r>
      <rPr>
        <b/>
        <vertAlign val="superscript"/>
        <sz val="8"/>
        <color indexed="8"/>
        <rFont val="Arial Narrow"/>
        <family val="2"/>
      </rPr>
      <t>p</t>
    </r>
  </si>
  <si>
    <r>
      <t>2021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</si>
  <si>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         ENERO-AGOSTO 2020_2021</t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</si>
  <si>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</si>
  <si>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</si>
  <si>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</si>
  <si>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</si>
  <si>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</si>
  <si>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</si>
  <si>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</si>
  <si>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17/16</t>
    </r>
    <r>
      <rPr>
        <b/>
        <vertAlign val="superscript"/>
        <sz val="7"/>
        <color indexed="8"/>
        <rFont val="Arial Narrow"/>
        <family val="2"/>
      </rPr>
      <t>p</t>
    </r>
  </si>
  <si>
    <r>
      <t>18/17</t>
    </r>
    <r>
      <rPr>
        <b/>
        <vertAlign val="superscript"/>
        <sz val="7"/>
        <color indexed="8"/>
        <rFont val="Arial Narrow"/>
        <family val="2"/>
      </rPr>
      <t>p</t>
    </r>
  </si>
  <si>
    <r>
      <t>19/18</t>
    </r>
    <r>
      <rPr>
        <b/>
        <vertAlign val="superscript"/>
        <sz val="7"/>
        <color indexed="8"/>
        <rFont val="Arial Narrow"/>
        <family val="2"/>
      </rPr>
      <t>p</t>
    </r>
  </si>
  <si>
    <r>
      <t>20/19</t>
    </r>
    <r>
      <rPr>
        <b/>
        <vertAlign val="superscript"/>
        <sz val="7"/>
        <color indexed="8"/>
        <rFont val="Arial Narrow"/>
        <family val="2"/>
      </rPr>
      <t>p</t>
    </r>
  </si>
  <si>
    <r>
      <t>21/20</t>
    </r>
    <r>
      <rPr>
        <b/>
        <vertAlign val="superscript"/>
        <sz val="7"/>
        <color indexed="8"/>
        <rFont val="Arial Narrow"/>
        <family val="2"/>
      </rPr>
      <t>p</t>
    </r>
  </si>
  <si>
    <r>
      <t>2017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</si>
  <si>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</si>
  <si>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</si>
  <si>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r>
      <t>2020</t>
    </r>
    <r>
      <rPr>
        <b/>
        <vertAlign val="superscript"/>
        <sz val="7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</si>
  <si>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</si>
  <si>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t xml:space="preserve">C.3   PERÚ: VALOR BRUTO DE LA PRODUCCIÓN AGROPECUARIA, POR REGIÓN, ENERO-AGOSTO 2020-2021 </t>
  </si>
  <si>
    <t xml:space="preserve">          ENERO-AGOSTO  2020-2021</t>
  </si>
  <si>
    <t xml:space="preserve">          ENERO-AGOSTO 2020-2021 </t>
  </si>
  <si>
    <t>C.19  PERÚ: PRODUCCIÓN DE PRINCIPALES CULTIVOS POR MES. ENERO-AGOSTO 2020-2021</t>
  </si>
  <si>
    <t xml:space="preserve">          (toneladas)</t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</si>
  <si>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</si>
  <si>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</si>
  <si>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t xml:space="preserve">         AGOSTO  2013-14…2021-22</t>
  </si>
  <si>
    <t xml:space="preserve">         (hectáreas)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</si>
  <si>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</si>
  <si>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</si>
  <si>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</si>
  <si>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</si>
  <si>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>Perú. Superficie sembrada de principales cultivos transitorios por región según mes, campaña agrícola: 2019/20 y 2021/22</t>
  </si>
  <si>
    <t>Perú: Superficie sembrada de principales cultivos transitorios por cultivo según mes campaña agricola 2019/2020 y 2021/2022 (hectárea)</t>
  </si>
  <si>
    <t>--</t>
  </si>
  <si>
    <t>Perú: Valor  de la Producción Agropecuaria, por subsectores. Enero - Agosto 2020/2021 (Millones de soles a precios 2007)</t>
  </si>
  <si>
    <t xml:space="preserve">Perú: Evaluación de la Producción Agroindustrial de principales actividades, según producto terminado, Enero - Agosto  2020/2021  (Millones de soles a precios 2007) </t>
  </si>
  <si>
    <t>Perú: Valor  Bruto de la Producción  Agropecuaria, por región, Enero - Agosto 2020/2021 (Millones de  soles a precios 2007 )</t>
  </si>
  <si>
    <t>Perú: Valor de la Producción Agropecuaria, por subsectores y principales productos, Enero - Agosto 2020/2021 (Millones de soles a precios 2007)</t>
  </si>
  <si>
    <t>Perú: Producción Agropecuaria, por  subsectores y principales productos, Enero - Agosto 2020/2021 (Miles de toneladas)</t>
  </si>
  <si>
    <t>Perú: Valor de la Producción agropecuaria (VBP), por subsectores y principales productos, Enero - Agosto 2000/2021 (Millones de soles a precio 2007)</t>
  </si>
  <si>
    <t>Perú: Producción agropecuaria, por subsectores  y  principales productos, Enero - Agosto 2000/2021 (Miles de toneladas)</t>
  </si>
  <si>
    <t>Perú: Variación porcentual del Valor de la Producción Agropecuaria, por subsectores y principales productos,  Enero - Agosto  2000-2021</t>
  </si>
  <si>
    <t>Enero - Agosto</t>
  </si>
  <si>
    <t>Agosto</t>
  </si>
  <si>
    <r>
      <t>2020</t>
    </r>
    <r>
      <rPr>
        <b/>
        <vertAlign val="superscript"/>
        <sz val="8"/>
        <color rgb="FF000000"/>
        <rFont val="Arial Narrow"/>
        <family val="2"/>
      </rPr>
      <t>p/</t>
    </r>
  </si>
  <si>
    <r>
      <t>2021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</si>
  <si>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Enero - Agosto </t>
  </si>
  <si>
    <t xml:space="preserve"> Enero - Agosto  </t>
  </si>
  <si>
    <t xml:space="preserve">C.9   EVALUACIÓN DE LA PRODUCCIÓN AGROINDUSTRIAL DE LAS PRINCIPALES ACTIVIDADES, </t>
  </si>
  <si>
    <t xml:space="preserve">         POR PRODUCTOS TERMINADOS</t>
  </si>
  <si>
    <r>
      <t>2020</t>
    </r>
    <r>
      <rPr>
        <b/>
        <vertAlign val="superscript"/>
        <sz val="8"/>
        <color rgb="FF000000"/>
        <rFont val="Arial Narrow"/>
        <family val="2"/>
      </rPr>
      <t xml:space="preserve"> p/</t>
    </r>
  </si>
  <si>
    <r>
      <t xml:space="preserve">2021 </t>
    </r>
    <r>
      <rPr>
        <b/>
        <vertAlign val="superscript"/>
        <sz val="8"/>
        <color rgb="FF000000"/>
        <rFont val="Arial Narrow"/>
        <family val="2"/>
      </rPr>
      <t>p/</t>
    </r>
  </si>
  <si>
    <r>
      <t xml:space="preserve">    Otros</t>
    </r>
    <r>
      <rPr>
        <vertAlign val="superscript"/>
        <sz val="8"/>
        <rFont val="Arial Narrow"/>
        <family val="2"/>
      </rPr>
      <t xml:space="preserve"> 1/</t>
    </r>
  </si>
  <si>
    <t xml:space="preserve">    Avena Elaborada </t>
  </si>
  <si>
    <t>Elaboración : MIDAGRI-DGESEP (DEIA)</t>
  </si>
  <si>
    <t xml:space="preserve">Perú: Siembras de los principales cultivos transitorio por región según campaña agrícola: Agosto 2013 - 14 …        2021-22 (hectárea) </t>
  </si>
  <si>
    <t>Perú: Variación porcentual de superficie sembrada de los principales cultivos transitorios, según campaña agrícola,   Agosto 2013-14…2021-22</t>
  </si>
  <si>
    <t>Perú: Superficie sembrada de principales cultivos transitorio, según campaña agrícola, Agosto  2013 -14..2021-22 (hectárea)</t>
  </si>
  <si>
    <t xml:space="preserve">Perú: Superficie sembrada de principales cultivos transitorio por región, campaña agrícola: Agosto 2019-2020/ 2021-2022 (hectárea). </t>
  </si>
  <si>
    <t>Perú: Superficie cosechada de principales cultivos transitorio por región. Agosto 2020- 2021(hectárea)</t>
  </si>
  <si>
    <t>Perú: Superficie cosechada de principales cultivos transitorio, según mes, Agosto 2020- 2021 (hectárea)</t>
  </si>
  <si>
    <t xml:space="preserve">Perú: Producción de principales cultivos, por región, Agosto 2020-2021 (tonelada) </t>
  </si>
  <si>
    <t>Perú: Producción de principales cultivos, por mes. Agosto  2020-2021 (tonelada)</t>
  </si>
  <si>
    <t xml:space="preserve">Perú: Rendimiento de principales cultivos transitorios, por región, Agosto 2020-2021 (kilogramos/hectárea)   </t>
  </si>
  <si>
    <t xml:space="preserve">Agosto </t>
  </si>
  <si>
    <t>Ene-Ago</t>
  </si>
  <si>
    <t>C.18  PERÚ: PRODUCCIÓN DE PRINCIPALES CULTIVOS POR REGIÓN, ENERO-AGOSTO 2020 - 2021</t>
  </si>
  <si>
    <t>Ene - Ago</t>
  </si>
  <si>
    <t xml:space="preserve">          AGOSTO 2013-14…2021-22</t>
  </si>
  <si>
    <t xml:space="preserve">          TRANSITORIOS, SEGÚN CAMPAÑA AGRÍCOLA AGOSTO 2013-14 ….2021-22</t>
  </si>
  <si>
    <t xml:space="preserve">         CAMPAÑA AGRÍCOLA: AGOSTO 2020-2021/2021-2022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</si>
</sst>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#,##0.0______________________"/>
    <numFmt numFmtId="191" formatCode="_ * #,##0_ ;_ * \-#,##0_ ;_ * &quot;-&quot;??_ ;_ @_ "/>
    <numFmt numFmtId="192" formatCode="#,##0.000____________"/>
    <numFmt numFmtId="193" formatCode="_ * #,##0.0_ ;_ * \-#,##0.0_ ;_ * &quot;-&quot;??_ ;_ @_ "/>
    <numFmt numFmtId="194" formatCode="#\ ###\ ##0____"/>
    <numFmt numFmtId="195" formatCode="#,##0.0________"/>
    <numFmt numFmtId="196" formatCode="#,##0.000________"/>
    <numFmt numFmtId="197" formatCode="#,##0__________"/>
    <numFmt numFmtId="198" formatCode="#,##0.0______"/>
  </numFmts>
  <fonts count="3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b/>
      <sz val="8"/>
      <name val="Arial Narrow"/>
      <family val="2"/>
    </font>
    <font>
      <vertAlign val="superscript"/>
      <sz val="8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indexed="64"/>
      </patternFill>
    </fill>
    <fill>
      <patternFill patternType="solid">
        <fgColor rgb="FFFFE287"/>
        <bgColor rgb="FF000000"/>
      </patternFill>
    </fill>
    <fill>
      <patternFill patternType="solid">
        <fgColor rgb="FFE3E2D4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45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39" fontId="15" fillId="0" borderId="0" xfId="0" applyNumberFormat="1" applyFont="1" applyFill="1" applyAlignment="1" applyProtection="1">
      <alignment horizontal="left" vertical="center"/>
    </xf>
    <xf numFmtId="39" fontId="15" fillId="0" borderId="2" xfId="0" applyNumberFormat="1" applyFont="1" applyFill="1" applyBorder="1" applyAlignment="1" applyProtection="1">
      <alignment horizontal="left"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39" fontId="15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39" fontId="15" fillId="0" borderId="0" xfId="0" quotePrefix="1" applyNumberFormat="1" applyFont="1" applyFill="1" applyAlignment="1" applyProtection="1">
      <alignment horizontal="center" vertical="center"/>
    </xf>
    <xf numFmtId="39" fontId="15" fillId="0" borderId="2" xfId="0" quotePrefix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71" fontId="14" fillId="0" borderId="0" xfId="0" applyNumberFormat="1" applyFont="1" applyFill="1" applyAlignment="1" applyProtection="1">
      <alignment vertical="center"/>
    </xf>
    <xf numFmtId="170" fontId="14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166" fontId="15" fillId="2" borderId="0" xfId="0" applyNumberFormat="1" applyFont="1" applyFill="1" applyAlignment="1" applyProtection="1">
      <alignment horizontal="left" vertical="center"/>
    </xf>
    <xf numFmtId="4" fontId="15" fillId="2" borderId="0" xfId="0" applyNumberFormat="1" applyFont="1" applyFill="1" applyBorder="1" applyAlignment="1" applyProtection="1"/>
    <xf numFmtId="166" fontId="15" fillId="2" borderId="2" xfId="0" applyNumberFormat="1" applyFont="1" applyFill="1" applyBorder="1" applyAlignment="1" applyProtection="1">
      <alignment horizontal="left" vertical="center"/>
    </xf>
    <xf numFmtId="0" fontId="13" fillId="0" borderId="0" xfId="0" applyFont="1" applyFill="1"/>
    <xf numFmtId="166" fontId="15" fillId="0" borderId="0" xfId="0" applyNumberFormat="1" applyFont="1" applyFill="1" applyAlignment="1" applyProtection="1">
      <alignment horizontal="center" vertical="center"/>
      <protection locked="0"/>
    </xf>
    <xf numFmtId="166" fontId="15" fillId="0" borderId="0" xfId="0" applyNumberFormat="1" applyFont="1" applyFill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172" fontId="15" fillId="2" borderId="0" xfId="0" applyNumberFormat="1" applyFont="1" applyFill="1" applyBorder="1" applyAlignment="1" applyProtection="1"/>
    <xf numFmtId="166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7" fontId="19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1" fillId="0" borderId="0" xfId="0" applyFont="1" applyAlignment="1" applyProtection="1">
      <alignment horizontal="left"/>
    </xf>
    <xf numFmtId="167" fontId="15" fillId="0" borderId="0" xfId="0" applyNumberFormat="1" applyFont="1"/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5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4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4" fillId="0" borderId="0" xfId="0" quotePrefix="1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5" fillId="0" borderId="11" xfId="0" quotePrefix="1" applyNumberFormat="1" applyFont="1" applyBorder="1" applyAlignment="1" applyProtection="1">
      <alignment horizontal="center" vertical="center"/>
    </xf>
    <xf numFmtId="3" fontId="15" fillId="0" borderId="0" xfId="0" applyNumberFormat="1" applyFont="1" applyBorder="1" applyAlignment="1" applyProtection="1">
      <alignment horizontal="right" vertical="center"/>
    </xf>
    <xf numFmtId="37" fontId="15" fillId="0" borderId="0" xfId="0" quotePrefix="1" applyNumberFormat="1" applyFont="1" applyBorder="1" applyAlignment="1" applyProtection="1">
      <alignment horizontal="center" vertical="center"/>
    </xf>
    <xf numFmtId="37" fontId="15" fillId="0" borderId="0" xfId="0" applyNumberFormat="1" applyFont="1" applyBorder="1" applyAlignment="1" applyProtection="1">
      <alignment horizontal="left" vertical="center"/>
    </xf>
    <xf numFmtId="37" fontId="15" fillId="0" borderId="2" xfId="0" quotePrefix="1" applyNumberFormat="1" applyFont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5" fillId="2" borderId="0" xfId="0" applyFont="1" applyFill="1" applyBorder="1"/>
    <xf numFmtId="0" fontId="14" fillId="2" borderId="0" xfId="0" applyFont="1" applyFill="1"/>
    <xf numFmtId="4" fontId="15" fillId="2" borderId="0" xfId="0" applyNumberFormat="1" applyFont="1" applyFill="1"/>
    <xf numFmtId="170" fontId="15" fillId="0" borderId="0" xfId="0" applyNumberFormat="1" applyFont="1" applyFill="1" applyBorder="1" applyAlignment="1" applyProtection="1">
      <alignment vertical="center"/>
    </xf>
    <xf numFmtId="166" fontId="15" fillId="0" borderId="0" xfId="4" applyNumberFormat="1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 wrapText="1"/>
      <protection locked="0"/>
    </xf>
    <xf numFmtId="166" fontId="15" fillId="0" borderId="0" xfId="4" quotePrefix="1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 applyFill="1" applyAlignment="1" applyProtection="1">
      <alignment horizontal="right" vertical="center"/>
    </xf>
    <xf numFmtId="0" fontId="18" fillId="0" borderId="0" xfId="0" applyFont="1" applyFill="1" applyAlignment="1">
      <alignment vertical="center"/>
    </xf>
    <xf numFmtId="181" fontId="15" fillId="0" borderId="0" xfId="0" applyNumberFormat="1" applyFont="1" applyFill="1" applyAlignment="1" applyProtection="1">
      <alignment vertical="center"/>
    </xf>
    <xf numFmtId="181" fontId="15" fillId="0" borderId="2" xfId="0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5" fillId="0" borderId="2" xfId="4" applyFont="1" applyFill="1" applyBorder="1" applyAlignment="1" applyProtection="1">
      <alignment horizontal="left" vertical="center"/>
      <protection locked="0"/>
    </xf>
    <xf numFmtId="49" fontId="15" fillId="0" borderId="0" xfId="0" applyNumberFormat="1" applyFont="1" applyFill="1" applyBorder="1" applyAlignment="1">
      <alignment horizontal="left" vertical="center"/>
    </xf>
    <xf numFmtId="166" fontId="19" fillId="0" borderId="0" xfId="0" quotePrefix="1" applyNumberFormat="1" applyFont="1" applyFill="1" applyAlignment="1" applyProtection="1">
      <alignment horizontal="left"/>
    </xf>
    <xf numFmtId="169" fontId="19" fillId="0" borderId="0" xfId="0" applyNumberFormat="1" applyFont="1" applyFill="1" applyAlignment="1" applyProtection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23" fillId="0" borderId="0" xfId="0" applyFont="1" applyFill="1"/>
    <xf numFmtId="171" fontId="18" fillId="0" borderId="0" xfId="0" applyNumberFormat="1" applyFont="1" applyFill="1" applyProtection="1"/>
    <xf numFmtId="0" fontId="18" fillId="0" borderId="0" xfId="0" applyFont="1" applyFill="1"/>
    <xf numFmtId="166" fontId="23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Protection="1"/>
    <xf numFmtId="0" fontId="23" fillId="0" borderId="2" xfId="0" applyFont="1" applyFill="1" applyBorder="1"/>
    <xf numFmtId="166" fontId="23" fillId="0" borderId="2" xfId="0" applyNumberFormat="1" applyFont="1" applyFill="1" applyBorder="1" applyAlignment="1" applyProtection="1">
      <alignment horizontal="left" vertical="center"/>
    </xf>
    <xf numFmtId="166" fontId="23" fillId="0" borderId="11" xfId="0" applyNumberFormat="1" applyFont="1" applyFill="1" applyBorder="1" applyAlignment="1" applyProtection="1">
      <alignment horizontal="left" vertical="center"/>
    </xf>
    <xf numFmtId="166" fontId="23" fillId="0" borderId="0" xfId="0" applyNumberFormat="1" applyFont="1" applyFill="1" applyBorder="1" applyAlignment="1" applyProtection="1">
      <alignment horizontal="left" vertical="center"/>
    </xf>
    <xf numFmtId="171" fontId="23" fillId="0" borderId="0" xfId="0" applyNumberFormat="1" applyFont="1" applyFill="1" applyBorder="1" applyProtection="1"/>
    <xf numFmtId="166" fontId="18" fillId="0" borderId="0" xfId="0" applyNumberFormat="1" applyFont="1" applyFill="1" applyBorder="1" applyAlignment="1" applyProtection="1">
      <alignment horizontal="left"/>
    </xf>
    <xf numFmtId="0" fontId="23" fillId="0" borderId="0" xfId="0" applyFont="1" applyFill="1" applyBorder="1"/>
    <xf numFmtId="166" fontId="18" fillId="0" borderId="0" xfId="0" applyNumberFormat="1" applyFont="1" applyFill="1" applyAlignment="1" applyProtection="1">
      <alignment horizontal="left"/>
    </xf>
    <xf numFmtId="0" fontId="24" fillId="0" borderId="0" xfId="0" applyFont="1" applyFill="1"/>
    <xf numFmtId="166" fontId="24" fillId="0" borderId="0" xfId="0" applyNumberFormat="1" applyFont="1" applyFill="1" applyAlignment="1" applyProtection="1">
      <alignment horizontal="left"/>
    </xf>
    <xf numFmtId="170" fontId="18" fillId="0" borderId="0" xfId="0" applyNumberFormat="1" applyFont="1" applyFill="1" applyProtection="1"/>
    <xf numFmtId="0" fontId="23" fillId="0" borderId="11" xfId="0" applyFont="1" applyFill="1" applyBorder="1"/>
    <xf numFmtId="166" fontId="23" fillId="0" borderId="0" xfId="0" applyNumberFormat="1" applyFont="1" applyFill="1" applyAlignment="1" applyProtection="1">
      <alignment horizontal="left"/>
    </xf>
    <xf numFmtId="167" fontId="23" fillId="0" borderId="0" xfId="0" applyNumberFormat="1" applyFont="1" applyFill="1" applyProtection="1"/>
    <xf numFmtId="166" fontId="18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>
      <alignment vertical="center"/>
    </xf>
    <xf numFmtId="0" fontId="23" fillId="0" borderId="2" xfId="0" applyFont="1" applyFill="1" applyBorder="1" applyAlignment="1">
      <alignment vertical="center"/>
    </xf>
    <xf numFmtId="166" fontId="18" fillId="5" borderId="0" xfId="0" applyNumberFormat="1" applyFont="1" applyFill="1" applyAlignment="1" applyProtection="1">
      <alignment horizontal="left" vertical="center"/>
    </xf>
    <xf numFmtId="167" fontId="23" fillId="0" borderId="0" xfId="0" applyNumberFormat="1" applyFont="1" applyFill="1" applyAlignment="1" applyProtection="1">
      <alignment vertical="center"/>
    </xf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6" fontId="11" fillId="4" borderId="18" xfId="0" applyNumberFormat="1" applyFont="1" applyFill="1" applyBorder="1" applyAlignment="1" applyProtection="1">
      <alignment horizontal="center" vertical="center"/>
    </xf>
    <xf numFmtId="185" fontId="14" fillId="4" borderId="18" xfId="0" applyNumberFormat="1" applyFont="1" applyFill="1" applyBorder="1" applyAlignment="1">
      <alignment vertical="center"/>
    </xf>
    <xf numFmtId="185" fontId="15" fillId="0" borderId="0" xfId="0" applyNumberFormat="1" applyFont="1" applyFill="1" applyAlignment="1">
      <alignment vertical="center"/>
    </xf>
    <xf numFmtId="185" fontId="15" fillId="0" borderId="2" xfId="0" applyNumberFormat="1" applyFont="1" applyFill="1" applyBorder="1" applyAlignment="1">
      <alignment vertical="center"/>
    </xf>
    <xf numFmtId="167" fontId="19" fillId="0" borderId="0" xfId="5" applyFont="1" applyFill="1" applyAlignment="1">
      <alignment horizontal="left" vertical="center"/>
    </xf>
    <xf numFmtId="183" fontId="15" fillId="0" borderId="0" xfId="0" applyNumberFormat="1" applyFont="1" applyFill="1" applyBorder="1" applyAlignment="1" applyProtection="1">
      <alignment horizontal="right" vertical="center"/>
    </xf>
    <xf numFmtId="186" fontId="15" fillId="0" borderId="0" xfId="0" applyNumberFormat="1" applyFont="1" applyFill="1" applyAlignment="1" applyProtection="1">
      <alignment horizontal="right" vertical="center"/>
    </xf>
    <xf numFmtId="186" fontId="15" fillId="0" borderId="2" xfId="0" applyNumberFormat="1" applyFont="1" applyFill="1" applyBorder="1" applyAlignment="1" applyProtection="1">
      <alignment horizontal="right" vertical="center"/>
    </xf>
    <xf numFmtId="37" fontId="14" fillId="3" borderId="12" xfId="0" applyNumberFormat="1" applyFont="1" applyFill="1" applyBorder="1" applyAlignment="1" applyProtection="1">
      <alignment horizontal="center" vertical="center"/>
    </xf>
    <xf numFmtId="37" fontId="15" fillId="0" borderId="11" xfId="0" applyNumberFormat="1" applyFont="1" applyBorder="1" applyAlignment="1" applyProtection="1">
      <alignment horizontal="left" vertical="center"/>
    </xf>
    <xf numFmtId="3" fontId="15" fillId="0" borderId="11" xfId="0" applyNumberFormat="1" applyFont="1" applyBorder="1" applyAlignment="1" applyProtection="1">
      <alignment horizontal="right" vertical="center"/>
    </xf>
    <xf numFmtId="178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Fill="1" applyAlignment="1"/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/>
    <xf numFmtId="0" fontId="19" fillId="0" borderId="0" xfId="0" applyFont="1" applyFill="1" applyAlignment="1" applyProtection="1">
      <alignment horizontal="left"/>
    </xf>
    <xf numFmtId="167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/>
    <xf numFmtId="183" fontId="14" fillId="4" borderId="11" xfId="0" applyNumberFormat="1" applyFont="1" applyFill="1" applyBorder="1" applyAlignment="1" applyProtection="1">
      <alignment vertical="center"/>
    </xf>
    <xf numFmtId="178" fontId="19" fillId="0" borderId="11" xfId="0" applyNumberFormat="1" applyFont="1" applyBorder="1" applyAlignment="1">
      <alignment horizontal="right" vertical="center"/>
    </xf>
    <xf numFmtId="0" fontId="15" fillId="0" borderId="0" xfId="0" applyFont="1" applyBorder="1" applyAlignment="1" applyProtection="1">
      <alignment horizontal="left"/>
    </xf>
    <xf numFmtId="183" fontId="15" fillId="0" borderId="0" xfId="0" applyNumberFormat="1" applyFont="1" applyFill="1" applyAlignment="1" applyProtection="1">
      <alignment horizontal="right" vertical="center"/>
    </xf>
    <xf numFmtId="183" fontId="15" fillId="0" borderId="2" xfId="0" applyNumberFormat="1" applyFont="1" applyFill="1" applyBorder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49" fontId="15" fillId="0" borderId="0" xfId="0" quotePrefix="1" applyNumberFormat="1" applyFont="1" applyFill="1" applyAlignment="1" applyProtection="1">
      <alignment horizontal="center" vertical="center"/>
    </xf>
    <xf numFmtId="49" fontId="15" fillId="0" borderId="2" xfId="0" quotePrefix="1" applyNumberFormat="1" applyFont="1" applyFill="1" applyBorder="1" applyAlignment="1" applyProtection="1">
      <alignment horizontal="center" vertical="center"/>
    </xf>
    <xf numFmtId="49" fontId="15" fillId="0" borderId="0" xfId="0" quotePrefix="1" applyNumberFormat="1" applyFont="1" applyFill="1" applyBorder="1" applyAlignment="1" applyProtection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5" fillId="0" borderId="0" xfId="0" applyFont="1" applyBorder="1" applyAlignment="1">
      <alignment vertical="center"/>
    </xf>
    <xf numFmtId="0" fontId="26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6" fillId="0" borderId="6" xfId="0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vertical="center"/>
    </xf>
    <xf numFmtId="166" fontId="11" fillId="0" borderId="0" xfId="0" applyNumberFormat="1" applyFont="1" applyFill="1" applyAlignment="1" applyProtection="1">
      <alignment horizontal="left"/>
      <protection locked="0"/>
    </xf>
    <xf numFmtId="166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167" fontId="15" fillId="0" borderId="0" xfId="0" applyNumberFormat="1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5" fillId="2" borderId="0" xfId="0" applyFont="1" applyFill="1" applyAlignment="1"/>
    <xf numFmtId="180" fontId="15" fillId="0" borderId="0" xfId="0" applyNumberFormat="1" applyFont="1" applyFill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Alignment="1">
      <alignment vertical="center"/>
    </xf>
    <xf numFmtId="183" fontId="14" fillId="4" borderId="2" xfId="0" applyNumberFormat="1" applyFont="1" applyFill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horizontal="right" vertical="center"/>
    </xf>
    <xf numFmtId="183" fontId="14" fillId="5" borderId="0" xfId="0" quotePrefix="1" applyNumberFormat="1" applyFont="1" applyFill="1" applyBorder="1" applyAlignment="1" applyProtection="1">
      <alignment horizontal="right" vertical="center"/>
    </xf>
    <xf numFmtId="183" fontId="14" fillId="4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Fill="1" applyAlignment="1" applyProtection="1">
      <alignment vertical="center"/>
    </xf>
    <xf numFmtId="183" fontId="15" fillId="0" borderId="0" xfId="0" applyNumberFormat="1" applyFont="1" applyFill="1" applyBorder="1" applyAlignment="1" applyProtection="1">
      <alignment vertical="center"/>
    </xf>
    <xf numFmtId="183" fontId="15" fillId="0" borderId="2" xfId="0" applyNumberFormat="1" applyFont="1" applyFill="1" applyBorder="1" applyAlignment="1" applyProtection="1">
      <alignment vertical="center"/>
    </xf>
    <xf numFmtId="3" fontId="14" fillId="5" borderId="0" xfId="0" applyNumberFormat="1" applyFont="1" applyFill="1" applyProtection="1"/>
    <xf numFmtId="3" fontId="14" fillId="5" borderId="0" xfId="0" applyNumberFormat="1" applyFont="1" applyFill="1" applyBorder="1" applyProtection="1"/>
    <xf numFmtId="3" fontId="14" fillId="5" borderId="2" xfId="0" applyNumberFormat="1" applyFont="1" applyFill="1" applyBorder="1" applyProtection="1"/>
    <xf numFmtId="183" fontId="14" fillId="5" borderId="0" xfId="0" applyNumberFormat="1" applyFont="1" applyFill="1" applyBorder="1" applyAlignment="1" applyProtection="1">
      <alignment horizontal="right" vertical="center"/>
    </xf>
    <xf numFmtId="183" fontId="14" fillId="5" borderId="0" xfId="0" applyNumberFormat="1" applyFont="1" applyFill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vertical="center"/>
    </xf>
    <xf numFmtId="183" fontId="14" fillId="5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Protection="1">
      <protection locked="0"/>
    </xf>
    <xf numFmtId="183" fontId="15" fillId="0" borderId="0" xfId="0" applyNumberFormat="1" applyFont="1" applyBorder="1" applyProtection="1">
      <protection locked="0"/>
    </xf>
    <xf numFmtId="183" fontId="15" fillId="0" borderId="2" xfId="0" applyNumberFormat="1" applyFont="1" applyBorder="1" applyProtection="1">
      <protection locked="0"/>
    </xf>
    <xf numFmtId="185" fontId="15" fillId="0" borderId="0" xfId="0" quotePrefix="1" applyNumberFormat="1" applyFont="1" applyFill="1" applyAlignment="1">
      <alignment horizontal="righ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80" fontId="15" fillId="0" borderId="0" xfId="0" applyNumberFormat="1" applyFont="1" applyFill="1" applyBorder="1" applyAlignment="1" applyProtection="1">
      <alignment horizontal="right" vertical="center"/>
    </xf>
    <xf numFmtId="0" fontId="26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6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6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170" fontId="23" fillId="0" borderId="0" xfId="0" applyNumberFormat="1" applyFont="1" applyFill="1" applyProtection="1">
      <protection locked="0"/>
    </xf>
    <xf numFmtId="170" fontId="23" fillId="0" borderId="2" xfId="0" applyNumberFormat="1" applyFont="1" applyFill="1" applyBorder="1" applyProtection="1">
      <protection locked="0"/>
    </xf>
    <xf numFmtId="170" fontId="19" fillId="0" borderId="0" xfId="0" applyNumberFormat="1" applyFont="1" applyFill="1" applyAlignment="1" applyProtection="1">
      <alignment horizontal="right" vertical="center"/>
    </xf>
    <xf numFmtId="170" fontId="23" fillId="0" borderId="0" xfId="0" applyNumberFormat="1" applyFont="1" applyFill="1"/>
    <xf numFmtId="170" fontId="23" fillId="0" borderId="2" xfId="0" applyNumberFormat="1" applyFont="1" applyFill="1" applyBorder="1"/>
    <xf numFmtId="189" fontId="15" fillId="2" borderId="0" xfId="0" applyNumberFormat="1" applyFont="1" applyFill="1" applyBorder="1" applyAlignment="1" applyProtection="1">
      <alignment vertical="center"/>
    </xf>
    <xf numFmtId="189" fontId="15" fillId="2" borderId="2" xfId="0" applyNumberFormat="1" applyFont="1" applyFill="1" applyBorder="1" applyAlignment="1" applyProtection="1">
      <alignment vertical="center"/>
    </xf>
    <xf numFmtId="188" fontId="15" fillId="2" borderId="0" xfId="0" applyNumberFormat="1" applyFont="1" applyFill="1" applyBorder="1" applyAlignment="1" applyProtection="1">
      <alignment vertical="center"/>
    </xf>
    <xf numFmtId="188" fontId="15" fillId="2" borderId="2" xfId="0" applyNumberFormat="1" applyFont="1" applyFill="1" applyBorder="1" applyAlignment="1" applyProtection="1">
      <alignment vertical="center"/>
    </xf>
    <xf numFmtId="190" fontId="14" fillId="0" borderId="0" xfId="0" applyNumberFormat="1" applyFont="1" applyFill="1" applyAlignment="1" applyProtection="1">
      <alignment vertical="center"/>
    </xf>
    <xf numFmtId="189" fontId="23" fillId="0" borderId="0" xfId="0" applyNumberFormat="1" applyFont="1" applyFill="1" applyAlignment="1" applyProtection="1">
      <alignment horizontal="right" vertical="center"/>
    </xf>
    <xf numFmtId="189" fontId="23" fillId="0" borderId="2" xfId="0" applyNumberFormat="1" applyFont="1" applyFill="1" applyBorder="1" applyAlignment="1" applyProtection="1">
      <alignment horizontal="right" vertical="center"/>
    </xf>
    <xf numFmtId="189" fontId="15" fillId="0" borderId="0" xfId="0" applyNumberFormat="1" applyFont="1" applyFill="1" applyAlignment="1" applyProtection="1">
      <alignment vertical="center"/>
    </xf>
    <xf numFmtId="189" fontId="15" fillId="0" borderId="2" xfId="0" applyNumberFormat="1" applyFont="1" applyFill="1" applyBorder="1" applyAlignment="1" applyProtection="1">
      <alignment vertical="center"/>
    </xf>
    <xf numFmtId="167" fontId="19" fillId="0" borderId="0" xfId="5" applyFont="1" applyAlignment="1">
      <alignment horizontal="left"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Fill="1" applyAlignment="1" applyProtection="1">
      <alignment horizontal="left"/>
      <protection locked="0"/>
    </xf>
    <xf numFmtId="178" fontId="19" fillId="0" borderId="0" xfId="0" applyNumberFormat="1" applyFont="1" applyBorder="1" applyAlignment="1">
      <alignment horizontal="right" vertical="center"/>
    </xf>
    <xf numFmtId="189" fontId="15" fillId="0" borderId="0" xfId="0" applyNumberFormat="1" applyFont="1" applyFill="1" applyBorder="1" applyAlignment="1" applyProtection="1">
      <alignment vertical="center"/>
    </xf>
    <xf numFmtId="191" fontId="15" fillId="0" borderId="0" xfId="1" applyNumberFormat="1" applyFont="1" applyFill="1" applyAlignment="1" applyProtection="1">
      <alignment horizontal="right" vertical="center" indent="1"/>
    </xf>
    <xf numFmtId="191" fontId="15" fillId="0" borderId="0" xfId="1" applyNumberFormat="1" applyFont="1" applyFill="1" applyAlignment="1" applyProtection="1">
      <alignment horizontal="right" vertical="center"/>
    </xf>
    <xf numFmtId="191" fontId="15" fillId="0" borderId="0" xfId="1" applyNumberFormat="1" applyFont="1" applyFill="1" applyAlignment="1" applyProtection="1">
      <alignment horizontal="left" vertical="center"/>
    </xf>
    <xf numFmtId="191" fontId="15" fillId="0" borderId="2" xfId="1" applyNumberFormat="1" applyFont="1" applyFill="1" applyBorder="1" applyAlignment="1" applyProtection="1">
      <alignment horizontal="right" vertical="center" indent="1"/>
    </xf>
    <xf numFmtId="191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3" fontId="15" fillId="0" borderId="0" xfId="0" applyNumberFormat="1" applyFont="1" applyFill="1" applyBorder="1" applyAlignment="1" applyProtection="1">
      <alignment horizontal="right" vertical="center"/>
    </xf>
    <xf numFmtId="37" fontId="14" fillId="0" borderId="0" xfId="0" applyNumberFormat="1" applyFont="1" applyFill="1" applyBorder="1" applyAlignment="1" applyProtection="1">
      <alignment horizontal="center" vertical="center"/>
    </xf>
    <xf numFmtId="37" fontId="23" fillId="0" borderId="11" xfId="0" applyNumberFormat="1" applyFont="1" applyBorder="1" applyAlignment="1" applyProtection="1">
      <alignment horizontal="left" vertical="center"/>
    </xf>
    <xf numFmtId="183" fontId="14" fillId="4" borderId="11" xfId="0" applyNumberFormat="1" applyFont="1" applyFill="1" applyBorder="1" applyAlignment="1" applyProtection="1">
      <alignment horizontal="right" vertical="center"/>
    </xf>
    <xf numFmtId="191" fontId="15" fillId="0" borderId="0" xfId="1" applyNumberFormat="1" applyFont="1" applyBorder="1" applyAlignment="1" applyProtection="1">
      <alignment horizontal="right" vertical="center"/>
    </xf>
    <xf numFmtId="191" fontId="15" fillId="0" borderId="11" xfId="1" applyNumberFormat="1" applyFont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vertical="center"/>
      <protection locked="0"/>
    </xf>
    <xf numFmtId="191" fontId="15" fillId="0" borderId="0" xfId="1" applyNumberFormat="1" applyFont="1"/>
    <xf numFmtId="191" fontId="15" fillId="0" borderId="2" xfId="1" applyNumberFormat="1" applyFont="1" applyBorder="1" applyAlignment="1" applyProtection="1">
      <alignment vertical="center"/>
      <protection locked="0"/>
    </xf>
    <xf numFmtId="167" fontId="19" fillId="0" borderId="0" xfId="5" applyFont="1" applyAlignment="1">
      <alignment horizontal="left" vertical="center"/>
    </xf>
    <xf numFmtId="0" fontId="11" fillId="0" borderId="0" xfId="0" applyFont="1" applyAlignment="1" applyProtection="1">
      <alignment horizontal="left" vertical="top"/>
    </xf>
    <xf numFmtId="37" fontId="14" fillId="6" borderId="12" xfId="0" applyNumberFormat="1" applyFont="1" applyFill="1" applyBorder="1" applyAlignment="1" applyProtection="1">
      <alignment horizontal="center" vertical="center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92" fontId="15" fillId="0" borderId="0" xfId="0" applyNumberFormat="1" applyFont="1"/>
    <xf numFmtId="0" fontId="28" fillId="7" borderId="0" xfId="0" applyFont="1" applyFill="1"/>
    <xf numFmtId="0" fontId="29" fillId="7" borderId="0" xfId="0" applyFont="1" applyFill="1" applyAlignment="1">
      <alignment vertical="center"/>
    </xf>
    <xf numFmtId="193" fontId="29" fillId="7" borderId="0" xfId="1" applyNumberFormat="1" applyFont="1" applyFill="1" applyBorder="1" applyAlignment="1" applyProtection="1">
      <alignment vertical="center"/>
    </xf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3" fontId="29" fillId="7" borderId="0" xfId="1" applyNumberFormat="1" applyFont="1" applyFill="1" applyBorder="1" applyAlignment="1">
      <alignment horizontal="centerContinuous" vertical="center"/>
    </xf>
    <xf numFmtId="0" fontId="31" fillId="7" borderId="0" xfId="0" applyFont="1" applyFill="1" applyAlignment="1">
      <alignment horizontal="left" vertical="center"/>
    </xf>
    <xf numFmtId="1" fontId="31" fillId="7" borderId="0" xfId="0" applyNumberFormat="1" applyFont="1" applyFill="1" applyAlignment="1" applyProtection="1">
      <alignment horizontal="left" vertical="center"/>
      <protection locked="0"/>
    </xf>
    <xf numFmtId="0" fontId="31" fillId="7" borderId="0" xfId="0" applyFont="1" applyFill="1" applyAlignment="1">
      <alignment vertical="center"/>
    </xf>
    <xf numFmtId="0" fontId="31" fillId="7" borderId="2" xfId="0" applyFont="1" applyFill="1" applyBorder="1" applyAlignment="1">
      <alignment horizontal="left"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/>
    <xf numFmtId="193" fontId="31" fillId="7" borderId="0" xfId="1" applyNumberFormat="1" applyFont="1" applyFill="1" applyBorder="1"/>
    <xf numFmtId="0" fontId="32" fillId="0" borderId="0" xfId="0" applyFont="1"/>
    <xf numFmtId="0" fontId="31" fillId="0" borderId="0" xfId="0" applyFont="1"/>
    <xf numFmtId="193" fontId="31" fillId="0" borderId="0" xfId="1" applyNumberFormat="1" applyFont="1" applyFill="1" applyBorder="1"/>
    <xf numFmtId="166" fontId="32" fillId="0" borderId="0" xfId="0" applyNumberFormat="1" applyFont="1" applyAlignment="1">
      <alignment horizontal="left"/>
    </xf>
    <xf numFmtId="167" fontId="31" fillId="0" borderId="0" xfId="0" applyNumberFormat="1" applyFont="1"/>
    <xf numFmtId="193" fontId="31" fillId="0" borderId="0" xfId="1" applyNumberFormat="1" applyFont="1" applyFill="1" applyBorder="1" applyProtection="1"/>
    <xf numFmtId="167" fontId="28" fillId="0" borderId="0" xfId="5" applyFont="1" applyAlignment="1">
      <alignment horizontal="lef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67" fontId="29" fillId="0" borderId="0" xfId="5" applyFont="1" applyAlignment="1">
      <alignment vertical="center"/>
    </xf>
    <xf numFmtId="171" fontId="32" fillId="0" borderId="0" xfId="5" applyNumberFormat="1" applyFont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0" fontId="31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4" fontId="14" fillId="0" borderId="0" xfId="0" quotePrefix="1" applyNumberFormat="1" applyFont="1" applyFill="1" applyAlignment="1">
      <alignment horizontal="right" vertical="center"/>
    </xf>
    <xf numFmtId="167" fontId="14" fillId="8" borderId="12" xfId="0" quotePrefix="1" applyNumberFormat="1" applyFont="1" applyFill="1" applyBorder="1" applyAlignment="1" applyProtection="1">
      <alignment horizontal="center" vertical="center"/>
    </xf>
    <xf numFmtId="180" fontId="14" fillId="9" borderId="0" xfId="0" applyNumberFormat="1" applyFont="1" applyFill="1" applyBorder="1" applyAlignment="1" applyProtection="1">
      <alignment vertical="center"/>
    </xf>
    <xf numFmtId="189" fontId="14" fillId="9" borderId="0" xfId="0" applyNumberFormat="1" applyFont="1" applyFill="1" applyBorder="1" applyAlignment="1">
      <alignment vertical="center"/>
    </xf>
    <xf numFmtId="166" fontId="14" fillId="0" borderId="0" xfId="0" applyNumberFormat="1" applyFont="1" applyFill="1" applyBorder="1" applyAlignment="1">
      <alignment horizontal="center" vertical="center"/>
    </xf>
    <xf numFmtId="194" fontId="14" fillId="0" borderId="0" xfId="0" quotePrefix="1" applyNumberFormat="1" applyFont="1" applyFill="1" applyBorder="1" applyAlignment="1">
      <alignment horizontal="right" vertical="center"/>
    </xf>
    <xf numFmtId="194" fontId="14" fillId="0" borderId="0" xfId="0" quotePrefix="1" applyNumberFormat="1" applyFont="1" applyFill="1" applyBorder="1" applyAlignment="1">
      <alignment horizontal="right"/>
    </xf>
    <xf numFmtId="166" fontId="11" fillId="10" borderId="2" xfId="0" applyNumberFormat="1" applyFont="1" applyFill="1" applyBorder="1" applyAlignment="1" applyProtection="1">
      <alignment horizontal="centerContinuous" vertical="center"/>
    </xf>
    <xf numFmtId="0" fontId="11" fillId="10" borderId="2" xfId="0" applyFont="1" applyFill="1" applyBorder="1" applyAlignment="1">
      <alignment horizontal="centerContinuous" vertical="center"/>
    </xf>
    <xf numFmtId="189" fontId="14" fillId="10" borderId="2" xfId="0" applyNumberFormat="1" applyFont="1" applyFill="1" applyBorder="1" applyAlignment="1" applyProtection="1">
      <alignment vertical="center"/>
    </xf>
    <xf numFmtId="189" fontId="14" fillId="10" borderId="15" xfId="0" applyNumberFormat="1" applyFont="1" applyFill="1" applyBorder="1" applyAlignment="1" applyProtection="1">
      <alignment vertical="center"/>
    </xf>
    <xf numFmtId="180" fontId="14" fillId="10" borderId="2" xfId="0" applyNumberFormat="1" applyFont="1" applyFill="1" applyBorder="1" applyAlignment="1" applyProtection="1">
      <alignment vertical="center"/>
    </xf>
    <xf numFmtId="189" fontId="14" fillId="9" borderId="11" xfId="0" applyNumberFormat="1" applyFont="1" applyFill="1" applyBorder="1" applyAlignment="1" applyProtection="1">
      <alignment vertical="center"/>
    </xf>
    <xf numFmtId="180" fontId="14" fillId="9" borderId="11" xfId="0" applyNumberFormat="1" applyFont="1" applyFill="1" applyBorder="1" applyAlignment="1" applyProtection="1">
      <alignment vertical="center"/>
    </xf>
    <xf numFmtId="193" fontId="29" fillId="11" borderId="4" xfId="1" applyNumberFormat="1" applyFont="1" applyFill="1" applyBorder="1" applyAlignment="1" applyProtection="1">
      <alignment horizontal="center"/>
    </xf>
    <xf numFmtId="193" fontId="29" fillId="11" borderId="14" xfId="1" applyNumberFormat="1" applyFont="1" applyFill="1" applyBorder="1" applyAlignment="1" applyProtection="1">
      <alignment horizontal="center" vertical="top"/>
    </xf>
    <xf numFmtId="0" fontId="28" fillId="12" borderId="15" xfId="0" applyFont="1" applyFill="1" applyBorder="1" applyAlignment="1">
      <alignment horizontal="center" vertical="center"/>
    </xf>
    <xf numFmtId="195" fontId="29" fillId="12" borderId="15" xfId="1" applyNumberFormat="1" applyFont="1" applyFill="1" applyBorder="1" applyAlignment="1">
      <alignment horizontal="right" vertical="center"/>
    </xf>
    <xf numFmtId="195" fontId="31" fillId="7" borderId="0" xfId="1" applyNumberFormat="1" applyFont="1" applyFill="1" applyBorder="1" applyAlignment="1">
      <alignment horizontal="right" vertical="center"/>
    </xf>
    <xf numFmtId="195" fontId="27" fillId="7" borderId="0" xfId="1" applyNumberFormat="1" applyFont="1" applyFill="1" applyBorder="1" applyAlignment="1">
      <alignment horizontal="right" vertical="center"/>
    </xf>
    <xf numFmtId="195" fontId="31" fillId="7" borderId="2" xfId="1" applyNumberFormat="1" applyFont="1" applyFill="1" applyBorder="1" applyAlignment="1">
      <alignment horizontal="right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88" fontId="14" fillId="10" borderId="15" xfId="0" applyNumberFormat="1" applyFont="1" applyFill="1" applyBorder="1" applyAlignment="1" applyProtection="1">
      <alignment vertical="center"/>
    </xf>
    <xf numFmtId="167" fontId="14" fillId="8" borderId="9" xfId="0" applyNumberFormat="1" applyFont="1" applyFill="1" applyBorder="1" applyAlignment="1" applyProtection="1">
      <alignment horizontal="centerContinuous" vertical="center"/>
    </xf>
    <xf numFmtId="167" fontId="14" fillId="8" borderId="15" xfId="0" applyNumberFormat="1" applyFont="1" applyFill="1" applyBorder="1" applyAlignment="1" applyProtection="1">
      <alignment horizontal="centerContinuous" vertical="center"/>
    </xf>
    <xf numFmtId="181" fontId="14" fillId="10" borderId="2" xfId="0" applyNumberFormat="1" applyFont="1" applyFill="1" applyBorder="1" applyAlignment="1" applyProtection="1">
      <alignment vertical="center"/>
    </xf>
    <xf numFmtId="166" fontId="14" fillId="9" borderId="0" xfId="0" applyNumberFormat="1" applyFont="1" applyFill="1" applyAlignment="1" applyProtection="1">
      <alignment horizontal="left" vertical="center"/>
    </xf>
    <xf numFmtId="170" fontId="14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Alignment="1" applyProtection="1">
      <alignment vertical="center"/>
    </xf>
    <xf numFmtId="189" fontId="14" fillId="9" borderId="0" xfId="0" applyNumberFormat="1" applyFont="1" applyFill="1" applyAlignment="1" applyProtection="1">
      <alignment vertical="center"/>
    </xf>
    <xf numFmtId="167" fontId="15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Border="1" applyAlignment="1" applyProtection="1">
      <alignment vertical="center"/>
    </xf>
    <xf numFmtId="167" fontId="14" fillId="8" borderId="10" xfId="0" applyNumberFormat="1" applyFont="1" applyFill="1" applyBorder="1" applyAlignment="1" applyProtection="1">
      <alignment horizontal="centerContinuous" vertical="center"/>
    </xf>
    <xf numFmtId="166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quotePrefix="1" applyNumberFormat="1" applyFont="1" applyFill="1" applyBorder="1" applyAlignment="1" applyProtection="1">
      <alignment horizontal="center" vertical="center"/>
    </xf>
    <xf numFmtId="166" fontId="18" fillId="10" borderId="2" xfId="0" applyNumberFormat="1" applyFont="1" applyFill="1" applyBorder="1" applyAlignment="1" applyProtection="1">
      <alignment horizontal="centerContinuous" vertical="center"/>
    </xf>
    <xf numFmtId="0" fontId="14" fillId="10" borderId="2" xfId="0" applyFont="1" applyFill="1" applyBorder="1" applyAlignment="1">
      <alignment horizontal="centerContinuous" vertical="center"/>
    </xf>
    <xf numFmtId="170" fontId="18" fillId="9" borderId="0" xfId="0" applyNumberFormat="1" applyFont="1" applyFill="1" applyAlignment="1" applyProtection="1">
      <alignment vertical="center"/>
    </xf>
    <xf numFmtId="166" fontId="18" fillId="9" borderId="0" xfId="0" applyNumberFormat="1" applyFont="1" applyFill="1" applyBorder="1" applyAlignment="1" applyProtection="1">
      <alignment horizontal="left" vertical="center"/>
    </xf>
    <xf numFmtId="167" fontId="23" fillId="0" borderId="0" xfId="0" applyNumberFormat="1" applyFont="1" applyFill="1" applyBorder="1" applyAlignment="1" applyProtection="1">
      <alignment vertical="center"/>
    </xf>
    <xf numFmtId="166" fontId="18" fillId="9" borderId="0" xfId="0" applyNumberFormat="1" applyFont="1" applyFill="1" applyAlignment="1" applyProtection="1">
      <alignment horizontal="left" vertical="center"/>
    </xf>
    <xf numFmtId="0" fontId="18" fillId="9" borderId="0" xfId="0" applyFont="1" applyFill="1" applyBorder="1" applyAlignment="1">
      <alignment vertical="center"/>
    </xf>
    <xf numFmtId="188" fontId="18" fillId="1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Alignment="1" applyProtection="1">
      <alignment vertical="center"/>
    </xf>
    <xf numFmtId="188" fontId="23" fillId="0" borderId="0" xfId="0" applyNumberFormat="1" applyFont="1" applyFill="1" applyAlignment="1" applyProtection="1">
      <alignment vertical="center"/>
    </xf>
    <xf numFmtId="188" fontId="23" fillId="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Border="1" applyAlignment="1" applyProtection="1">
      <alignment vertical="center"/>
    </xf>
    <xf numFmtId="188" fontId="23" fillId="0" borderId="0" xfId="0" applyNumberFormat="1" applyFont="1" applyFill="1" applyBorder="1" applyAlignment="1" applyProtection="1">
      <alignment vertical="center"/>
    </xf>
    <xf numFmtId="196" fontId="15" fillId="0" borderId="0" xfId="0" applyNumberFormat="1" applyFont="1" applyFill="1" applyAlignment="1" applyProtection="1">
      <alignment vertical="center"/>
    </xf>
    <xf numFmtId="196" fontId="15" fillId="0" borderId="0" xfId="0" applyNumberFormat="1" applyFont="1" applyAlignment="1">
      <alignment vertical="center"/>
    </xf>
    <xf numFmtId="196" fontId="15" fillId="0" borderId="2" xfId="0" applyNumberFormat="1" applyFont="1" applyFill="1" applyBorder="1" applyAlignment="1" applyProtection="1">
      <alignment vertical="center"/>
    </xf>
    <xf numFmtId="167" fontId="18" fillId="8" borderId="12" xfId="0" applyNumberFormat="1" applyFont="1" applyFill="1" applyBorder="1" applyAlignment="1">
      <alignment horizontal="center" vertical="center"/>
    </xf>
    <xf numFmtId="189" fontId="18" fillId="10" borderId="2" xfId="0" applyNumberFormat="1" applyFont="1" applyFill="1" applyBorder="1" applyAlignment="1" applyProtection="1">
      <alignment horizontal="right" vertical="center"/>
    </xf>
    <xf numFmtId="189" fontId="18" fillId="9" borderId="0" xfId="0" applyNumberFormat="1" applyFont="1" applyFill="1" applyAlignment="1" applyProtection="1">
      <alignment horizontal="right" vertical="center"/>
    </xf>
    <xf numFmtId="0" fontId="18" fillId="9" borderId="0" xfId="0" applyFont="1" applyFill="1" applyAlignment="1">
      <alignment vertical="center"/>
    </xf>
    <xf numFmtId="171" fontId="29" fillId="11" borderId="12" xfId="5" applyNumberFormat="1" applyFont="1" applyFill="1" applyBorder="1" applyAlignment="1">
      <alignment horizontal="center" vertical="center"/>
    </xf>
    <xf numFmtId="167" fontId="29" fillId="11" borderId="12" xfId="5" applyFont="1" applyFill="1" applyBorder="1" applyAlignment="1">
      <alignment horizontal="center" vertical="center"/>
    </xf>
    <xf numFmtId="167" fontId="29" fillId="12" borderId="2" xfId="5" applyFont="1" applyFill="1" applyBorder="1" applyAlignment="1">
      <alignment horizontal="center" vertical="center"/>
    </xf>
    <xf numFmtId="49" fontId="14" fillId="8" borderId="12" xfId="0" applyNumberFormat="1" applyFont="1" applyFill="1" applyBorder="1" applyAlignment="1" applyProtection="1">
      <alignment horizontal="center" vertical="center" wrapText="1"/>
    </xf>
    <xf numFmtId="183" fontId="14" fillId="10" borderId="15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vertical="center"/>
    </xf>
    <xf numFmtId="166" fontId="11" fillId="10" borderId="17" xfId="0" applyNumberFormat="1" applyFont="1" applyFill="1" applyBorder="1" applyAlignment="1" applyProtection="1">
      <alignment horizontal="center" vertical="center"/>
    </xf>
    <xf numFmtId="183" fontId="14" fillId="10" borderId="2" xfId="0" applyNumberFormat="1" applyFont="1" applyFill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49" fontId="18" fillId="8" borderId="12" xfId="0" applyNumberFormat="1" applyFont="1" applyFill="1" applyBorder="1" applyAlignment="1" applyProtection="1">
      <alignment horizontal="center" vertical="center" wrapText="1"/>
    </xf>
    <xf numFmtId="39" fontId="14" fillId="10" borderId="11" xfId="0" quotePrefix="1" applyNumberFormat="1" applyFont="1" applyFill="1" applyBorder="1" applyAlignment="1" applyProtection="1">
      <alignment horizontal="center" vertical="center"/>
    </xf>
    <xf numFmtId="186" fontId="14" fillId="10" borderId="0" xfId="0" applyNumberFormat="1" applyFont="1" applyFill="1" applyBorder="1" applyAlignment="1" applyProtection="1">
      <alignment vertical="center"/>
    </xf>
    <xf numFmtId="39" fontId="14" fillId="10" borderId="16" xfId="0" quotePrefix="1" applyNumberFormat="1" applyFont="1" applyFill="1" applyBorder="1" applyAlignment="1" applyProtection="1">
      <alignment horizontal="center" vertical="center"/>
    </xf>
    <xf numFmtId="186" fontId="14" fillId="10" borderId="2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horizontal="right" vertical="center"/>
    </xf>
    <xf numFmtId="183" fontId="14" fillId="9" borderId="0" xfId="0" applyNumberFormat="1" applyFont="1" applyFill="1" applyBorder="1" applyAlignment="1" applyProtection="1">
      <alignment horizontal="right" vertical="center"/>
    </xf>
    <xf numFmtId="183" fontId="14" fillId="9" borderId="2" xfId="0" applyNumberFormat="1" applyFont="1" applyFill="1" applyBorder="1" applyAlignment="1" applyProtection="1">
      <alignment horizontal="right" vertical="center"/>
    </xf>
    <xf numFmtId="183" fontId="14" fillId="10" borderId="0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</xf>
    <xf numFmtId="37" fontId="14" fillId="8" borderId="12" xfId="0" applyNumberFormat="1" applyFont="1" applyFill="1" applyBorder="1" applyAlignment="1" applyProtection="1">
      <alignment horizontal="center" vertical="center"/>
    </xf>
    <xf numFmtId="37" fontId="14" fillId="8" borderId="12" xfId="0" applyNumberFormat="1" applyFont="1" applyFill="1" applyBorder="1" applyAlignment="1" applyProtection="1">
      <alignment horizontal="center" vertical="center" wrapText="1"/>
    </xf>
    <xf numFmtId="191" fontId="14" fillId="8" borderId="12" xfId="1" applyNumberFormat="1" applyFont="1" applyFill="1" applyBorder="1" applyAlignment="1" applyProtection="1">
      <alignment horizontal="center" vertical="center"/>
    </xf>
    <xf numFmtId="183" fontId="14" fillId="10" borderId="11" xfId="0" quotePrefix="1" applyNumberFormat="1" applyFont="1" applyFill="1" applyBorder="1" applyAlignment="1" applyProtection="1">
      <alignment horizontal="right" vertical="center"/>
    </xf>
    <xf numFmtId="183" fontId="14" fillId="10" borderId="11" xfId="0" applyNumberFormat="1" applyFont="1" applyFill="1" applyBorder="1" applyAlignment="1" applyProtection="1">
      <alignment horizontal="right" vertical="center"/>
    </xf>
    <xf numFmtId="186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horizontal="right" vertical="center"/>
    </xf>
    <xf numFmtId="191" fontId="14" fillId="10" borderId="0" xfId="1" applyNumberFormat="1" applyFont="1" applyFill="1" applyBorder="1" applyAlignment="1" applyProtection="1">
      <alignment vertical="center"/>
      <protection locked="0"/>
    </xf>
    <xf numFmtId="191" fontId="14" fillId="10" borderId="11" xfId="1" applyNumberFormat="1" applyFont="1" applyFill="1" applyBorder="1" applyAlignment="1" applyProtection="1">
      <alignment vertical="center"/>
      <protection locked="0"/>
    </xf>
    <xf numFmtId="191" fontId="14" fillId="10" borderId="2" xfId="1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 applyProtection="1">
      <alignment vertical="center"/>
      <protection locked="0"/>
    </xf>
    <xf numFmtId="183" fontId="14" fillId="9" borderId="11" xfId="0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Border="1" applyAlignment="1" applyProtection="1">
      <alignment vertical="center"/>
      <protection locked="0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horizontal="right" vertical="center"/>
      <protection locked="0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37" fontId="14" fillId="10" borderId="11" xfId="0" quotePrefix="1" applyNumberFormat="1" applyFont="1" applyFill="1" applyBorder="1" applyAlignment="1" applyProtection="1">
      <alignment horizontal="center" vertical="center"/>
    </xf>
    <xf numFmtId="37" fontId="14" fillId="10" borderId="2" xfId="0" quotePrefix="1" applyNumberFormat="1" applyFont="1" applyFill="1" applyBorder="1" applyAlignment="1" applyProtection="1">
      <alignment horizontal="center" vertical="center"/>
    </xf>
    <xf numFmtId="183" fontId="14" fillId="9" borderId="0" xfId="0" applyNumberFormat="1" applyFont="1" applyFill="1" applyBorder="1" applyAlignment="1" applyProtection="1">
      <alignment vertical="center"/>
    </xf>
    <xf numFmtId="183" fontId="14" fillId="9" borderId="2" xfId="0" applyNumberFormat="1" applyFont="1" applyFill="1" applyBorder="1" applyAlignment="1" applyProtection="1">
      <alignment vertical="center"/>
    </xf>
    <xf numFmtId="0" fontId="14" fillId="8" borderId="12" xfId="0" applyFont="1" applyFill="1" applyBorder="1" applyAlignment="1" applyProtection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183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  <protection locked="0"/>
    </xf>
    <xf numFmtId="186" fontId="15" fillId="0" borderId="0" xfId="0" applyNumberFormat="1" applyFont="1" applyFill="1" applyBorder="1" applyAlignment="1" applyProtection="1">
      <alignment horizontal="right" vertical="center"/>
    </xf>
    <xf numFmtId="3" fontId="14" fillId="10" borderId="11" xfId="0" applyNumberFormat="1" applyFont="1" applyFill="1" applyBorder="1" applyProtection="1">
      <protection locked="0"/>
    </xf>
    <xf numFmtId="3" fontId="14" fillId="10" borderId="0" xfId="0" applyNumberFormat="1" applyFont="1" applyFill="1" applyBorder="1" applyProtection="1">
      <protection locked="0"/>
    </xf>
    <xf numFmtId="3" fontId="14" fillId="10" borderId="2" xfId="0" applyNumberFormat="1" applyFont="1" applyFill="1" applyBorder="1" applyProtection="1">
      <protection locked="0"/>
    </xf>
    <xf numFmtId="183" fontId="14" fillId="10" borderId="0" xfId="0" applyNumberFormat="1" applyFont="1" applyFill="1" applyAlignment="1" applyProtection="1">
      <alignment horizontal="righ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167" fontId="19" fillId="0" borderId="0" xfId="5" applyFont="1" applyAlignment="1">
      <alignment horizontal="lef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29" fillId="11" borderId="12" xfId="0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0" fontId="29" fillId="11" borderId="1" xfId="0" applyFont="1" applyFill="1" applyBorder="1" applyAlignment="1">
      <alignment horizontal="center" vertical="center"/>
    </xf>
    <xf numFmtId="197" fontId="29" fillId="12" borderId="15" xfId="1" applyNumberFormat="1" applyFont="1" applyFill="1" applyBorder="1" applyAlignment="1">
      <alignment horizontal="right" vertical="center"/>
    </xf>
    <xf numFmtId="197" fontId="31" fillId="7" borderId="0" xfId="1" applyNumberFormat="1" applyFont="1" applyFill="1" applyBorder="1" applyAlignment="1">
      <alignment horizontal="right" vertical="center"/>
    </xf>
    <xf numFmtId="197" fontId="27" fillId="7" borderId="0" xfId="1" applyNumberFormat="1" applyFont="1" applyFill="1" applyBorder="1" applyAlignment="1">
      <alignment horizontal="right" vertical="center"/>
    </xf>
    <xf numFmtId="197" fontId="31" fillId="7" borderId="2" xfId="1" applyNumberFormat="1" applyFont="1" applyFill="1" applyBorder="1" applyAlignment="1">
      <alignment horizontal="right" vertical="center"/>
    </xf>
    <xf numFmtId="3" fontId="29" fillId="0" borderId="0" xfId="5" applyNumberFormat="1" applyFont="1" applyAlignment="1">
      <alignment horizontal="right" vertical="center"/>
    </xf>
    <xf numFmtId="179" fontId="29" fillId="0" borderId="0" xfId="5" applyNumberFormat="1" applyFont="1" applyAlignment="1">
      <alignment horizontal="right" vertical="center"/>
    </xf>
    <xf numFmtId="3" fontId="14" fillId="0" borderId="0" xfId="0" applyNumberFormat="1" applyFont="1"/>
    <xf numFmtId="179" fontId="14" fillId="0" borderId="0" xfId="0" applyNumberFormat="1" applyFont="1" applyAlignment="1">
      <alignment horizontal="right"/>
    </xf>
    <xf numFmtId="3" fontId="31" fillId="0" borderId="0" xfId="5" applyNumberFormat="1" applyFont="1" applyAlignment="1">
      <alignment horizontal="right" vertical="center"/>
    </xf>
    <xf numFmtId="179" fontId="31" fillId="0" borderId="0" xfId="5" applyNumberFormat="1" applyFont="1" applyAlignment="1">
      <alignment horizontal="right" vertical="center"/>
    </xf>
    <xf numFmtId="3" fontId="15" fillId="0" borderId="0" xfId="0" applyNumberFormat="1" applyFont="1"/>
    <xf numFmtId="179" fontId="15" fillId="0" borderId="0" xfId="0" applyNumberFormat="1" applyFont="1" applyAlignment="1">
      <alignment horizontal="right"/>
    </xf>
    <xf numFmtId="3" fontId="29" fillId="0" borderId="0" xfId="5" applyNumberFormat="1" applyFont="1" applyAlignment="1">
      <alignment vertical="center"/>
    </xf>
    <xf numFmtId="3" fontId="31" fillId="0" borderId="0" xfId="5" applyNumberFormat="1" applyFont="1" applyAlignment="1">
      <alignment vertical="center"/>
    </xf>
    <xf numFmtId="3" fontId="33" fillId="0" borderId="0" xfId="5" applyNumberFormat="1" applyFont="1" applyAlignment="1">
      <alignment vertical="center"/>
    </xf>
    <xf numFmtId="179" fontId="33" fillId="0" borderId="0" xfId="5" applyNumberFormat="1" applyFont="1" applyAlignment="1">
      <alignment horizontal="right" vertical="center"/>
    </xf>
    <xf numFmtId="3" fontId="31" fillId="0" borderId="2" xfId="5" applyNumberFormat="1" applyFont="1" applyBorder="1" applyAlignment="1">
      <alignment vertical="center"/>
    </xf>
    <xf numFmtId="179" fontId="31" fillId="0" borderId="2" xfId="5" applyNumberFormat="1" applyFont="1" applyBorder="1" applyAlignment="1">
      <alignment horizontal="right" vertical="center"/>
    </xf>
    <xf numFmtId="3" fontId="15" fillId="0" borderId="2" xfId="0" applyNumberFormat="1" applyFont="1" applyBorder="1"/>
    <xf numFmtId="179" fontId="15" fillId="0" borderId="2" xfId="0" applyNumberFormat="1" applyFont="1" applyBorder="1" applyAlignment="1">
      <alignment horizontal="right"/>
    </xf>
    <xf numFmtId="186" fontId="29" fillId="0" borderId="0" xfId="5" applyNumberFormat="1" applyFont="1" applyAlignment="1">
      <alignment horizontal="right" vertical="center"/>
    </xf>
    <xf numFmtId="198" fontId="29" fillId="0" borderId="0" xfId="5" applyNumberFormat="1" applyFont="1" applyAlignment="1">
      <alignment horizontal="right" vertical="center"/>
    </xf>
    <xf numFmtId="167" fontId="33" fillId="0" borderId="0" xfId="5" applyFont="1" applyAlignment="1">
      <alignment vertical="center"/>
    </xf>
    <xf numFmtId="167" fontId="27" fillId="0" borderId="0" xfId="5" applyFont="1" applyAlignment="1">
      <alignment vertical="center"/>
    </xf>
    <xf numFmtId="186" fontId="27" fillId="0" borderId="0" xfId="5" applyNumberFormat="1" applyFont="1" applyAlignment="1">
      <alignment horizontal="right" vertical="center"/>
    </xf>
    <xf numFmtId="198" fontId="27" fillId="0" borderId="0" xfId="5" applyNumberFormat="1" applyFont="1" applyAlignment="1">
      <alignment horizontal="right" vertical="center"/>
    </xf>
    <xf numFmtId="186" fontId="27" fillId="0" borderId="0" xfId="0" applyNumberFormat="1" applyFont="1" applyAlignment="1">
      <alignment horizontal="right" vertical="center"/>
    </xf>
    <xf numFmtId="198" fontId="27" fillId="0" borderId="0" xfId="0" applyNumberFormat="1" applyFont="1" applyAlignment="1">
      <alignment horizontal="right" vertical="center"/>
    </xf>
    <xf numFmtId="186" fontId="33" fillId="0" borderId="0" xfId="5" applyNumberFormat="1" applyFont="1" applyAlignment="1">
      <alignment horizontal="right" vertical="center"/>
    </xf>
    <xf numFmtId="198" fontId="33" fillId="0" borderId="0" xfId="5" applyNumberFormat="1" applyFont="1" applyAlignment="1">
      <alignment horizontal="right" vertical="center"/>
    </xf>
    <xf numFmtId="198" fontId="33" fillId="0" borderId="0" xfId="0" applyNumberFormat="1" applyFont="1" applyAlignment="1">
      <alignment horizontal="right" vertical="center"/>
    </xf>
    <xf numFmtId="167" fontId="27" fillId="0" borderId="2" xfId="5" applyFont="1" applyBorder="1" applyAlignment="1">
      <alignment vertical="center"/>
    </xf>
    <xf numFmtId="189" fontId="32" fillId="0" borderId="0" xfId="5" applyNumberFormat="1" applyFont="1" applyAlignment="1">
      <alignment vertical="center"/>
    </xf>
    <xf numFmtId="167" fontId="32" fillId="0" borderId="0" xfId="5" applyFont="1" applyAlignment="1">
      <alignment horizontal="left"/>
    </xf>
    <xf numFmtId="171" fontId="32" fillId="0" borderId="0" xfId="5" applyNumberFormat="1" applyFont="1"/>
    <xf numFmtId="167" fontId="32" fillId="0" borderId="0" xfId="5" applyFont="1"/>
    <xf numFmtId="169" fontId="29" fillId="12" borderId="2" xfId="5" applyNumberFormat="1" applyFont="1" applyFill="1" applyBorder="1" applyAlignment="1">
      <alignment horizontal="center" vertical="center"/>
    </xf>
    <xf numFmtId="186" fontId="14" fillId="10" borderId="0" xfId="0" applyNumberFormat="1" applyFont="1" applyFill="1" applyBorder="1" applyAlignment="1" applyProtection="1">
      <alignment horizontal="right" vertical="center"/>
    </xf>
    <xf numFmtId="186" fontId="14" fillId="10" borderId="2" xfId="0" applyNumberFormat="1" applyFont="1" applyFill="1" applyBorder="1" applyAlignment="1" applyProtection="1">
      <alignment horizontal="right" vertical="center"/>
    </xf>
    <xf numFmtId="191" fontId="15" fillId="0" borderId="2" xfId="1" applyNumberFormat="1" applyFont="1" applyBorder="1" applyAlignment="1" applyProtection="1">
      <alignment horizontal="right" vertical="center"/>
    </xf>
    <xf numFmtId="0" fontId="15" fillId="13" borderId="0" xfId="0" applyFont="1" applyFill="1"/>
    <xf numFmtId="166" fontId="14" fillId="9" borderId="11" xfId="4" applyNumberFormat="1" applyFont="1" applyFill="1" applyBorder="1" applyAlignment="1" applyProtection="1">
      <alignment horizontal="center" vertical="center" wrapText="1"/>
      <protection locked="0"/>
    </xf>
    <xf numFmtId="166" fontId="14" fillId="9" borderId="0" xfId="4" applyNumberFormat="1" applyFont="1" applyFill="1" applyBorder="1" applyAlignment="1" applyProtection="1">
      <alignment horizontal="center" vertical="center" wrapText="1"/>
      <protection locked="0"/>
    </xf>
    <xf numFmtId="166" fontId="14" fillId="8" borderId="5" xfId="0" applyNumberFormat="1" applyFont="1" applyFill="1" applyBorder="1" applyAlignment="1" applyProtection="1">
      <alignment horizontal="center" vertical="center"/>
    </xf>
    <xf numFmtId="166" fontId="14" fillId="8" borderId="3" xfId="0" applyNumberFormat="1" applyFont="1" applyFill="1" applyBorder="1" applyAlignment="1" applyProtection="1">
      <alignment horizontal="center" vertical="center"/>
    </xf>
    <xf numFmtId="166" fontId="14" fillId="8" borderId="13" xfId="0" applyNumberFormat="1" applyFont="1" applyFill="1" applyBorder="1" applyAlignment="1" applyProtection="1">
      <alignment horizontal="center" vertical="center"/>
    </xf>
    <xf numFmtId="166" fontId="14" fillId="8" borderId="1" xfId="0" applyNumberFormat="1" applyFont="1" applyFill="1" applyBorder="1" applyAlignment="1" applyProtection="1">
      <alignment horizontal="center" vertical="center"/>
    </xf>
    <xf numFmtId="166" fontId="14" fillId="8" borderId="9" xfId="0" applyNumberFormat="1" applyFont="1" applyFill="1" applyBorder="1" applyAlignment="1" applyProtection="1">
      <alignment horizontal="center" vertical="center"/>
    </xf>
    <xf numFmtId="166" fontId="14" fillId="8" borderId="15" xfId="0" applyNumberFormat="1" applyFont="1" applyFill="1" applyBorder="1" applyAlignment="1" applyProtection="1">
      <alignment horizontal="center" vertical="center"/>
    </xf>
    <xf numFmtId="166" fontId="14" fillId="8" borderId="10" xfId="0" applyNumberFormat="1" applyFont="1" applyFill="1" applyBorder="1" applyAlignment="1" applyProtection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0" fontId="29" fillId="11" borderId="5" xfId="0" applyFont="1" applyFill="1" applyBorder="1" applyAlignment="1">
      <alignment horizontal="center" vertical="center"/>
    </xf>
    <xf numFmtId="0" fontId="29" fillId="11" borderId="13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center" vertical="center"/>
    </xf>
    <xf numFmtId="166" fontId="18" fillId="8" borderId="15" xfId="0" applyNumberFormat="1" applyFont="1" applyFill="1" applyBorder="1" applyAlignment="1" applyProtection="1">
      <alignment horizontal="center" vertical="center"/>
    </xf>
    <xf numFmtId="166" fontId="18" fillId="8" borderId="10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left" vertical="center" wrapText="1"/>
    </xf>
    <xf numFmtId="0" fontId="0" fillId="8" borderId="10" xfId="0" applyFill="1" applyBorder="1" applyAlignment="1">
      <alignment vertical="center" wrapText="1"/>
    </xf>
    <xf numFmtId="166" fontId="14" fillId="10" borderId="15" xfId="0" applyNumberFormat="1" applyFont="1" applyFill="1" applyBorder="1" applyAlignment="1" applyProtection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167" fontId="32" fillId="0" borderId="0" xfId="5" applyFont="1" applyAlignment="1">
      <alignment horizontal="left"/>
    </xf>
    <xf numFmtId="167" fontId="28" fillId="0" borderId="0" xfId="5" applyFont="1" applyAlignment="1">
      <alignment horizontal="left" vertical="center" wrapText="1"/>
    </xf>
    <xf numFmtId="167" fontId="28" fillId="0" borderId="0" xfId="5" applyFont="1" applyAlignment="1">
      <alignment horizontal="left" vertical="center"/>
    </xf>
    <xf numFmtId="167" fontId="29" fillId="11" borderId="4" xfId="5" applyFont="1" applyFill="1" applyBorder="1" applyAlignment="1">
      <alignment horizontal="center" vertical="center"/>
    </xf>
    <xf numFmtId="167" fontId="29" fillId="11" borderId="14" xfId="5" applyFont="1" applyFill="1" applyBorder="1" applyAlignment="1">
      <alignment horizontal="center" vertical="center"/>
    </xf>
    <xf numFmtId="167" fontId="29" fillId="11" borderId="9" xfId="5" applyFont="1" applyFill="1" applyBorder="1" applyAlignment="1">
      <alignment horizontal="center" vertical="center"/>
    </xf>
    <xf numFmtId="167" fontId="29" fillId="11" borderId="15" xfId="5" applyFont="1" applyFill="1" applyBorder="1" applyAlignment="1">
      <alignment horizontal="center" vertical="center"/>
    </xf>
    <xf numFmtId="167" fontId="29" fillId="11" borderId="10" xfId="5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1" fillId="10" borderId="0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37" fontId="11" fillId="10" borderId="11" xfId="0" applyNumberFormat="1" applyFont="1" applyFill="1" applyBorder="1" applyAlignment="1" applyProtection="1">
      <alignment horizontal="center" vertical="center"/>
    </xf>
    <xf numFmtId="37" fontId="11" fillId="10" borderId="2" xfId="0" applyNumberFormat="1" applyFont="1" applyFill="1" applyBorder="1" applyAlignment="1" applyProtection="1">
      <alignment horizontal="center" vertical="center"/>
    </xf>
    <xf numFmtId="0" fontId="11" fillId="10" borderId="11" xfId="0" applyFont="1" applyFill="1" applyBorder="1" applyAlignment="1" applyProtection="1">
      <alignment horizontal="center" vertical="center"/>
    </xf>
    <xf numFmtId="0" fontId="11" fillId="10" borderId="2" xfId="0" applyFont="1" applyFill="1" applyBorder="1" applyAlignment="1" applyProtection="1">
      <alignment horizontal="center" vertical="center"/>
    </xf>
    <xf numFmtId="166" fontId="11" fillId="10" borderId="11" xfId="0" applyNumberFormat="1" applyFont="1" applyFill="1" applyBorder="1" applyAlignment="1" applyProtection="1">
      <alignment horizontal="center" vertical="center"/>
    </xf>
    <xf numFmtId="166" fontId="11" fillId="10" borderId="2" xfId="0" applyNumberFormat="1" applyFont="1" applyFill="1" applyBorder="1" applyAlignment="1" applyProtection="1">
      <alignment horizontal="center" vertical="center"/>
    </xf>
    <xf numFmtId="39" fontId="11" fillId="10" borderId="11" xfId="0" applyNumberFormat="1" applyFont="1" applyFill="1" applyBorder="1" applyAlignment="1" applyProtection="1">
      <alignment horizontal="center" vertical="center"/>
    </xf>
    <xf numFmtId="39" fontId="11" fillId="10" borderId="2" xfId="0" applyNumberFormat="1" applyFont="1" applyFill="1" applyBorder="1" applyAlignment="1" applyProtection="1">
      <alignment horizontal="center" vertical="center"/>
    </xf>
    <xf numFmtId="39" fontId="11" fillId="10" borderId="16" xfId="0" applyNumberFormat="1" applyFont="1" applyFill="1" applyBorder="1" applyAlignment="1" applyProtection="1">
      <alignment horizontal="center" vertical="center"/>
    </xf>
    <xf numFmtId="166" fontId="14" fillId="10" borderId="11" xfId="0" applyNumberFormat="1" applyFont="1" applyFill="1" applyBorder="1" applyAlignment="1" applyProtection="1">
      <alignment horizontal="center" vertical="center"/>
    </xf>
    <xf numFmtId="166" fontId="14" fillId="10" borderId="2" xfId="0" applyNumberFormat="1" applyFont="1" applyFill="1" applyBorder="1" applyAlignment="1" applyProtection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E287"/>
      <color rgb="FFFFF0C6"/>
      <color rgb="FFE3E2D4"/>
      <color rgb="FFE3E0CE"/>
      <color rgb="FFEBEDD5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_2007/VBP/vbp_Ago_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or_PEC"/>
      <sheetName val="Valor_AGR"/>
      <sheetName val="Cultivo_IC"/>
      <sheetName val="TM_AGR"/>
      <sheetName val="Especie_IC"/>
      <sheetName val="TM_Pec"/>
      <sheetName val="Dpto"/>
      <sheetName val="zonas"/>
      <sheetName val="Ant"/>
      <sheetName val="Act"/>
      <sheetName val="Part_Reg"/>
      <sheetName val="Part%"/>
      <sheetName val="IC"/>
      <sheetName val="Todos"/>
      <sheetName val="Encarte"/>
      <sheetName val="CNPA"/>
      <sheetName val="DGESEP"/>
      <sheetName val="INEI"/>
      <sheetName val="Tot"/>
      <sheetName val="Apu"/>
      <sheetName val="Aba"/>
      <sheetName val="Ama"/>
      <sheetName val="Anc"/>
      <sheetName val="And"/>
      <sheetName val="Are"/>
      <sheetName val="Aya"/>
      <sheetName val="Cax"/>
      <sheetName val="Caj"/>
      <sheetName val="Cho"/>
      <sheetName val="Cus"/>
      <sheetName val="Hca"/>
      <sheetName val="Hco"/>
      <sheetName val="Ica"/>
      <sheetName val="Jae"/>
      <sheetName val="Jun"/>
      <sheetName val="Lam"/>
      <sheetName val="Lib"/>
      <sheetName val="Lim"/>
      <sheetName val="Lix"/>
      <sheetName val="Lmm"/>
      <sheetName val="Lip"/>
      <sheetName val="Cal"/>
      <sheetName val="Lor"/>
      <sheetName val="Mds"/>
      <sheetName val="Moq"/>
      <sheetName val="Pas"/>
      <sheetName val="Piu"/>
      <sheetName val="Pun"/>
      <sheetName val="Smt"/>
      <sheetName val="Tac"/>
      <sheetName val="Tum"/>
      <sheetName val="Uc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R50">
            <v>772.22999125471881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D9">
            <v>3547.961664292764</v>
          </cell>
          <cell r="E9">
            <v>3603.9760955449947</v>
          </cell>
          <cell r="G9">
            <v>264.40133651661455</v>
          </cell>
          <cell r="H9">
            <v>290.09417911253269</v>
          </cell>
        </row>
        <row r="17">
          <cell r="D17">
            <v>1773.6204420744075</v>
          </cell>
          <cell r="E17">
            <v>1824.9541333150046</v>
          </cell>
          <cell r="G17">
            <v>213.87245660791018</v>
          </cell>
          <cell r="H17">
            <v>219.70920104537009</v>
          </cell>
        </row>
        <row r="28">
          <cell r="D28">
            <v>3492.9895105120872</v>
          </cell>
          <cell r="E28">
            <v>3775.4117047552245</v>
          </cell>
          <cell r="G28">
            <v>429.12593553788827</v>
          </cell>
          <cell r="H28">
            <v>498.46222461191127</v>
          </cell>
        </row>
        <row r="42">
          <cell r="D42">
            <v>559.59037804278876</v>
          </cell>
          <cell r="E42">
            <v>518.16391344703015</v>
          </cell>
          <cell r="G42">
            <v>27.884759227282931</v>
          </cell>
          <cell r="H42">
            <v>27.802009118928726</v>
          </cell>
        </row>
        <row r="46">
          <cell r="D46">
            <v>2549.4711137088111</v>
          </cell>
          <cell r="E46">
            <v>2602.285270237549</v>
          </cell>
          <cell r="G46">
            <v>114.593357231914</v>
          </cell>
          <cell r="H46">
            <v>124.80159859878724</v>
          </cell>
        </row>
        <row r="52">
          <cell r="D52">
            <v>2505.4475562263697</v>
          </cell>
          <cell r="E52">
            <v>2479.4556634278169</v>
          </cell>
          <cell r="G52">
            <v>232.96182604926017</v>
          </cell>
          <cell r="H52">
            <v>252.80163187794895</v>
          </cell>
        </row>
        <row r="57">
          <cell r="D57">
            <v>327.61804818566299</v>
          </cell>
          <cell r="E57">
            <v>345.10469458633395</v>
          </cell>
          <cell r="G57">
            <v>52.341181297069539</v>
          </cell>
          <cell r="H57">
            <v>50.168504440534271</v>
          </cell>
        </row>
        <row r="62">
          <cell r="D62">
            <v>486.71412424906339</v>
          </cell>
          <cell r="E62">
            <v>468.00990238725257</v>
          </cell>
          <cell r="G62">
            <v>67.261730171693586</v>
          </cell>
          <cell r="H62">
            <v>72.183273817837332</v>
          </cell>
        </row>
        <row r="67">
          <cell r="D67">
            <v>1651.7105518880007</v>
          </cell>
          <cell r="E67">
            <v>1673.0282248436042</v>
          </cell>
          <cell r="G67">
            <v>124.20137785280598</v>
          </cell>
          <cell r="H67">
            <v>124.84608445399201</v>
          </cell>
        </row>
        <row r="77">
          <cell r="D77">
            <v>7345.1997201094455</v>
          </cell>
          <cell r="E77">
            <v>7404.4624495947601</v>
          </cell>
          <cell r="G77">
            <v>917.35197315083462</v>
          </cell>
          <cell r="H77">
            <v>943.01826943887852</v>
          </cell>
        </row>
        <row r="88">
          <cell r="D88">
            <v>1212.6796593947558</v>
          </cell>
          <cell r="E88">
            <v>1236.9975557027794</v>
          </cell>
          <cell r="G88">
            <v>146.42362262556452</v>
          </cell>
          <cell r="H88">
            <v>148.66272369915575</v>
          </cell>
        </row>
        <row r="90">
          <cell r="D90">
            <v>1016.4859675857622</v>
          </cell>
          <cell r="E90">
            <v>1029.7848122416908</v>
          </cell>
          <cell r="G90">
            <v>127.35789713680201</v>
          </cell>
          <cell r="H90">
            <v>129.3062309610776</v>
          </cell>
        </row>
        <row r="91">
          <cell r="D91">
            <v>60.696725653986931</v>
          </cell>
          <cell r="E91">
            <v>62.468848422196857</v>
          </cell>
          <cell r="G91">
            <v>0.5820277117787801</v>
          </cell>
          <cell r="H91">
            <v>0.57133339498239122</v>
          </cell>
        </row>
        <row r="95">
          <cell r="D95">
            <v>6.3373829524891461</v>
          </cell>
          <cell r="E95">
            <v>5.5701559279773454</v>
          </cell>
          <cell r="G95">
            <v>3.948625941043908</v>
          </cell>
          <cell r="H95">
            <v>3.8428150566376909</v>
          </cell>
        </row>
      </sheetData>
      <sheetData sheetId="15"/>
      <sheetData sheetId="16"/>
      <sheetData sheetId="17">
        <row r="10">
          <cell r="C10">
            <v>2224.8360917748669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topLeftCell="A13" zoomScale="130" zoomScaleNormal="130" workbookViewId="0">
      <selection activeCell="B17" sqref="B17"/>
    </sheetView>
  </sheetViews>
  <sheetFormatPr baseColWidth="10" defaultColWidth="11.42578125" defaultRowHeight="12"/>
  <cols>
    <col min="1" max="1" width="6.28515625" style="2" customWidth="1"/>
    <col min="2" max="2" width="69.85546875" style="2" customWidth="1"/>
    <col min="3" max="3" width="6.28515625" style="2" customWidth="1"/>
    <col min="4" max="4" width="2" style="2" customWidth="1"/>
    <col min="5" max="250" width="11.42578125" style="2"/>
    <col min="251" max="251" width="6.28515625" style="2" customWidth="1"/>
    <col min="252" max="252" width="66.85546875" style="2" customWidth="1"/>
    <col min="253" max="253" width="6.28515625" style="2" customWidth="1"/>
    <col min="254" max="254" width="2" style="2" customWidth="1"/>
    <col min="255" max="255" width="40.85546875" style="2" customWidth="1"/>
    <col min="256" max="16384" width="11.42578125" style="2"/>
  </cols>
  <sheetData>
    <row r="1" spans="1:10" ht="13.5">
      <c r="A1" s="211" t="s">
        <v>53</v>
      </c>
      <c r="B1" s="211"/>
      <c r="C1" s="211"/>
    </row>
    <row r="2" spans="1:10" ht="13.5">
      <c r="A2" s="211"/>
      <c r="B2" s="211"/>
      <c r="C2" s="211"/>
    </row>
    <row r="3" spans="1:10" ht="13.5">
      <c r="A3" s="211"/>
      <c r="B3" s="211"/>
      <c r="C3" s="211"/>
    </row>
    <row r="4" spans="1:10" ht="13.5">
      <c r="A4" s="211"/>
      <c r="B4" s="211"/>
      <c r="C4" s="211"/>
    </row>
    <row r="5" spans="1:10" ht="17.25" customHeight="1">
      <c r="A5" s="211"/>
      <c r="B5" s="211"/>
      <c r="C5" s="211"/>
    </row>
    <row r="6" spans="1:10" ht="17.25" customHeight="1">
      <c r="A6" s="211"/>
      <c r="B6" s="211"/>
      <c r="C6" s="211"/>
    </row>
    <row r="7" spans="1:10" ht="17.25" customHeight="1">
      <c r="A7" s="211"/>
      <c r="B7" s="211"/>
      <c r="C7" s="211"/>
    </row>
    <row r="8" spans="1:10" ht="21" customHeight="1">
      <c r="A8" s="28" t="s">
        <v>231</v>
      </c>
      <c r="B8" s="256" t="s">
        <v>232</v>
      </c>
      <c r="C8" s="254"/>
      <c r="D8" s="3"/>
    </row>
    <row r="9" spans="1:10" ht="24.75" customHeight="1">
      <c r="A9" s="212" t="s">
        <v>275</v>
      </c>
      <c r="B9" s="213" t="s">
        <v>476</v>
      </c>
      <c r="C9" s="255"/>
      <c r="D9" s="3"/>
    </row>
    <row r="10" spans="1:10" ht="24.75" customHeight="1">
      <c r="A10" s="214" t="s">
        <v>276</v>
      </c>
      <c r="B10" s="29" t="s">
        <v>477</v>
      </c>
      <c r="C10" s="255"/>
      <c r="D10" s="3"/>
      <c r="E10" s="4"/>
      <c r="F10" s="5"/>
      <c r="G10" s="5"/>
      <c r="H10" s="5"/>
      <c r="I10" s="5"/>
      <c r="J10" s="5"/>
    </row>
    <row r="11" spans="1:10" ht="24.75" customHeight="1">
      <c r="A11" s="214" t="s">
        <v>159</v>
      </c>
      <c r="B11" s="29" t="s">
        <v>478</v>
      </c>
      <c r="C11" s="255"/>
      <c r="D11" s="3"/>
      <c r="E11" s="4"/>
      <c r="F11" s="5"/>
      <c r="G11" s="5"/>
      <c r="H11" s="5"/>
      <c r="I11" s="5"/>
      <c r="J11" s="5"/>
    </row>
    <row r="12" spans="1:10" ht="24.75" customHeight="1">
      <c r="A12" s="214" t="s">
        <v>160</v>
      </c>
      <c r="B12" s="29" t="s">
        <v>479</v>
      </c>
      <c r="C12" s="255"/>
      <c r="D12" s="3"/>
      <c r="E12" s="6"/>
      <c r="F12" s="1"/>
      <c r="G12" s="1"/>
      <c r="H12" s="1"/>
      <c r="I12" s="1"/>
      <c r="J12" s="1"/>
    </row>
    <row r="13" spans="1:10" ht="24.75" customHeight="1">
      <c r="A13" s="214" t="s">
        <v>161</v>
      </c>
      <c r="B13" s="29" t="s">
        <v>480</v>
      </c>
      <c r="C13" s="255"/>
      <c r="D13" s="3"/>
    </row>
    <row r="14" spans="1:10" ht="24.75" customHeight="1">
      <c r="A14" s="214" t="s">
        <v>162</v>
      </c>
      <c r="B14" s="29" t="s">
        <v>481</v>
      </c>
      <c r="C14" s="255"/>
      <c r="D14" s="3"/>
    </row>
    <row r="15" spans="1:10" ht="24.75" customHeight="1">
      <c r="A15" s="214" t="s">
        <v>163</v>
      </c>
      <c r="B15" s="29" t="s">
        <v>482</v>
      </c>
      <c r="C15" s="255"/>
      <c r="D15" s="3"/>
    </row>
    <row r="16" spans="1:10" ht="24.75" customHeight="1">
      <c r="A16" s="214" t="s">
        <v>164</v>
      </c>
      <c r="B16" s="29" t="s">
        <v>483</v>
      </c>
      <c r="C16" s="255"/>
      <c r="D16" s="3"/>
    </row>
    <row r="17" spans="1:4" ht="24.75" customHeight="1">
      <c r="A17" s="214" t="s">
        <v>165</v>
      </c>
      <c r="B17" s="29" t="s">
        <v>1</v>
      </c>
      <c r="C17" s="255"/>
      <c r="D17" s="3"/>
    </row>
    <row r="18" spans="1:4" ht="13.5">
      <c r="A18" s="215"/>
      <c r="B18" s="215"/>
      <c r="C18" s="215"/>
      <c r="D18" s="3"/>
    </row>
    <row r="19" spans="1:4" ht="13.5">
      <c r="A19" s="215"/>
      <c r="B19" s="215"/>
      <c r="C19" s="215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O43"/>
  <sheetViews>
    <sheetView showGridLines="0" zoomScale="130" zoomScaleNormal="130" workbookViewId="0">
      <selection activeCell="F5" sqref="F5"/>
    </sheetView>
  </sheetViews>
  <sheetFormatPr baseColWidth="10" defaultColWidth="10.85546875" defaultRowHeight="17.25" customHeight="1"/>
  <cols>
    <col min="1" max="1" width="1" style="204" customWidth="1"/>
    <col min="2" max="2" width="32.140625" style="204" customWidth="1"/>
    <col min="3" max="4" width="7.85546875" style="204" customWidth="1"/>
    <col min="5" max="5" width="5.85546875" style="204" customWidth="1"/>
    <col min="6" max="7" width="7.85546875" style="204" customWidth="1"/>
    <col min="8" max="8" width="5.85546875" style="204" customWidth="1"/>
    <col min="9" max="16384" width="10.85546875" style="204"/>
  </cols>
  <sheetData>
    <row r="1" spans="1:8" ht="13.5" customHeight="1">
      <c r="A1" s="288" t="s">
        <v>432</v>
      </c>
      <c r="B1" s="7"/>
    </row>
    <row r="2" spans="1:8" ht="12" customHeight="1">
      <c r="A2" s="91" t="s">
        <v>319</v>
      </c>
      <c r="B2" s="7"/>
    </row>
    <row r="3" spans="1:8" ht="3.95" customHeight="1">
      <c r="A3" s="90"/>
    </row>
    <row r="4" spans="1:8" ht="12" customHeight="1">
      <c r="A4" s="491" t="s">
        <v>230</v>
      </c>
      <c r="B4" s="492"/>
      <c r="C4" s="495" t="s">
        <v>484</v>
      </c>
      <c r="D4" s="496"/>
      <c r="E4" s="497"/>
      <c r="F4" s="495" t="s">
        <v>485</v>
      </c>
      <c r="G4" s="496"/>
      <c r="H4" s="497"/>
    </row>
    <row r="5" spans="1:8" ht="12" customHeight="1">
      <c r="A5" s="493"/>
      <c r="B5" s="494"/>
      <c r="C5" s="336" t="s">
        <v>425</v>
      </c>
      <c r="D5" s="336" t="s">
        <v>426</v>
      </c>
      <c r="E5" s="336" t="s">
        <v>54</v>
      </c>
      <c r="F5" s="336" t="s">
        <v>425</v>
      </c>
      <c r="G5" s="336" t="s">
        <v>426</v>
      </c>
      <c r="H5" s="336" t="s">
        <v>54</v>
      </c>
    </row>
    <row r="6" spans="1:8" ht="15.95" customHeight="1">
      <c r="A6" s="342" t="s">
        <v>322</v>
      </c>
      <c r="B6" s="343"/>
      <c r="C6" s="344">
        <f>C7+C18</f>
        <v>26536.522844876396</v>
      </c>
      <c r="D6" s="345">
        <f>D7+D18</f>
        <v>27029.673424434215</v>
      </c>
      <c r="E6" s="346">
        <f t="shared" ref="E6:E22" si="0">IF(C6=0,0,((D6/C6)-1)*100)</f>
        <v>1.858384319756623</v>
      </c>
      <c r="F6" s="344">
        <f>F7+F18</f>
        <v>2722.3081070584635</v>
      </c>
      <c r="G6" s="345">
        <f>G7+G18</f>
        <v>2886.2700796285744</v>
      </c>
      <c r="H6" s="346">
        <f t="shared" ref="H6" si="1">IF(F6=0,0,((G6/F6)-1)*100)</f>
        <v>6.0229028501581627</v>
      </c>
    </row>
    <row r="7" spans="1:8" ht="15.95" customHeight="1">
      <c r="A7" s="489" t="s">
        <v>323</v>
      </c>
      <c r="B7" s="489"/>
      <c r="C7" s="347">
        <f>SUM(C8:C17)</f>
        <v>16901.460772132446</v>
      </c>
      <c r="D7" s="347">
        <f>SUM(D8:D17)</f>
        <v>17295.959758472785</v>
      </c>
      <c r="E7" s="348">
        <f t="shared" si="0"/>
        <v>2.3341117768400199</v>
      </c>
      <c r="F7" s="347">
        <f t="shared" ref="F7:G7" si="2">SUM(F8:F17)</f>
        <v>1530.5925864334836</v>
      </c>
      <c r="G7" s="347">
        <f t="shared" si="2"/>
        <v>1664.71152213448</v>
      </c>
      <c r="H7" s="348">
        <f t="shared" ref="H7:H22" si="3">IF(F7=0,0,((G7/F7)-1)*100)</f>
        <v>8.7625496745358014</v>
      </c>
    </row>
    <row r="8" spans="1:8" ht="14.1" customHeight="1">
      <c r="A8" s="52"/>
      <c r="B8" s="119" t="s">
        <v>324</v>
      </c>
      <c r="C8" s="282">
        <f>[1]Encarte!$D$9</f>
        <v>3547.961664292764</v>
      </c>
      <c r="D8" s="282">
        <f>[1]Encarte!$E$9</f>
        <v>3603.9760955449947</v>
      </c>
      <c r="E8" s="230">
        <f t="shared" si="0"/>
        <v>1.5787778040548872</v>
      </c>
      <c r="F8" s="282">
        <f>[1]Encarte!$G$9</f>
        <v>264.40133651661455</v>
      </c>
      <c r="G8" s="282">
        <f>[1]Encarte!$H$9</f>
        <v>290.09417911253269</v>
      </c>
      <c r="H8" s="230">
        <f t="shared" si="3"/>
        <v>9.7173648720582975</v>
      </c>
    </row>
    <row r="9" spans="1:8" ht="14.1" customHeight="1">
      <c r="A9" s="118"/>
      <c r="B9" s="25" t="s">
        <v>325</v>
      </c>
      <c r="C9" s="282">
        <f>[1]Encarte!$D$17</f>
        <v>1773.6204420744075</v>
      </c>
      <c r="D9" s="282">
        <f>[1]Encarte!$E$17</f>
        <v>1824.9541333150046</v>
      </c>
      <c r="E9" s="230">
        <f t="shared" si="0"/>
        <v>2.8942884296347948</v>
      </c>
      <c r="F9" s="282">
        <f>[1]Encarte!$G$17</f>
        <v>213.87245660791018</v>
      </c>
      <c r="G9" s="282">
        <f>[1]Encarte!$H$17</f>
        <v>219.70920104537009</v>
      </c>
      <c r="H9" s="230">
        <f t="shared" si="3"/>
        <v>2.7290771939653569</v>
      </c>
    </row>
    <row r="10" spans="1:8" ht="14.1" customHeight="1">
      <c r="A10" s="52"/>
      <c r="B10" s="25" t="s">
        <v>326</v>
      </c>
      <c r="C10" s="282">
        <f>[1]Encarte!$D$28</f>
        <v>3492.9895105120872</v>
      </c>
      <c r="D10" s="282">
        <f>[1]Encarte!$E$28</f>
        <v>3775.4117047552245</v>
      </c>
      <c r="E10" s="230">
        <f t="shared" si="0"/>
        <v>8.0854005828873134</v>
      </c>
      <c r="F10" s="282">
        <f>[1]Encarte!$G$28</f>
        <v>429.12593553788827</v>
      </c>
      <c r="G10" s="282">
        <f>[1]Encarte!$H$28</f>
        <v>498.46222461191127</v>
      </c>
      <c r="H10" s="230">
        <f t="shared" si="3"/>
        <v>16.157561995667624</v>
      </c>
    </row>
    <row r="11" spans="1:8" ht="14.1" customHeight="1">
      <c r="A11" s="52"/>
      <c r="B11" s="120" t="s">
        <v>327</v>
      </c>
      <c r="C11" s="282">
        <f>[1]Encarte!$D$42</f>
        <v>559.59037804278876</v>
      </c>
      <c r="D11" s="282">
        <f>[1]Encarte!$E$42</f>
        <v>518.16391344703015</v>
      </c>
      <c r="E11" s="230">
        <f t="shared" si="0"/>
        <v>-7.4029980180593702</v>
      </c>
      <c r="F11" s="282">
        <f>[1]Encarte!$G$42</f>
        <v>27.884759227282931</v>
      </c>
      <c r="G11" s="282">
        <f>[1]Encarte!$H$42</f>
        <v>27.802009118928726</v>
      </c>
      <c r="H11" s="230">
        <f t="shared" si="3"/>
        <v>-0.2967574784480842</v>
      </c>
    </row>
    <row r="12" spans="1:8" ht="26.1" customHeight="1">
      <c r="A12" s="52"/>
      <c r="B12" s="121" t="s">
        <v>328</v>
      </c>
      <c r="C12" s="282">
        <f>[1]Encarte!$D$46</f>
        <v>2549.4711137088111</v>
      </c>
      <c r="D12" s="282">
        <f>[1]Encarte!$E$46</f>
        <v>2602.285270237549</v>
      </c>
      <c r="E12" s="230">
        <f t="shared" si="0"/>
        <v>2.0715730507692376</v>
      </c>
      <c r="F12" s="282">
        <f>[1]Encarte!$G$46</f>
        <v>114.593357231914</v>
      </c>
      <c r="G12" s="282">
        <f>[1]Encarte!$H$46</f>
        <v>124.80159859878724</v>
      </c>
      <c r="H12" s="230">
        <f t="shared" si="3"/>
        <v>8.9082313438237026</v>
      </c>
    </row>
    <row r="13" spans="1:8" ht="14.1" customHeight="1">
      <c r="A13" s="52"/>
      <c r="B13" s="120" t="s">
        <v>329</v>
      </c>
      <c r="C13" s="282">
        <f>[1]Encarte!$D$52</f>
        <v>2505.4475562263697</v>
      </c>
      <c r="D13" s="282">
        <f>[1]Encarte!$E$52</f>
        <v>2479.4556634278169</v>
      </c>
      <c r="E13" s="230">
        <f t="shared" si="0"/>
        <v>-1.0374151609743087</v>
      </c>
      <c r="F13" s="282">
        <f>[1]Encarte!$G$52</f>
        <v>232.96182604926017</v>
      </c>
      <c r="G13" s="282">
        <f>[1]Encarte!$H$52</f>
        <v>252.80163187794895</v>
      </c>
      <c r="H13" s="230">
        <f t="shared" si="3"/>
        <v>8.5163334118498959</v>
      </c>
    </row>
    <row r="14" spans="1:8" ht="14.1" customHeight="1">
      <c r="A14" s="52"/>
      <c r="B14" s="120" t="s">
        <v>330</v>
      </c>
      <c r="C14" s="282">
        <f>[1]Encarte!$D$57</f>
        <v>327.61804818566299</v>
      </c>
      <c r="D14" s="282">
        <f>[1]Encarte!$E$57</f>
        <v>345.10469458633395</v>
      </c>
      <c r="E14" s="230">
        <f t="shared" si="0"/>
        <v>5.3375100967457012</v>
      </c>
      <c r="F14" s="282">
        <f>[1]Encarte!$G$57</f>
        <v>52.341181297069539</v>
      </c>
      <c r="G14" s="282">
        <f>[1]Encarte!$H$57</f>
        <v>50.168504440534271</v>
      </c>
      <c r="H14" s="230">
        <f t="shared" si="3"/>
        <v>-4.1509893408861798</v>
      </c>
    </row>
    <row r="15" spans="1:8" ht="14.1" customHeight="1">
      <c r="A15" s="52"/>
      <c r="B15" s="120" t="s">
        <v>331</v>
      </c>
      <c r="C15" s="282">
        <f>[1]Encarte!$D$62</f>
        <v>486.71412424906339</v>
      </c>
      <c r="D15" s="282">
        <f>[1]Encarte!$E$62</f>
        <v>468.00990238725257</v>
      </c>
      <c r="E15" s="230">
        <f t="shared" si="0"/>
        <v>-3.8429585109470588</v>
      </c>
      <c r="F15" s="282">
        <f>[1]Encarte!$G$62</f>
        <v>67.261730171693586</v>
      </c>
      <c r="G15" s="282">
        <f>[1]Encarte!$H$62</f>
        <v>72.183273817837332</v>
      </c>
      <c r="H15" s="230">
        <f t="shared" si="3"/>
        <v>7.3170042364074206</v>
      </c>
    </row>
    <row r="16" spans="1:8" ht="26.1" customHeight="1">
      <c r="A16" s="52"/>
      <c r="B16" s="121" t="s">
        <v>332</v>
      </c>
      <c r="C16" s="282">
        <f>[1]Encarte!$D$67</f>
        <v>1651.7105518880007</v>
      </c>
      <c r="D16" s="282">
        <f>[1]Encarte!$E$67</f>
        <v>1673.0282248436042</v>
      </c>
      <c r="E16" s="230">
        <f t="shared" si="0"/>
        <v>1.2906421728211548</v>
      </c>
      <c r="F16" s="282">
        <f>[1]Encarte!$G$67</f>
        <v>124.20137785280598</v>
      </c>
      <c r="G16" s="282">
        <f>[1]Encarte!$H$67</f>
        <v>124.84608445399201</v>
      </c>
      <c r="H16" s="230">
        <f t="shared" si="3"/>
        <v>0.51908168196821425</v>
      </c>
    </row>
    <row r="17" spans="1:15" ht="14.1" customHeight="1">
      <c r="A17" s="131"/>
      <c r="B17" s="131" t="s">
        <v>333</v>
      </c>
      <c r="C17" s="282">
        <f>[1]Encarte!$D$95</f>
        <v>6.3373829524891461</v>
      </c>
      <c r="D17" s="282">
        <f>[1]Encarte!$E$95</f>
        <v>5.5701559279773454</v>
      </c>
      <c r="E17" s="230">
        <f t="shared" si="0"/>
        <v>-12.106369936354488</v>
      </c>
      <c r="F17" s="282">
        <f>[1]Encarte!$G$95</f>
        <v>3.948625941043908</v>
      </c>
      <c r="G17" s="282">
        <f>[1]Encarte!$H$95</f>
        <v>3.8428150566376909</v>
      </c>
      <c r="H17" s="230">
        <f t="shared" si="3"/>
        <v>-2.679688731879315</v>
      </c>
    </row>
    <row r="18" spans="1:15" ht="15.95" customHeight="1">
      <c r="A18" s="490" t="s">
        <v>334</v>
      </c>
      <c r="B18" s="490"/>
      <c r="C18" s="338">
        <f>SUM(C19:C22)</f>
        <v>9635.0620727439509</v>
      </c>
      <c r="D18" s="338">
        <f>SUM(D19:D22)</f>
        <v>9733.713665961428</v>
      </c>
      <c r="E18" s="337">
        <f t="shared" si="0"/>
        <v>1.0238812419957943</v>
      </c>
      <c r="F18" s="338">
        <f>SUM(F19:F22)</f>
        <v>1191.7155206249799</v>
      </c>
      <c r="G18" s="338">
        <f>SUM(G19:G22)</f>
        <v>1221.5585574940942</v>
      </c>
      <c r="H18" s="337">
        <f t="shared" si="3"/>
        <v>2.5042081228801472</v>
      </c>
    </row>
    <row r="19" spans="1:15" ht="14.1" customHeight="1">
      <c r="A19" s="52"/>
      <c r="B19" s="122" t="s">
        <v>335</v>
      </c>
      <c r="C19" s="282">
        <f>[1]Encarte!$D$77</f>
        <v>7345.1997201094455</v>
      </c>
      <c r="D19" s="282">
        <f>[1]Encarte!$E$77</f>
        <v>7404.4624495947601</v>
      </c>
      <c r="E19" s="230">
        <f t="shared" si="0"/>
        <v>0.80682257451851758</v>
      </c>
      <c r="F19" s="282">
        <f>[1]Encarte!$G$77</f>
        <v>917.35197315083462</v>
      </c>
      <c r="G19" s="282">
        <f>[1]Encarte!$H$77</f>
        <v>943.01826943887852</v>
      </c>
      <c r="H19" s="230">
        <f t="shared" si="3"/>
        <v>2.7978678892342401</v>
      </c>
    </row>
    <row r="20" spans="1:15" ht="14.1" customHeight="1">
      <c r="A20" s="52"/>
      <c r="B20" s="120" t="s">
        <v>336</v>
      </c>
      <c r="C20" s="282">
        <f>[1]Encarte!$D$88</f>
        <v>1212.6796593947558</v>
      </c>
      <c r="D20" s="282">
        <f>[1]Encarte!$E$88</f>
        <v>1236.9975557027794</v>
      </c>
      <c r="E20" s="230">
        <f t="shared" si="0"/>
        <v>2.0053025644184208</v>
      </c>
      <c r="F20" s="282">
        <f>[1]Encarte!$G$88</f>
        <v>146.42362262556452</v>
      </c>
      <c r="G20" s="282">
        <f>[1]Encarte!$H$88</f>
        <v>148.66272369915575</v>
      </c>
      <c r="H20" s="230">
        <f t="shared" si="3"/>
        <v>1.5291938783109194</v>
      </c>
    </row>
    <row r="21" spans="1:15" ht="14.1" customHeight="1">
      <c r="A21" s="52"/>
      <c r="B21" s="120" t="s">
        <v>337</v>
      </c>
      <c r="C21" s="282">
        <f>[1]Encarte!$D$90</f>
        <v>1016.4859675857622</v>
      </c>
      <c r="D21" s="282">
        <f>[1]Encarte!$E$90</f>
        <v>1029.7848122416908</v>
      </c>
      <c r="E21" s="230">
        <f t="shared" si="0"/>
        <v>1.3083156167432941</v>
      </c>
      <c r="F21" s="282">
        <f>[1]Encarte!$G$90</f>
        <v>127.35789713680201</v>
      </c>
      <c r="G21" s="282">
        <f>[1]Encarte!$H$90</f>
        <v>129.3062309610776</v>
      </c>
      <c r="H21" s="230">
        <f t="shared" si="3"/>
        <v>1.5298099827942169</v>
      </c>
    </row>
    <row r="22" spans="1:15" ht="14.1" customHeight="1">
      <c r="A22" s="12"/>
      <c r="B22" s="130" t="s">
        <v>338</v>
      </c>
      <c r="C22" s="276">
        <f>[1]Encarte!$D$91</f>
        <v>60.696725653986931</v>
      </c>
      <c r="D22" s="276">
        <f>[1]Encarte!$E$91</f>
        <v>62.468848422196857</v>
      </c>
      <c r="E22" s="231">
        <f t="shared" si="0"/>
        <v>2.9196348717593912</v>
      </c>
      <c r="F22" s="276">
        <f>[1]Encarte!$G$91</f>
        <v>0.5820277117787801</v>
      </c>
      <c r="G22" s="276">
        <f>[1]Encarte!$H$91</f>
        <v>0.57133339498239122</v>
      </c>
      <c r="H22" s="231">
        <f t="shared" si="3"/>
        <v>-1.8374239885769583</v>
      </c>
      <c r="M22" s="203"/>
    </row>
    <row r="23" spans="1:15" ht="9" customHeight="1">
      <c r="A23" s="206" t="s">
        <v>339</v>
      </c>
      <c r="B23" s="207"/>
      <c r="C23" s="203"/>
      <c r="D23" s="10"/>
      <c r="E23" s="203"/>
    </row>
    <row r="24" spans="1:15" ht="9" customHeight="1">
      <c r="A24" s="206" t="s">
        <v>355</v>
      </c>
      <c r="B24" s="89"/>
      <c r="C24" s="203"/>
      <c r="D24" s="203"/>
      <c r="E24" s="203"/>
    </row>
    <row r="25" spans="1:15" ht="17.25" customHeight="1">
      <c r="A25" s="203"/>
      <c r="B25" s="203"/>
      <c r="C25" s="203"/>
      <c r="D25" s="203"/>
      <c r="E25" s="203"/>
    </row>
    <row r="26" spans="1:15" ht="17.25" customHeight="1">
      <c r="A26" s="71"/>
      <c r="B26" s="71"/>
      <c r="C26" s="71"/>
      <c r="D26" s="71"/>
      <c r="E26" s="71"/>
    </row>
    <row r="27" spans="1:15" ht="17.25" customHeight="1">
      <c r="A27" s="71"/>
      <c r="B27" s="71"/>
      <c r="C27" s="71"/>
      <c r="D27" s="71"/>
      <c r="E27" s="71"/>
    </row>
    <row r="30" spans="1:15" ht="17.25" customHeight="1">
      <c r="H30" s="38"/>
      <c r="I30" s="38"/>
      <c r="J30" s="339"/>
      <c r="K30" s="38"/>
      <c r="L30" s="339"/>
      <c r="M30" s="38"/>
      <c r="N30" s="38"/>
      <c r="O30" s="38"/>
    </row>
    <row r="31" spans="1:15" ht="17.25" customHeight="1">
      <c r="H31" s="38"/>
      <c r="I31" s="38"/>
      <c r="J31" s="340"/>
      <c r="K31" s="38"/>
      <c r="L31" s="340"/>
      <c r="M31" s="38"/>
      <c r="N31" s="38"/>
      <c r="O31" s="38"/>
    </row>
    <row r="32" spans="1:15" ht="17.25" customHeight="1">
      <c r="H32" s="38"/>
      <c r="I32" s="38"/>
      <c r="J32" s="340"/>
      <c r="K32" s="38"/>
      <c r="L32" s="340"/>
      <c r="M32" s="38"/>
      <c r="N32" s="38"/>
      <c r="O32" s="38"/>
    </row>
    <row r="33" spans="8:15" ht="17.25" customHeight="1">
      <c r="H33" s="38"/>
      <c r="I33" s="38"/>
      <c r="J33" s="341"/>
      <c r="K33" s="38"/>
      <c r="L33" s="341"/>
      <c r="M33" s="38"/>
      <c r="N33" s="38"/>
      <c r="O33" s="38"/>
    </row>
    <row r="34" spans="8:15" ht="17.25" customHeight="1">
      <c r="H34" s="38"/>
      <c r="I34" s="38"/>
      <c r="J34" s="341"/>
      <c r="K34" s="38"/>
      <c r="L34" s="341"/>
      <c r="M34" s="38"/>
      <c r="N34" s="38"/>
      <c r="O34" s="38"/>
    </row>
    <row r="35" spans="8:15" ht="17.25" customHeight="1">
      <c r="H35" s="38"/>
      <c r="I35" s="38"/>
      <c r="J35" s="341"/>
      <c r="K35" s="38"/>
      <c r="L35" s="341"/>
      <c r="M35" s="38"/>
      <c r="N35" s="38"/>
      <c r="O35" s="38"/>
    </row>
    <row r="36" spans="8:15" ht="17.25" customHeight="1">
      <c r="H36" s="38"/>
      <c r="I36" s="38"/>
      <c r="J36" s="38"/>
      <c r="K36" s="38"/>
      <c r="L36" s="38"/>
      <c r="M36" s="38"/>
      <c r="N36" s="38"/>
      <c r="O36" s="38"/>
    </row>
    <row r="37" spans="8:15" ht="17.25" customHeight="1">
      <c r="H37" s="38"/>
      <c r="I37" s="38"/>
      <c r="J37" s="38"/>
      <c r="K37" s="38"/>
      <c r="L37" s="38"/>
      <c r="M37" s="38"/>
      <c r="N37" s="38"/>
      <c r="O37" s="38"/>
    </row>
    <row r="38" spans="8:15" ht="17.25" customHeight="1">
      <c r="H38" s="38"/>
      <c r="I38" s="38"/>
      <c r="J38" s="38"/>
      <c r="K38" s="38"/>
      <c r="L38" s="38"/>
      <c r="M38" s="38"/>
      <c r="N38" s="38"/>
      <c r="O38" s="38"/>
    </row>
    <row r="39" spans="8:15" ht="17.25" customHeight="1">
      <c r="H39" s="38"/>
      <c r="I39" s="38"/>
      <c r="J39" s="38"/>
      <c r="K39" s="38"/>
      <c r="L39" s="38"/>
      <c r="M39" s="38"/>
      <c r="N39" s="38"/>
      <c r="O39" s="38"/>
    </row>
    <row r="40" spans="8:15" ht="17.25" customHeight="1">
      <c r="H40" s="38"/>
      <c r="I40" s="38"/>
      <c r="J40" s="38"/>
      <c r="K40" s="38"/>
      <c r="L40" s="38"/>
      <c r="M40" s="38"/>
      <c r="N40" s="38"/>
      <c r="O40" s="38"/>
    </row>
    <row r="41" spans="8:15" ht="17.25" customHeight="1">
      <c r="H41" s="38"/>
      <c r="I41" s="38"/>
      <c r="J41" s="38"/>
      <c r="K41" s="38"/>
      <c r="L41" s="38"/>
      <c r="M41" s="38"/>
      <c r="N41" s="38"/>
      <c r="O41" s="38"/>
    </row>
    <row r="42" spans="8:15" ht="17.25" customHeight="1">
      <c r="H42" s="38"/>
      <c r="I42" s="38"/>
      <c r="J42" s="38"/>
      <c r="K42" s="38"/>
      <c r="L42" s="38"/>
      <c r="M42" s="38"/>
      <c r="N42" s="38"/>
      <c r="O42" s="38"/>
    </row>
    <row r="43" spans="8:15" ht="17.25" customHeight="1">
      <c r="H43" s="38"/>
      <c r="I43" s="38"/>
      <c r="J43" s="38"/>
      <c r="K43" s="38"/>
      <c r="L43" s="38"/>
      <c r="M43" s="38"/>
      <c r="N43" s="38"/>
      <c r="O43" s="38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/>
  <dimension ref="A1:G19"/>
  <sheetViews>
    <sheetView showGridLines="0" zoomScaleNormal="100" zoomScalePageLayoutView="125" workbookViewId="0"/>
  </sheetViews>
  <sheetFormatPr baseColWidth="10" defaultColWidth="10.85546875" defaultRowHeight="17.25" customHeight="1"/>
  <cols>
    <col min="1" max="1" width="19.7109375" style="204" customWidth="1"/>
    <col min="2" max="16384" width="10.85546875" style="204"/>
  </cols>
  <sheetData>
    <row r="1" spans="1:7" ht="16.5" customHeight="1">
      <c r="A1" s="308" t="s">
        <v>358</v>
      </c>
      <c r="B1" s="311"/>
      <c r="C1" s="309"/>
      <c r="D1" s="310"/>
      <c r="E1" s="309"/>
      <c r="F1" s="309"/>
      <c r="G1" s="310"/>
    </row>
    <row r="2" spans="1:7" ht="11.25" customHeight="1">
      <c r="A2" s="311" t="s">
        <v>359</v>
      </c>
      <c r="B2" s="311"/>
      <c r="C2" s="309"/>
      <c r="D2" s="310"/>
      <c r="E2" s="309"/>
      <c r="F2" s="309"/>
      <c r="G2" s="310"/>
    </row>
    <row r="3" spans="1:7" ht="11.25" customHeight="1">
      <c r="A3" s="311" t="s">
        <v>360</v>
      </c>
      <c r="B3" s="311"/>
      <c r="C3" s="309"/>
      <c r="D3" s="310"/>
      <c r="E3" s="309"/>
      <c r="F3" s="309"/>
      <c r="G3" s="310"/>
    </row>
    <row r="4" spans="1:7" ht="3.95" customHeight="1">
      <c r="A4" s="312"/>
      <c r="B4" s="332"/>
      <c r="C4" s="312"/>
      <c r="D4" s="313"/>
      <c r="E4" s="312"/>
      <c r="F4" s="309"/>
      <c r="G4" s="313"/>
    </row>
    <row r="5" spans="1:7" ht="12" customHeight="1">
      <c r="A5" s="500" t="s">
        <v>411</v>
      </c>
      <c r="B5" s="500" t="s">
        <v>488</v>
      </c>
      <c r="C5" s="498"/>
      <c r="D5" s="349" t="s">
        <v>320</v>
      </c>
      <c r="E5" s="498" t="s">
        <v>485</v>
      </c>
      <c r="F5" s="499"/>
      <c r="G5" s="349" t="s">
        <v>320</v>
      </c>
    </row>
    <row r="6" spans="1:7" ht="12" customHeight="1">
      <c r="A6" s="501"/>
      <c r="B6" s="445" t="s">
        <v>486</v>
      </c>
      <c r="C6" s="447" t="s">
        <v>487</v>
      </c>
      <c r="D6" s="350" t="s">
        <v>321</v>
      </c>
      <c r="E6" s="447" t="s">
        <v>486</v>
      </c>
      <c r="F6" s="447" t="s">
        <v>487</v>
      </c>
      <c r="G6" s="350" t="s">
        <v>321</v>
      </c>
    </row>
    <row r="7" spans="1:7" ht="15.95" customHeight="1">
      <c r="A7" s="351" t="s">
        <v>361</v>
      </c>
      <c r="B7" s="448">
        <v>8959.997721797894</v>
      </c>
      <c r="C7" s="448">
        <v>9267.6154320953901</v>
      </c>
      <c r="D7" s="352">
        <v>3.4332342468025745</v>
      </c>
      <c r="E7" s="448">
        <v>1212.2775097217784</v>
      </c>
      <c r="F7" s="448">
        <v>1150.595487011376</v>
      </c>
      <c r="G7" s="352">
        <v>-5.0881107845148987</v>
      </c>
    </row>
    <row r="8" spans="1:7" ht="15.95" customHeight="1">
      <c r="A8" s="314" t="s">
        <v>362</v>
      </c>
      <c r="B8" s="449">
        <v>1484.3117482354501</v>
      </c>
      <c r="C8" s="449">
        <v>1632.940857779</v>
      </c>
      <c r="D8" s="353">
        <v>10.013335117790456</v>
      </c>
      <c r="E8" s="449">
        <v>206.17013752094999</v>
      </c>
      <c r="F8" s="449">
        <v>196.93502599999999</v>
      </c>
      <c r="G8" s="353">
        <v>-4.4793642920335941</v>
      </c>
    </row>
    <row r="9" spans="1:7" ht="15.95" customHeight="1">
      <c r="A9" s="314" t="s">
        <v>363</v>
      </c>
      <c r="B9" s="449">
        <v>2437.9385258232001</v>
      </c>
      <c r="C9" s="449">
        <v>2508.8976799772799</v>
      </c>
      <c r="D9" s="353">
        <v>2.9106211416926486</v>
      </c>
      <c r="E9" s="449">
        <v>285.62482342208</v>
      </c>
      <c r="F9" s="449">
        <v>326.95104917920003</v>
      </c>
      <c r="G9" s="353">
        <v>14.468709428679638</v>
      </c>
    </row>
    <row r="10" spans="1:7" ht="15.95" customHeight="1">
      <c r="A10" s="314" t="s">
        <v>364</v>
      </c>
      <c r="B10" s="449">
        <v>97.531945856865988</v>
      </c>
      <c r="C10" s="449">
        <v>64.726672775188987</v>
      </c>
      <c r="D10" s="353">
        <v>-33.635413293015517</v>
      </c>
      <c r="E10" s="449">
        <v>13.533430434739998</v>
      </c>
      <c r="F10" s="449">
        <v>8.2434156416499995</v>
      </c>
      <c r="G10" s="353">
        <v>-39.088498800057778</v>
      </c>
    </row>
    <row r="11" spans="1:7" ht="15.95" customHeight="1">
      <c r="A11" s="315" t="s">
        <v>365</v>
      </c>
      <c r="B11" s="449">
        <v>907.0384786914002</v>
      </c>
      <c r="C11" s="449">
        <v>841.13425480480009</v>
      </c>
      <c r="D11" s="353">
        <v>-7.2658685860473415</v>
      </c>
      <c r="E11" s="449">
        <v>126.11949528380001</v>
      </c>
      <c r="F11" s="449">
        <v>127.54981641260001</v>
      </c>
      <c r="G11" s="353">
        <v>1.134099946706435</v>
      </c>
    </row>
    <row r="12" spans="1:7" ht="15.95" customHeight="1">
      <c r="A12" s="316" t="s">
        <v>366</v>
      </c>
      <c r="B12" s="450">
        <v>247.10965899335744</v>
      </c>
      <c r="C12" s="450">
        <v>254.63133667893004</v>
      </c>
      <c r="D12" s="354">
        <v>3.0438622740257992</v>
      </c>
      <c r="E12" s="450">
        <v>31.204615860499999</v>
      </c>
      <c r="F12" s="450">
        <v>34.0624833842</v>
      </c>
      <c r="G12" s="354">
        <v>9.1584768627695148</v>
      </c>
    </row>
    <row r="13" spans="1:7" ht="15.95" customHeight="1">
      <c r="A13" s="316" t="s">
        <v>367</v>
      </c>
      <c r="B13" s="449">
        <v>133.97985660000001</v>
      </c>
      <c r="C13" s="449">
        <v>222.5868059</v>
      </c>
      <c r="D13" s="353">
        <v>66.134530629136364</v>
      </c>
      <c r="E13" s="449">
        <v>21.538786000000002</v>
      </c>
      <c r="F13" s="449">
        <v>18.3752517</v>
      </c>
      <c r="G13" s="353">
        <v>-14.687616562976213</v>
      </c>
    </row>
    <row r="14" spans="1:7" ht="15.95" customHeight="1">
      <c r="A14" s="314" t="s">
        <v>368</v>
      </c>
      <c r="B14" s="449">
        <v>675.84258255062355</v>
      </c>
      <c r="C14" s="449">
        <v>576.84712115869752</v>
      </c>
      <c r="D14" s="353">
        <v>-14.647709976828938</v>
      </c>
      <c r="E14" s="449">
        <v>95.455123090280026</v>
      </c>
      <c r="F14" s="449">
        <v>67.312949927070008</v>
      </c>
      <c r="G14" s="353">
        <v>-29.482098238555064</v>
      </c>
    </row>
    <row r="15" spans="1:7" ht="15.95" customHeight="1">
      <c r="A15" s="314" t="s">
        <v>369</v>
      </c>
      <c r="B15" s="449">
        <v>1567.2128829312539</v>
      </c>
      <c r="C15" s="449">
        <v>1670.8962825622982</v>
      </c>
      <c r="D15" s="353">
        <v>6.6157827542304926</v>
      </c>
      <c r="E15" s="449">
        <v>231.05694566264202</v>
      </c>
      <c r="F15" s="449">
        <v>203.81611702799998</v>
      </c>
      <c r="G15" s="353">
        <v>-11.789660144826552</v>
      </c>
    </row>
    <row r="16" spans="1:7" ht="15.95" customHeight="1">
      <c r="A16" s="317" t="s">
        <v>370</v>
      </c>
      <c r="B16" s="451">
        <v>1409.0320421157417</v>
      </c>
      <c r="C16" s="451">
        <v>1494.954420459195</v>
      </c>
      <c r="D16" s="355">
        <v>6.0979719250696451</v>
      </c>
      <c r="E16" s="451">
        <v>201.57415244678637</v>
      </c>
      <c r="F16" s="451">
        <v>167.34937773865599</v>
      </c>
      <c r="G16" s="355">
        <v>-16.978751636902157</v>
      </c>
    </row>
    <row r="17" spans="1:7" ht="9" customHeight="1">
      <c r="A17" s="318" t="s">
        <v>197</v>
      </c>
      <c r="B17" s="316"/>
      <c r="C17" s="333"/>
      <c r="D17" s="320"/>
      <c r="E17" s="319"/>
      <c r="F17" s="319"/>
      <c r="G17" s="320"/>
    </row>
    <row r="18" spans="1:7" ht="9" customHeight="1">
      <c r="A18" s="321" t="s">
        <v>371</v>
      </c>
      <c r="B18" s="322"/>
      <c r="C18" s="322"/>
      <c r="D18" s="323"/>
      <c r="E18" s="322"/>
      <c r="F18" s="322"/>
      <c r="G18" s="323"/>
    </row>
    <row r="19" spans="1:7" ht="9" customHeight="1">
      <c r="A19" s="324" t="s">
        <v>348</v>
      </c>
      <c r="B19" s="325"/>
      <c r="C19" s="325"/>
      <c r="D19" s="326"/>
      <c r="E19" s="325"/>
      <c r="F19" s="325"/>
      <c r="G19" s="326"/>
    </row>
  </sheetData>
  <mergeCells count="3">
    <mergeCell ref="E5:F5"/>
    <mergeCell ref="A5:A6"/>
    <mergeCell ref="B5:C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/>
  <dimension ref="A1:S65"/>
  <sheetViews>
    <sheetView showGridLines="0" zoomScale="130" zoomScaleNormal="130" workbookViewId="0">
      <selection activeCell="S31" sqref="S31"/>
    </sheetView>
  </sheetViews>
  <sheetFormatPr baseColWidth="10" defaultColWidth="11.42578125" defaultRowHeight="17.25" customHeight="1"/>
  <cols>
    <col min="1" max="1" width="13" style="208" customWidth="1"/>
    <col min="2" max="3" width="6" style="208" customWidth="1"/>
    <col min="4" max="4" width="5.28515625" style="208" customWidth="1"/>
    <col min="5" max="6" width="6" style="208" customWidth="1"/>
    <col min="7" max="7" width="5.28515625" style="208" customWidth="1"/>
    <col min="8" max="9" width="6" style="208" customWidth="1"/>
    <col min="10" max="10" width="5.28515625" style="208" customWidth="1"/>
    <col min="11" max="12" width="6" style="208" customWidth="1"/>
    <col min="13" max="13" width="5.28515625" style="208" customWidth="1"/>
    <col min="14" max="15" width="6" style="208" customWidth="1"/>
    <col min="16" max="16" width="5.28515625" style="208" customWidth="1"/>
    <col min="17" max="18" width="6" style="208" customWidth="1"/>
    <col min="19" max="19" width="5.28515625" style="208" customWidth="1"/>
    <col min="20" max="209" width="11.42578125" style="208"/>
    <col min="210" max="210" width="11" style="208" customWidth="1"/>
    <col min="211" max="211" width="8.7109375" style="208" customWidth="1"/>
    <col min="212" max="212" width="9" style="208" customWidth="1"/>
    <col min="213" max="213" width="5.7109375" style="208" customWidth="1"/>
    <col min="214" max="214" width="7" style="208" customWidth="1"/>
    <col min="215" max="215" width="6.85546875" style="208" customWidth="1"/>
    <col min="216" max="216" width="5" style="208" customWidth="1"/>
    <col min="217" max="217" width="6.85546875" style="208" customWidth="1"/>
    <col min="218" max="218" width="7.42578125" style="208" customWidth="1"/>
    <col min="219" max="219" width="5.85546875" style="208" customWidth="1"/>
    <col min="220" max="221" width="6.85546875" style="208" customWidth="1"/>
    <col min="222" max="222" width="5.140625" style="208" customWidth="1"/>
    <col min="223" max="224" width="6.85546875" style="208" customWidth="1"/>
    <col min="225" max="225" width="4.85546875" style="208" customWidth="1"/>
    <col min="226" max="226" width="6.7109375" style="208" customWidth="1"/>
    <col min="227" max="227" width="7" style="208" customWidth="1"/>
    <col min="228" max="228" width="5" style="208" customWidth="1"/>
    <col min="229" max="16384" width="11.42578125" style="208"/>
  </cols>
  <sheetData>
    <row r="1" spans="1:19" ht="16.5" customHeight="1">
      <c r="A1" s="226" t="s">
        <v>460</v>
      </c>
      <c r="B1" s="227"/>
      <c r="C1" s="228"/>
      <c r="D1" s="228"/>
    </row>
    <row r="2" spans="1:19" ht="12" customHeight="1">
      <c r="A2" s="91" t="s">
        <v>2</v>
      </c>
      <c r="B2" s="114"/>
    </row>
    <row r="3" spans="1:19" ht="3.9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</row>
    <row r="4" spans="1:19" ht="13.5" customHeight="1">
      <c r="A4" s="505" t="s">
        <v>50</v>
      </c>
      <c r="B4" s="502" t="s">
        <v>372</v>
      </c>
      <c r="C4" s="503"/>
      <c r="D4" s="503"/>
      <c r="E4" s="503"/>
      <c r="F4" s="503"/>
      <c r="G4" s="503"/>
      <c r="H4" s="502" t="s">
        <v>373</v>
      </c>
      <c r="I4" s="503"/>
      <c r="J4" s="503"/>
      <c r="K4" s="503"/>
      <c r="L4" s="503"/>
      <c r="M4" s="504"/>
      <c r="N4" s="502" t="s">
        <v>374</v>
      </c>
      <c r="O4" s="503"/>
      <c r="P4" s="503"/>
      <c r="Q4" s="503"/>
      <c r="R4" s="503"/>
      <c r="S4" s="504"/>
    </row>
    <row r="5" spans="1:19" ht="15.6" customHeight="1">
      <c r="A5" s="506"/>
      <c r="B5" s="495" t="s">
        <v>484</v>
      </c>
      <c r="C5" s="496"/>
      <c r="D5" s="497"/>
      <c r="E5" s="495" t="s">
        <v>485</v>
      </c>
      <c r="F5" s="496"/>
      <c r="G5" s="497"/>
      <c r="H5" s="495" t="s">
        <v>484</v>
      </c>
      <c r="I5" s="496"/>
      <c r="J5" s="497"/>
      <c r="K5" s="495" t="s">
        <v>485</v>
      </c>
      <c r="L5" s="496"/>
      <c r="M5" s="497"/>
      <c r="N5" s="495" t="s">
        <v>484</v>
      </c>
      <c r="O5" s="496"/>
      <c r="P5" s="497"/>
      <c r="Q5" s="495" t="s">
        <v>485</v>
      </c>
      <c r="R5" s="496"/>
      <c r="S5" s="497"/>
    </row>
    <row r="6" spans="1:19" ht="13.5" customHeight="1">
      <c r="A6" s="507"/>
      <c r="B6" s="336" t="s">
        <v>425</v>
      </c>
      <c r="C6" s="336" t="s">
        <v>426</v>
      </c>
      <c r="D6" s="336" t="s">
        <v>54</v>
      </c>
      <c r="E6" s="336" t="s">
        <v>425</v>
      </c>
      <c r="F6" s="336" t="s">
        <v>426</v>
      </c>
      <c r="G6" s="336" t="s">
        <v>54</v>
      </c>
      <c r="H6" s="336" t="s">
        <v>425</v>
      </c>
      <c r="I6" s="336" t="s">
        <v>426</v>
      </c>
      <c r="J6" s="336" t="s">
        <v>54</v>
      </c>
      <c r="K6" s="336" t="s">
        <v>425</v>
      </c>
      <c r="L6" s="336" t="s">
        <v>426</v>
      </c>
      <c r="M6" s="336" t="s">
        <v>54</v>
      </c>
      <c r="N6" s="336" t="s">
        <v>425</v>
      </c>
      <c r="O6" s="336" t="s">
        <v>426</v>
      </c>
      <c r="P6" s="336" t="s">
        <v>54</v>
      </c>
      <c r="Q6" s="336" t="s">
        <v>425</v>
      </c>
      <c r="R6" s="336" t="s">
        <v>426</v>
      </c>
      <c r="S6" s="336" t="s">
        <v>54</v>
      </c>
    </row>
    <row r="7" spans="1:19" ht="17.25" customHeight="1">
      <c r="A7" s="356" t="s">
        <v>412</v>
      </c>
      <c r="B7" s="357">
        <v>26536.522844876399</v>
      </c>
      <c r="C7" s="357">
        <v>27029.673424434219</v>
      </c>
      <c r="D7" s="345">
        <v>1.858384319756623</v>
      </c>
      <c r="E7" s="357">
        <v>2722.3081070584622</v>
      </c>
      <c r="F7" s="357">
        <v>2886.270079628574</v>
      </c>
      <c r="G7" s="345">
        <v>6.0229028501582071</v>
      </c>
      <c r="H7" s="357">
        <v>16901.460772132446</v>
      </c>
      <c r="I7" s="357">
        <v>17295.959758472789</v>
      </c>
      <c r="J7" s="345">
        <v>2.3341117768400421</v>
      </c>
      <c r="K7" s="357">
        <v>1530.5925864334831</v>
      </c>
      <c r="L7" s="357">
        <v>1664.7115221344804</v>
      </c>
      <c r="M7" s="345">
        <v>8.7625496745358689</v>
      </c>
      <c r="N7" s="357">
        <v>9635.0620727439491</v>
      </c>
      <c r="O7" s="357">
        <v>9733.713665961428</v>
      </c>
      <c r="P7" s="345">
        <v>1.0238812419958165</v>
      </c>
      <c r="Q7" s="357">
        <v>1191.7155206249797</v>
      </c>
      <c r="R7" s="357">
        <v>1221.5585574940944</v>
      </c>
      <c r="S7" s="345">
        <v>2.5042081228801916</v>
      </c>
    </row>
    <row r="8" spans="1:19" ht="14.25" customHeight="1">
      <c r="A8" s="68" t="s">
        <v>24</v>
      </c>
      <c r="B8" s="270">
        <v>888.91034045286187</v>
      </c>
      <c r="C8" s="270">
        <v>852.56718861850129</v>
      </c>
      <c r="D8" s="268">
        <v>-4.088505913413643</v>
      </c>
      <c r="E8" s="268">
        <v>119.64645481598039</v>
      </c>
      <c r="F8" s="268">
        <v>122.87326561970733</v>
      </c>
      <c r="G8" s="268">
        <v>2.6969547979418751</v>
      </c>
      <c r="H8" s="270">
        <v>772.22999125471881</v>
      </c>
      <c r="I8" s="270">
        <v>742.91456463154191</v>
      </c>
      <c r="J8" s="268">
        <v>-3.7962041043685946</v>
      </c>
      <c r="K8" s="270">
        <v>106.41529850464724</v>
      </c>
      <c r="L8" s="270">
        <v>109.29773329640878</v>
      </c>
      <c r="M8" s="268">
        <v>2.7086657954877191</v>
      </c>
      <c r="N8" s="270">
        <v>116.68034919814305</v>
      </c>
      <c r="O8" s="270">
        <v>109.6526239869594</v>
      </c>
      <c r="P8" s="268">
        <v>-6.0230580894554686</v>
      </c>
      <c r="Q8" s="270">
        <v>13.231156311333148</v>
      </c>
      <c r="R8" s="270">
        <v>13.575532323298551</v>
      </c>
      <c r="S8" s="268">
        <v>2.6027658041529511</v>
      </c>
    </row>
    <row r="9" spans="1:19" ht="14.25" customHeight="1">
      <c r="A9" s="68" t="s">
        <v>25</v>
      </c>
      <c r="B9" s="270">
        <v>593.53731031185066</v>
      </c>
      <c r="C9" s="270">
        <v>638.03424262819726</v>
      </c>
      <c r="D9" s="268">
        <v>7.4969056777521637</v>
      </c>
      <c r="E9" s="268">
        <v>49.543590818966791</v>
      </c>
      <c r="F9" s="268">
        <v>65.29209776729374</v>
      </c>
      <c r="G9" s="268">
        <v>31.787173049027253</v>
      </c>
      <c r="H9" s="270">
        <v>390.5038131335815</v>
      </c>
      <c r="I9" s="270">
        <v>437.04166393543738</v>
      </c>
      <c r="J9" s="268">
        <v>11.917387036099548</v>
      </c>
      <c r="K9" s="270">
        <v>27.662812695590457</v>
      </c>
      <c r="L9" s="270">
        <v>44.019565913840601</v>
      </c>
      <c r="M9" s="268">
        <v>59.129031448264357</v>
      </c>
      <c r="N9" s="270">
        <v>203.0334971782691</v>
      </c>
      <c r="O9" s="270">
        <v>200.99257869275985</v>
      </c>
      <c r="P9" s="268">
        <v>-1.0052126934095407</v>
      </c>
      <c r="Q9" s="270">
        <v>21.880778123376334</v>
      </c>
      <c r="R9" s="270">
        <v>21.272531853453138</v>
      </c>
      <c r="S9" s="268">
        <v>-2.779820107372577</v>
      </c>
    </row>
    <row r="10" spans="1:19" s="116" customFormat="1" ht="14.25" customHeight="1">
      <c r="A10" s="68" t="s">
        <v>356</v>
      </c>
      <c r="B10" s="270">
        <v>471.29872665095502</v>
      </c>
      <c r="C10" s="270">
        <v>487.51128967223633</v>
      </c>
      <c r="D10" s="268">
        <v>3.4399759864593094</v>
      </c>
      <c r="E10" s="268">
        <v>22.448508532534802</v>
      </c>
      <c r="F10" s="268">
        <v>28.237865227675563</v>
      </c>
      <c r="G10" s="268">
        <v>25.789493706230871</v>
      </c>
      <c r="H10" s="270">
        <v>392.33291458538201</v>
      </c>
      <c r="I10" s="270">
        <v>410.3023677813573</v>
      </c>
      <c r="J10" s="268">
        <v>4.5801543862220795</v>
      </c>
      <c r="K10" s="270">
        <v>13.689474274953065</v>
      </c>
      <c r="L10" s="270">
        <v>19.643042048841245</v>
      </c>
      <c r="M10" s="268">
        <v>43.490112580737453</v>
      </c>
      <c r="N10" s="270">
        <v>78.965812065573033</v>
      </c>
      <c r="O10" s="270">
        <v>77.208921890879026</v>
      </c>
      <c r="P10" s="268">
        <v>-2.2248744472292525</v>
      </c>
      <c r="Q10" s="270">
        <v>8.7590342575817388</v>
      </c>
      <c r="R10" s="270">
        <v>8.5948231788343179</v>
      </c>
      <c r="S10" s="268">
        <v>-1.8747623758324838</v>
      </c>
    </row>
    <row r="11" spans="1:19" ht="14.25" customHeight="1">
      <c r="A11" s="68" t="s">
        <v>27</v>
      </c>
      <c r="B11" s="270">
        <v>1907.5858101585807</v>
      </c>
      <c r="C11" s="270">
        <v>1888.7947769092461</v>
      </c>
      <c r="D11" s="268">
        <v>-0.98506883146569635</v>
      </c>
      <c r="E11" s="268">
        <v>229.3644745512388</v>
      </c>
      <c r="F11" s="268">
        <v>200.83899545672119</v>
      </c>
      <c r="G11" s="268">
        <v>-12.436746863405457</v>
      </c>
      <c r="H11" s="270">
        <v>1067.0289925396635</v>
      </c>
      <c r="I11" s="270">
        <v>1041.6707399464374</v>
      </c>
      <c r="J11" s="268">
        <v>-2.3765289200690098</v>
      </c>
      <c r="K11" s="270">
        <v>126.07046036713034</v>
      </c>
      <c r="L11" s="270">
        <v>94.617664037521649</v>
      </c>
      <c r="M11" s="268">
        <v>-24.948585289539572</v>
      </c>
      <c r="N11" s="270">
        <v>840.55681761891719</v>
      </c>
      <c r="O11" s="270">
        <v>847.12403696280876</v>
      </c>
      <c r="P11" s="268">
        <v>0.78129392400798636</v>
      </c>
      <c r="Q11" s="270">
        <v>103.29401418410846</v>
      </c>
      <c r="R11" s="270">
        <v>106.22133141919953</v>
      </c>
      <c r="S11" s="268">
        <v>2.8339659932989925</v>
      </c>
    </row>
    <row r="12" spans="1:19" ht="14.25" customHeight="1">
      <c r="A12" s="68" t="s">
        <v>28</v>
      </c>
      <c r="B12" s="270">
        <v>601.24159707880926</v>
      </c>
      <c r="C12" s="270">
        <v>547.8883835535612</v>
      </c>
      <c r="D12" s="268">
        <v>-8.8738393658173038</v>
      </c>
      <c r="E12" s="268">
        <v>21.574073071873709</v>
      </c>
      <c r="F12" s="268">
        <v>25.704279825812527</v>
      </c>
      <c r="G12" s="268">
        <v>19.144306873250571</v>
      </c>
      <c r="H12" s="270">
        <v>456.95142044905612</v>
      </c>
      <c r="I12" s="270">
        <v>406.23591060226863</v>
      </c>
      <c r="J12" s="268">
        <v>-11.098665542378283</v>
      </c>
      <c r="K12" s="270">
        <v>7.1868909825247353</v>
      </c>
      <c r="L12" s="270">
        <v>11.29646483467233</v>
      </c>
      <c r="M12" s="268">
        <v>57.181524836542216</v>
      </c>
      <c r="N12" s="270">
        <v>144.29017662975309</v>
      </c>
      <c r="O12" s="270">
        <v>141.65247295129254</v>
      </c>
      <c r="P12" s="268">
        <v>-1.828054923814304</v>
      </c>
      <c r="Q12" s="270">
        <v>14.387182089348974</v>
      </c>
      <c r="R12" s="270">
        <v>14.407814991140199</v>
      </c>
      <c r="S12" s="268">
        <v>0.14341169565443845</v>
      </c>
    </row>
    <row r="13" spans="1:19" ht="14.25" customHeight="1">
      <c r="A13" s="68" t="s">
        <v>29</v>
      </c>
      <c r="B13" s="270">
        <v>1216.6100294198332</v>
      </c>
      <c r="C13" s="270">
        <v>1290.4772754400374</v>
      </c>
      <c r="D13" s="268">
        <v>6.0715631331289766</v>
      </c>
      <c r="E13" s="268">
        <v>138.09791558818736</v>
      </c>
      <c r="F13" s="268">
        <v>156.56931541425675</v>
      </c>
      <c r="G13" s="268">
        <v>13.375581917653069</v>
      </c>
      <c r="H13" s="270">
        <v>844.81867238978759</v>
      </c>
      <c r="I13" s="270">
        <v>910.68055433765085</v>
      </c>
      <c r="J13" s="268">
        <v>7.7959784863130377</v>
      </c>
      <c r="K13" s="270">
        <v>92.497003877581378</v>
      </c>
      <c r="L13" s="270">
        <v>110.00034742794679</v>
      </c>
      <c r="M13" s="268">
        <v>18.92314649837834</v>
      </c>
      <c r="N13" s="270">
        <v>371.79135703004556</v>
      </c>
      <c r="O13" s="270">
        <v>379.79672110238664</v>
      </c>
      <c r="P13" s="268">
        <v>2.1531872435899935</v>
      </c>
      <c r="Q13" s="270">
        <v>45.600911710605992</v>
      </c>
      <c r="R13" s="270">
        <v>46.568967986309957</v>
      </c>
      <c r="S13" s="268">
        <v>2.1228879848882665</v>
      </c>
    </row>
    <row r="14" spans="1:19" ht="14.25" customHeight="1">
      <c r="A14" s="68" t="s">
        <v>30</v>
      </c>
      <c r="B14" s="270">
        <v>921.43751962528358</v>
      </c>
      <c r="C14" s="270">
        <v>982.02575105800281</v>
      </c>
      <c r="D14" s="268">
        <v>6.5754031219998899</v>
      </c>
      <c r="E14" s="268">
        <v>42.859777134516222</v>
      </c>
      <c r="F14" s="268">
        <v>53.015046082769274</v>
      </c>
      <c r="G14" s="268">
        <v>23.694171148815247</v>
      </c>
      <c r="H14" s="270">
        <v>695.45674567462936</v>
      </c>
      <c r="I14" s="270">
        <v>738.50788998296196</v>
      </c>
      <c r="J14" s="268">
        <v>6.1903410350230725</v>
      </c>
      <c r="K14" s="270">
        <v>14.262814713713265</v>
      </c>
      <c r="L14" s="270">
        <v>22.763742862667272</v>
      </c>
      <c r="M14" s="268">
        <v>59.60203732283378</v>
      </c>
      <c r="N14" s="270">
        <v>225.9807739506542</v>
      </c>
      <c r="O14" s="270">
        <v>243.51786107504083</v>
      </c>
      <c r="P14" s="268">
        <v>7.7604332518199426</v>
      </c>
      <c r="Q14" s="270">
        <v>28.596962420802953</v>
      </c>
      <c r="R14" s="270">
        <v>30.251303220102002</v>
      </c>
      <c r="S14" s="268">
        <v>5.7850228110087443</v>
      </c>
    </row>
    <row r="15" spans="1:19" ht="14.25" customHeight="1">
      <c r="A15" s="68" t="s">
        <v>31</v>
      </c>
      <c r="B15" s="270">
        <v>399.14065478243594</v>
      </c>
      <c r="C15" s="270">
        <v>364.37137424487969</v>
      </c>
      <c r="D15" s="268">
        <v>-8.7110345991961999</v>
      </c>
      <c r="E15" s="268">
        <v>14.22468053832176</v>
      </c>
      <c r="F15" s="268">
        <v>16.408890434915154</v>
      </c>
      <c r="G15" s="268">
        <v>15.355071705892165</v>
      </c>
      <c r="H15" s="270">
        <v>335.05017023994691</v>
      </c>
      <c r="I15" s="270">
        <v>302.02913757354474</v>
      </c>
      <c r="J15" s="268">
        <v>-9.8555486907390808</v>
      </c>
      <c r="K15" s="270">
        <v>6.7589302443427908</v>
      </c>
      <c r="L15" s="270">
        <v>9.1667808138778977</v>
      </c>
      <c r="M15" s="268">
        <v>35.624728803059803</v>
      </c>
      <c r="N15" s="270">
        <v>64.090484542489008</v>
      </c>
      <c r="O15" s="270">
        <v>62.342236671334966</v>
      </c>
      <c r="P15" s="268">
        <v>-2.727780705098326</v>
      </c>
      <c r="Q15" s="270">
        <v>7.4657502939789691</v>
      </c>
      <c r="R15" s="270">
        <v>7.2421096210372573</v>
      </c>
      <c r="S15" s="268">
        <v>-2.9955552239950389</v>
      </c>
    </row>
    <row r="16" spans="1:19" ht="14.25" customHeight="1">
      <c r="A16" s="68" t="s">
        <v>153</v>
      </c>
      <c r="B16" s="270">
        <v>847.78891118929505</v>
      </c>
      <c r="C16" s="270">
        <v>878.5454594017657</v>
      </c>
      <c r="D16" s="268">
        <v>3.6278545055896894</v>
      </c>
      <c r="E16" s="268">
        <v>92.396489943711302</v>
      </c>
      <c r="F16" s="268">
        <v>97.914167196283444</v>
      </c>
      <c r="G16" s="268">
        <v>5.97173903027437</v>
      </c>
      <c r="H16" s="270">
        <v>631.10688326653315</v>
      </c>
      <c r="I16" s="270">
        <v>657.12302164672712</v>
      </c>
      <c r="J16" s="268">
        <v>4.1223030630782587</v>
      </c>
      <c r="K16" s="270">
        <v>63.944270475654477</v>
      </c>
      <c r="L16" s="270">
        <v>68.522365027233718</v>
      </c>
      <c r="M16" s="268">
        <v>7.1595070481291323</v>
      </c>
      <c r="N16" s="270">
        <v>216.68202792276188</v>
      </c>
      <c r="O16" s="270">
        <v>221.42243775503854</v>
      </c>
      <c r="P16" s="268">
        <v>2.1877263553977899</v>
      </c>
      <c r="Q16" s="270">
        <v>28.452219468056828</v>
      </c>
      <c r="R16" s="270">
        <v>29.391802169049718</v>
      </c>
      <c r="S16" s="268">
        <v>3.3023177754120558</v>
      </c>
    </row>
    <row r="17" spans="1:19" ht="14.25" customHeight="1">
      <c r="A17" s="68" t="s">
        <v>32</v>
      </c>
      <c r="B17" s="270">
        <v>2070.4240115308939</v>
      </c>
      <c r="C17" s="270">
        <v>2196.9289129935623</v>
      </c>
      <c r="D17" s="268">
        <v>6.110096326072334</v>
      </c>
      <c r="E17" s="268">
        <v>213.10007603045139</v>
      </c>
      <c r="F17" s="268">
        <v>241.22504182722076</v>
      </c>
      <c r="G17" s="268">
        <v>13.19800833517788</v>
      </c>
      <c r="H17" s="270">
        <v>1265.7603201192326</v>
      </c>
      <c r="I17" s="270">
        <v>1379.0408570799202</v>
      </c>
      <c r="J17" s="268">
        <v>8.9496040569526425</v>
      </c>
      <c r="K17" s="270">
        <v>114.82660283722663</v>
      </c>
      <c r="L17" s="270">
        <v>138.59626217379119</v>
      </c>
      <c r="M17" s="268">
        <v>20.700481203175048</v>
      </c>
      <c r="N17" s="270">
        <v>804.6636914116616</v>
      </c>
      <c r="O17" s="270">
        <v>817.88805591364212</v>
      </c>
      <c r="P17" s="268">
        <v>1.6434647969240768</v>
      </c>
      <c r="Q17" s="270">
        <v>98.27347319322476</v>
      </c>
      <c r="R17" s="270">
        <v>102.62877965342959</v>
      </c>
      <c r="S17" s="268">
        <v>4.4318230735993724</v>
      </c>
    </row>
    <row r="18" spans="1:19" ht="14.25" customHeight="1">
      <c r="A18" s="68" t="s">
        <v>357</v>
      </c>
      <c r="B18" s="270">
        <v>1423.6833194402993</v>
      </c>
      <c r="C18" s="270">
        <v>1456.0086149082572</v>
      </c>
      <c r="D18" s="268">
        <v>2.2705397349648049</v>
      </c>
      <c r="E18" s="268">
        <v>106.59606742702134</v>
      </c>
      <c r="F18" s="268">
        <v>114.22959572890488</v>
      </c>
      <c r="G18" s="268">
        <v>7.161172533038962</v>
      </c>
      <c r="H18" s="270">
        <v>1273.6655397032325</v>
      </c>
      <c r="I18" s="270">
        <v>1293.5515101175954</v>
      </c>
      <c r="J18" s="268">
        <v>1.5613180850442276</v>
      </c>
      <c r="K18" s="270">
        <v>87.615907315192828</v>
      </c>
      <c r="L18" s="270">
        <v>94.711117440737695</v>
      </c>
      <c r="M18" s="268">
        <v>8.0980844038061264</v>
      </c>
      <c r="N18" s="270">
        <v>150.01777973706669</v>
      </c>
      <c r="O18" s="270">
        <v>162.4571047906617</v>
      </c>
      <c r="P18" s="268">
        <v>8.2919005169901805</v>
      </c>
      <c r="Q18" s="270">
        <v>18.980160111828511</v>
      </c>
      <c r="R18" s="270">
        <v>19.518478288167188</v>
      </c>
      <c r="S18" s="268">
        <v>2.8362151486972742</v>
      </c>
    </row>
    <row r="19" spans="1:19" ht="14.25" customHeight="1">
      <c r="A19" s="68" t="s">
        <v>33</v>
      </c>
      <c r="B19" s="270">
        <v>3225.5324254030065</v>
      </c>
      <c r="C19" s="270">
        <v>3194.206961543262</v>
      </c>
      <c r="D19" s="268">
        <v>-0.97117187888231538</v>
      </c>
      <c r="E19" s="268">
        <v>463.04654662150779</v>
      </c>
      <c r="F19" s="268">
        <v>478.15387520709839</v>
      </c>
      <c r="G19" s="268">
        <v>3.2625939434851814</v>
      </c>
      <c r="H19" s="270">
        <v>1881.5432895822237</v>
      </c>
      <c r="I19" s="270">
        <v>1839.6623455136216</v>
      </c>
      <c r="J19" s="268">
        <v>-2.2258825667466398</v>
      </c>
      <c r="K19" s="270">
        <v>295.39689644534997</v>
      </c>
      <c r="L19" s="270">
        <v>307.59765961680353</v>
      </c>
      <c r="M19" s="268">
        <v>4.1302949754283391</v>
      </c>
      <c r="N19" s="270">
        <v>1343.9891358207826</v>
      </c>
      <c r="O19" s="270">
        <v>1354.5446160296403</v>
      </c>
      <c r="P19" s="268">
        <v>0.78538434035864135</v>
      </c>
      <c r="Q19" s="270">
        <v>167.64965017615782</v>
      </c>
      <c r="R19" s="270">
        <v>170.55621559029484</v>
      </c>
      <c r="S19" s="268">
        <v>1.7337139749966424</v>
      </c>
    </row>
    <row r="20" spans="1:19" ht="14.25" customHeight="1">
      <c r="A20" s="68" t="s">
        <v>34</v>
      </c>
      <c r="B20" s="270">
        <v>891.32436764544514</v>
      </c>
      <c r="C20" s="270">
        <v>971.61043623175465</v>
      </c>
      <c r="D20" s="268">
        <v>9.0075029361528678</v>
      </c>
      <c r="E20" s="268">
        <v>79.489357297898408</v>
      </c>
      <c r="F20" s="268">
        <v>128.27987730403692</v>
      </c>
      <c r="G20" s="268">
        <v>61.379940239406693</v>
      </c>
      <c r="H20" s="270">
        <v>739.42772105729546</v>
      </c>
      <c r="I20" s="270">
        <v>824.33094220635803</v>
      </c>
      <c r="J20" s="268">
        <v>11.48228808999221</v>
      </c>
      <c r="K20" s="270">
        <v>60.962758500100009</v>
      </c>
      <c r="L20" s="270">
        <v>110.14625166170205</v>
      </c>
      <c r="M20" s="268">
        <v>80.677932514358503</v>
      </c>
      <c r="N20" s="270">
        <v>151.89664658814965</v>
      </c>
      <c r="O20" s="270">
        <v>147.27949402539659</v>
      </c>
      <c r="P20" s="268">
        <v>-3.039667212188002</v>
      </c>
      <c r="Q20" s="270">
        <v>18.5265987977984</v>
      </c>
      <c r="R20" s="270">
        <v>18.133625642334852</v>
      </c>
      <c r="S20" s="268">
        <v>-2.1211295162836152</v>
      </c>
    </row>
    <row r="21" spans="1:19" ht="14.25" customHeight="1">
      <c r="A21" s="68" t="s">
        <v>35</v>
      </c>
      <c r="B21" s="270">
        <v>4636.2333650110486</v>
      </c>
      <c r="C21" s="270">
        <v>4735.7384249121378</v>
      </c>
      <c r="D21" s="268">
        <v>2.1462478712145794</v>
      </c>
      <c r="E21" s="268">
        <v>576.09896391209031</v>
      </c>
      <c r="F21" s="268">
        <v>613.04165887929742</v>
      </c>
      <c r="G21" s="268">
        <v>6.4125605636125238</v>
      </c>
      <c r="H21" s="270">
        <v>991.00788717667274</v>
      </c>
      <c r="I21" s="270">
        <v>1050.1218589916259</v>
      </c>
      <c r="J21" s="268">
        <v>5.9650354532864158</v>
      </c>
      <c r="K21" s="270">
        <v>116.38216565254953</v>
      </c>
      <c r="L21" s="270">
        <v>135.8983628598717</v>
      </c>
      <c r="M21" s="268">
        <v>16.769061735443501</v>
      </c>
      <c r="N21" s="270">
        <v>3645.2254778343763</v>
      </c>
      <c r="O21" s="270">
        <v>3685.6165659205117</v>
      </c>
      <c r="P21" s="268">
        <v>1.108054586245566</v>
      </c>
      <c r="Q21" s="270">
        <v>459.71679825954084</v>
      </c>
      <c r="R21" s="270">
        <v>477.14329601942569</v>
      </c>
      <c r="S21" s="268">
        <v>3.7907028470268056</v>
      </c>
    </row>
    <row r="22" spans="1:19" ht="14.25" customHeight="1">
      <c r="A22" s="68" t="s">
        <v>36</v>
      </c>
      <c r="B22" s="270">
        <v>371.03057547912186</v>
      </c>
      <c r="C22" s="270">
        <v>373.73532613110581</v>
      </c>
      <c r="D22" s="268">
        <v>0.72898322422383366</v>
      </c>
      <c r="E22" s="268">
        <v>54.276810003265119</v>
      </c>
      <c r="F22" s="268">
        <v>54.2924279450055</v>
      </c>
      <c r="G22" s="268">
        <v>2.8774612471593741E-2</v>
      </c>
      <c r="H22" s="270">
        <v>269.12948957692385</v>
      </c>
      <c r="I22" s="270">
        <v>273.7836711916064</v>
      </c>
      <c r="J22" s="268">
        <v>1.7293465766234029</v>
      </c>
      <c r="K22" s="270">
        <v>40.305865195019926</v>
      </c>
      <c r="L22" s="270">
        <v>40.865587112873669</v>
      </c>
      <c r="M22" s="268">
        <v>1.3886860265758472</v>
      </c>
      <c r="N22" s="270">
        <v>101.90108590219802</v>
      </c>
      <c r="O22" s="270">
        <v>99.951654939499392</v>
      </c>
      <c r="P22" s="268">
        <v>-1.9130620105163976</v>
      </c>
      <c r="Q22" s="270">
        <v>13.970944808245195</v>
      </c>
      <c r="R22" s="270">
        <v>13.426840832131832</v>
      </c>
      <c r="S22" s="268">
        <v>-3.894539586129131</v>
      </c>
    </row>
    <row r="23" spans="1:19" ht="14.25" customHeight="1">
      <c r="A23" s="68" t="s">
        <v>55</v>
      </c>
      <c r="B23" s="270">
        <v>121.083550873793</v>
      </c>
      <c r="C23" s="270">
        <v>126.19852001245519</v>
      </c>
      <c r="D23" s="268">
        <v>4.2243303089067652</v>
      </c>
      <c r="E23" s="268">
        <v>13.085193657914783</v>
      </c>
      <c r="F23" s="268">
        <v>14.959791964213972</v>
      </c>
      <c r="G23" s="268">
        <v>14.326102886259617</v>
      </c>
      <c r="H23" s="270">
        <v>69.400468328157544</v>
      </c>
      <c r="I23" s="270">
        <v>74.593222100490635</v>
      </c>
      <c r="J23" s="268">
        <v>7.4823036463952164</v>
      </c>
      <c r="K23" s="270">
        <v>6.377476100380381</v>
      </c>
      <c r="L23" s="270">
        <v>8.1607170602083876</v>
      </c>
      <c r="M23" s="268">
        <v>27.961546727264832</v>
      </c>
      <c r="N23" s="270">
        <v>51.68308254563545</v>
      </c>
      <c r="O23" s="270">
        <v>51.605297911964563</v>
      </c>
      <c r="P23" s="268">
        <v>-0.15050308503213872</v>
      </c>
      <c r="Q23" s="270">
        <v>6.7077175575344015</v>
      </c>
      <c r="R23" s="270">
        <v>6.7990749040055842</v>
      </c>
      <c r="S23" s="268">
        <v>1.3619736622417333</v>
      </c>
    </row>
    <row r="24" spans="1:19" ht="14.25" customHeight="1">
      <c r="A24" s="68" t="s">
        <v>67</v>
      </c>
      <c r="B24" s="270">
        <v>119.6313101028808</v>
      </c>
      <c r="C24" s="270">
        <v>111.35267428325817</v>
      </c>
      <c r="D24" s="268">
        <v>-6.9201246834989512</v>
      </c>
      <c r="E24" s="268">
        <v>12.55801757970918</v>
      </c>
      <c r="F24" s="268">
        <v>11.960646751183802</v>
      </c>
      <c r="G24" s="268">
        <v>-4.7568879780084838</v>
      </c>
      <c r="H24" s="270">
        <v>99.527873684368515</v>
      </c>
      <c r="I24" s="270">
        <v>90.262606075142429</v>
      </c>
      <c r="J24" s="268">
        <v>-9.3092188813446501</v>
      </c>
      <c r="K24" s="270">
        <v>9.9877508881543591</v>
      </c>
      <c r="L24" s="270">
        <v>9.2591969756225634</v>
      </c>
      <c r="M24" s="268">
        <v>-7.2944742083612901</v>
      </c>
      <c r="N24" s="270">
        <v>20.103436418512288</v>
      </c>
      <c r="O24" s="270">
        <v>21.090068208115735</v>
      </c>
      <c r="P24" s="268">
        <v>4.9077768052376625</v>
      </c>
      <c r="Q24" s="270">
        <v>2.5702666915548198</v>
      </c>
      <c r="R24" s="270">
        <v>2.7014497755612386</v>
      </c>
      <c r="S24" s="268">
        <v>5.1038705219754066</v>
      </c>
    </row>
    <row r="25" spans="1:19" ht="14.25" customHeight="1">
      <c r="A25" s="68" t="s">
        <v>37</v>
      </c>
      <c r="B25" s="270">
        <v>364.28481459841771</v>
      </c>
      <c r="C25" s="270">
        <v>390.94124418392329</v>
      </c>
      <c r="D25" s="268">
        <v>7.317469330938553</v>
      </c>
      <c r="E25" s="268">
        <v>31.578366417157593</v>
      </c>
      <c r="F25" s="268">
        <v>36.332045643920196</v>
      </c>
      <c r="G25" s="268">
        <v>15.053594489231624</v>
      </c>
      <c r="H25" s="270">
        <v>295.35643940209434</v>
      </c>
      <c r="I25" s="270">
        <v>320.89886990447167</v>
      </c>
      <c r="J25" s="268">
        <v>8.6480019037621823</v>
      </c>
      <c r="K25" s="270">
        <v>22.70486681212742</v>
      </c>
      <c r="L25" s="270">
        <v>27.208524260149527</v>
      </c>
      <c r="M25" s="268">
        <v>19.835647948467837</v>
      </c>
      <c r="N25" s="270">
        <v>68.928375196323373</v>
      </c>
      <c r="O25" s="270">
        <v>70.042374279451636</v>
      </c>
      <c r="P25" s="268">
        <v>1.6161690739921575</v>
      </c>
      <c r="Q25" s="270">
        <v>8.8734996050301724</v>
      </c>
      <c r="R25" s="270">
        <v>9.1235213837706723</v>
      </c>
      <c r="S25" s="268">
        <v>2.8176231461008783</v>
      </c>
    </row>
    <row r="26" spans="1:19" ht="14.25" customHeight="1">
      <c r="A26" s="68" t="s">
        <v>38</v>
      </c>
      <c r="B26" s="270">
        <v>1072.0615958950682</v>
      </c>
      <c r="C26" s="270">
        <v>1115.8392564867345</v>
      </c>
      <c r="D26" s="268">
        <v>4.0835023621115907</v>
      </c>
      <c r="E26" s="268">
        <v>124.58192332271832</v>
      </c>
      <c r="F26" s="268">
        <v>115.78989615578791</v>
      </c>
      <c r="G26" s="268">
        <v>-7.0572254243943977</v>
      </c>
      <c r="H26" s="270">
        <v>856.77697481807877</v>
      </c>
      <c r="I26" s="270">
        <v>900.08669668552966</v>
      </c>
      <c r="J26" s="268">
        <v>5.0549586578989114</v>
      </c>
      <c r="K26" s="270">
        <v>96.593451794434003</v>
      </c>
      <c r="L26" s="270">
        <v>88.095205486911453</v>
      </c>
      <c r="M26" s="268">
        <v>-8.7979528111368772</v>
      </c>
      <c r="N26" s="270">
        <v>215.28462107698945</v>
      </c>
      <c r="O26" s="270">
        <v>215.75255980120485</v>
      </c>
      <c r="P26" s="268">
        <v>0.21735817536545632</v>
      </c>
      <c r="Q26" s="270">
        <v>27.988471528284329</v>
      </c>
      <c r="R26" s="270">
        <v>27.694690668876458</v>
      </c>
      <c r="S26" s="268">
        <v>-1.0496495284173846</v>
      </c>
    </row>
    <row r="27" spans="1:19" ht="14.25" customHeight="1">
      <c r="A27" s="68" t="s">
        <v>39</v>
      </c>
      <c r="B27" s="270">
        <v>1516.6341411521025</v>
      </c>
      <c r="C27" s="270">
        <v>1601.3676242525987</v>
      </c>
      <c r="D27" s="268">
        <v>5.586942875763623</v>
      </c>
      <c r="E27" s="268">
        <v>55.124881634280918</v>
      </c>
      <c r="F27" s="268">
        <v>55.86246307755016</v>
      </c>
      <c r="G27" s="268">
        <v>1.3380190966443051</v>
      </c>
      <c r="H27" s="270">
        <v>1087.303066926248</v>
      </c>
      <c r="I27" s="270">
        <v>1168.4835042567117</v>
      </c>
      <c r="J27" s="268">
        <v>7.4662198424544801</v>
      </c>
      <c r="K27" s="270">
        <v>9.2240706559087187</v>
      </c>
      <c r="L27" s="270">
        <v>9.3695842097985587</v>
      </c>
      <c r="M27" s="268">
        <v>1.5775416225441319</v>
      </c>
      <c r="N27" s="270">
        <v>429.33107422585459</v>
      </c>
      <c r="O27" s="270">
        <v>432.88411999588698</v>
      </c>
      <c r="P27" s="268">
        <v>0.82757712714809362</v>
      </c>
      <c r="Q27" s="270">
        <v>45.900810978372199</v>
      </c>
      <c r="R27" s="270">
        <v>46.4928788677516</v>
      </c>
      <c r="S27" s="268">
        <v>1.2898854655495562</v>
      </c>
    </row>
    <row r="28" spans="1:19" ht="14.25" customHeight="1">
      <c r="A28" s="68" t="s">
        <v>70</v>
      </c>
      <c r="B28" s="270">
        <v>1841.4540649189441</v>
      </c>
      <c r="C28" s="270">
        <v>1718.0061035566243</v>
      </c>
      <c r="D28" s="268">
        <v>-6.703830614843687</v>
      </c>
      <c r="E28" s="268">
        <v>171.38469158117471</v>
      </c>
      <c r="F28" s="268">
        <v>161.0885024885894</v>
      </c>
      <c r="G28" s="268">
        <v>-6.0076480563076569</v>
      </c>
      <c r="H28" s="270">
        <v>1632.4414740781717</v>
      </c>
      <c r="I28" s="270">
        <v>1506.4405354660764</v>
      </c>
      <c r="J28" s="268">
        <v>-7.7185577929063109</v>
      </c>
      <c r="K28" s="270">
        <v>145.68712791530271</v>
      </c>
      <c r="L28" s="270">
        <v>136.18156639290925</v>
      </c>
      <c r="M28" s="268">
        <v>-6.52464061747422</v>
      </c>
      <c r="N28" s="270">
        <v>209.0125908407725</v>
      </c>
      <c r="O28" s="270">
        <v>211.565568090548</v>
      </c>
      <c r="P28" s="268">
        <v>1.221446631279921</v>
      </c>
      <c r="Q28" s="270">
        <v>25.697563665871982</v>
      </c>
      <c r="R28" s="270">
        <v>24.906936095680159</v>
      </c>
      <c r="S28" s="268">
        <v>-3.0766635330563563</v>
      </c>
    </row>
    <row r="29" spans="1:19" ht="14.25" customHeight="1">
      <c r="A29" s="68" t="s">
        <v>68</v>
      </c>
      <c r="B29" s="270">
        <v>480.06568424159786</v>
      </c>
      <c r="C29" s="270">
        <v>455.08984491635454</v>
      </c>
      <c r="D29" s="268">
        <v>-5.2025879260043091</v>
      </c>
      <c r="E29" s="268">
        <v>20.984748390764818</v>
      </c>
      <c r="F29" s="268">
        <v>21.73412961478811</v>
      </c>
      <c r="G29" s="268">
        <v>3.571075573882454</v>
      </c>
      <c r="H29" s="270">
        <v>372.59547133178393</v>
      </c>
      <c r="I29" s="270">
        <v>348.68882371264863</v>
      </c>
      <c r="J29" s="268">
        <v>-6.4162475012604858</v>
      </c>
      <c r="K29" s="270">
        <v>7.1497512095862898</v>
      </c>
      <c r="L29" s="270">
        <v>8.3311795989673207</v>
      </c>
      <c r="M29" s="268">
        <v>16.524048945884818</v>
      </c>
      <c r="N29" s="270">
        <v>107.47021290981395</v>
      </c>
      <c r="O29" s="270">
        <v>106.40102120370592</v>
      </c>
      <c r="P29" s="268">
        <v>-0.99487260437947089</v>
      </c>
      <c r="Q29" s="270">
        <v>13.834997181178528</v>
      </c>
      <c r="R29" s="270">
        <v>13.402950015820791</v>
      </c>
      <c r="S29" s="268">
        <v>-3.1228569091832137</v>
      </c>
    </row>
    <row r="30" spans="1:19" ht="14.25" customHeight="1">
      <c r="A30" s="68" t="s">
        <v>69</v>
      </c>
      <c r="B30" s="270">
        <v>104.98577516319521</v>
      </c>
      <c r="C30" s="270">
        <v>119.22663969797168</v>
      </c>
      <c r="D30" s="268">
        <v>13.564565782973691</v>
      </c>
      <c r="E30" s="268">
        <v>5.8598836453333112</v>
      </c>
      <c r="F30" s="268">
        <v>5.6964339600400402</v>
      </c>
      <c r="G30" s="268">
        <v>-2.7892991599489991</v>
      </c>
      <c r="H30" s="270">
        <v>97.918054999873092</v>
      </c>
      <c r="I30" s="270">
        <v>112.88030369982424</v>
      </c>
      <c r="J30" s="268">
        <v>15.280377760741404</v>
      </c>
      <c r="K30" s="270">
        <v>4.984839469444772</v>
      </c>
      <c r="L30" s="270">
        <v>4.9081249367796316</v>
      </c>
      <c r="M30" s="268">
        <v>-1.5389569340271025</v>
      </c>
      <c r="N30" s="270">
        <v>7.0677201633221216</v>
      </c>
      <c r="O30" s="270">
        <v>6.346335998147433</v>
      </c>
      <c r="P30" s="268">
        <v>-10.20674486970079</v>
      </c>
      <c r="Q30" s="270">
        <v>0.87504417588853922</v>
      </c>
      <c r="R30" s="270">
        <v>0.78830902326040875</v>
      </c>
      <c r="S30" s="268">
        <v>-9.9120884428557829</v>
      </c>
    </row>
    <row r="31" spans="1:19" ht="14.25" customHeight="1">
      <c r="A31" s="70" t="s">
        <v>71</v>
      </c>
      <c r="B31" s="271">
        <v>450.54294375067514</v>
      </c>
      <c r="C31" s="271">
        <v>533.20709879778838</v>
      </c>
      <c r="D31" s="269">
        <v>18.347674998292398</v>
      </c>
      <c r="E31" s="269">
        <v>64.386614541843613</v>
      </c>
      <c r="F31" s="269">
        <v>66.769770055502207</v>
      </c>
      <c r="G31" s="269">
        <v>3.7013213547822499</v>
      </c>
      <c r="H31" s="271">
        <v>384.12709781479032</v>
      </c>
      <c r="I31" s="271">
        <v>466.62816103323809</v>
      </c>
      <c r="J31" s="269">
        <v>21.477543158964085</v>
      </c>
      <c r="K31" s="271">
        <v>53.905099506567751</v>
      </c>
      <c r="L31" s="271">
        <v>56.054476084343612</v>
      </c>
      <c r="M31" s="269">
        <v>3.9873344033322544</v>
      </c>
      <c r="N31" s="271">
        <v>66.415845935884803</v>
      </c>
      <c r="O31" s="271">
        <v>66.578937764550304</v>
      </c>
      <c r="P31" s="269">
        <v>0.24556162218116739</v>
      </c>
      <c r="Q31" s="271">
        <v>10.481515035275857</v>
      </c>
      <c r="R31" s="271">
        <v>10.715293971158589</v>
      </c>
      <c r="S31" s="269">
        <v>2.2303926016033149</v>
      </c>
    </row>
    <row r="32" spans="1:19" ht="9" customHeight="1">
      <c r="A32" s="210" t="s">
        <v>427</v>
      </c>
      <c r="B32" s="210"/>
      <c r="C32" s="210"/>
      <c r="D32" s="209"/>
      <c r="E32" s="209"/>
      <c r="F32" s="209"/>
      <c r="H32" s="209"/>
      <c r="I32" s="209"/>
      <c r="K32" s="209"/>
      <c r="L32" s="209"/>
      <c r="M32" s="305"/>
    </row>
    <row r="33" spans="1:15" ht="9" customHeight="1">
      <c r="A33" s="206" t="s">
        <v>352</v>
      </c>
      <c r="B33" s="210"/>
      <c r="C33" s="210"/>
      <c r="D33" s="209"/>
      <c r="E33" s="209"/>
      <c r="F33" s="209"/>
      <c r="H33" s="209"/>
      <c r="I33" s="209"/>
      <c r="K33" s="209"/>
      <c r="L33" s="209"/>
      <c r="M33" s="305"/>
      <c r="N33" s="69"/>
      <c r="O33" s="69"/>
    </row>
    <row r="34" spans="1:15" ht="17.25" customHeight="1">
      <c r="H34" s="69"/>
      <c r="I34" s="69"/>
    </row>
    <row r="35" spans="1:15" ht="17.25" customHeight="1">
      <c r="B35" s="117"/>
      <c r="C35" s="117"/>
      <c r="D35" s="86"/>
      <c r="E35" s="117"/>
      <c r="F35" s="117"/>
      <c r="G35" s="86"/>
      <c r="H35" s="69"/>
      <c r="I35" s="69"/>
      <c r="J35" s="86"/>
    </row>
    <row r="64" spans="5:6" ht="17.25" customHeight="1">
      <c r="E64" s="209"/>
      <c r="F64" s="209"/>
    </row>
    <row r="65" spans="5:6" ht="17.25" customHeight="1">
      <c r="E65" s="209"/>
      <c r="F65" s="209"/>
    </row>
  </sheetData>
  <mergeCells count="10">
    <mergeCell ref="N4:S4"/>
    <mergeCell ref="K5:M5"/>
    <mergeCell ref="N5:P5"/>
    <mergeCell ref="Q5:S5"/>
    <mergeCell ref="A4:A6"/>
    <mergeCell ref="B5:D5"/>
    <mergeCell ref="E5:G5"/>
    <mergeCell ref="H5:J5"/>
    <mergeCell ref="B4:G4"/>
    <mergeCell ref="H4:M4"/>
  </mergeCells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/>
  <dimension ref="A1:K132"/>
  <sheetViews>
    <sheetView showGridLines="0" topLeftCell="A40" zoomScale="130" zoomScaleNormal="130" workbookViewId="0">
      <selection activeCell="C53" sqref="C53:H53"/>
    </sheetView>
  </sheetViews>
  <sheetFormatPr baseColWidth="10" defaultColWidth="0" defaultRowHeight="17.25" customHeight="1"/>
  <cols>
    <col min="1" max="1" width="2" style="204" customWidth="1"/>
    <col min="2" max="2" width="18.42578125" style="204" customWidth="1"/>
    <col min="3" max="4" width="10.28515625" style="204" customWidth="1"/>
    <col min="5" max="5" width="6.85546875" style="204" customWidth="1"/>
    <col min="6" max="6" width="8.42578125" style="204" customWidth="1"/>
    <col min="7" max="7" width="8.28515625" style="204" customWidth="1"/>
    <col min="8" max="8" width="7.42578125" style="204" customWidth="1"/>
    <col min="9" max="238" width="10.85546875" style="204" customWidth="1"/>
    <col min="239" max="239" width="2" style="204" customWidth="1"/>
    <col min="240" max="240" width="17.140625" style="204" customWidth="1"/>
    <col min="241" max="241" width="11.28515625" style="204" customWidth="1"/>
    <col min="242" max="242" width="12.42578125" style="204" customWidth="1"/>
    <col min="243" max="243" width="6.42578125" style="204" customWidth="1"/>
    <col min="244" max="244" width="9.85546875" style="204" customWidth="1"/>
    <col min="245" max="245" width="8.42578125" style="204" customWidth="1"/>
    <col min="246" max="246" width="7.7109375" style="204" customWidth="1"/>
    <col min="247" max="16384" width="0" style="204" hidden="1"/>
  </cols>
  <sheetData>
    <row r="1" spans="1:11" s="42" customFormat="1" ht="16.5" customHeight="1">
      <c r="A1" s="220" t="s">
        <v>113</v>
      </c>
      <c r="B1" s="220"/>
    </row>
    <row r="2" spans="1:11" s="42" customFormat="1" ht="12" customHeight="1">
      <c r="A2" s="17" t="s">
        <v>433</v>
      </c>
      <c r="B2" s="17"/>
    </row>
    <row r="3" spans="1:11" s="42" customFormat="1" ht="11.25" customHeight="1">
      <c r="A3" s="17" t="s">
        <v>2</v>
      </c>
      <c r="B3" s="17"/>
    </row>
    <row r="4" spans="1:11" ht="3.95" customHeight="1">
      <c r="A4" s="43"/>
      <c r="B4" s="63"/>
      <c r="C4" s="43"/>
      <c r="D4" s="43"/>
      <c r="E4" s="43"/>
    </row>
    <row r="5" spans="1:11" s="44" customFormat="1" ht="12" customHeight="1">
      <c r="A5" s="508" t="s">
        <v>230</v>
      </c>
      <c r="B5" s="509"/>
      <c r="C5" s="495" t="s">
        <v>484</v>
      </c>
      <c r="D5" s="496"/>
      <c r="E5" s="497"/>
      <c r="F5" s="495" t="s">
        <v>485</v>
      </c>
      <c r="G5" s="496"/>
      <c r="H5" s="497"/>
    </row>
    <row r="6" spans="1:11" s="22" customFormat="1" ht="12" customHeight="1">
      <c r="A6" s="510"/>
      <c r="B6" s="511"/>
      <c r="C6" s="336" t="s">
        <v>425</v>
      </c>
      <c r="D6" s="336" t="s">
        <v>426</v>
      </c>
      <c r="E6" s="336" t="s">
        <v>54</v>
      </c>
      <c r="F6" s="336" t="s">
        <v>425</v>
      </c>
      <c r="G6" s="336" t="s">
        <v>426</v>
      </c>
      <c r="H6" s="336" t="s">
        <v>54</v>
      </c>
    </row>
    <row r="7" spans="1:11" ht="15.95" customHeight="1">
      <c r="A7" s="512" t="s">
        <v>58</v>
      </c>
      <c r="B7" s="512"/>
      <c r="C7" s="360">
        <v>26536.522844876399</v>
      </c>
      <c r="D7" s="360">
        <v>27029.673424434219</v>
      </c>
      <c r="E7" s="344">
        <v>1.858384319756623</v>
      </c>
      <c r="F7" s="360">
        <v>2722.3081070584631</v>
      </c>
      <c r="G7" s="360">
        <v>2886.2700796285744</v>
      </c>
      <c r="H7" s="344">
        <v>6.0229028501581849</v>
      </c>
    </row>
    <row r="8" spans="1:11" ht="15.95" customHeight="1">
      <c r="A8" s="361" t="s">
        <v>82</v>
      </c>
      <c r="B8" s="362"/>
      <c r="C8" s="363">
        <v>16901.460772132446</v>
      </c>
      <c r="D8" s="363">
        <v>17295.959758472789</v>
      </c>
      <c r="E8" s="364">
        <v>2.3341117768400421</v>
      </c>
      <c r="F8" s="363">
        <v>1530.5925864334831</v>
      </c>
      <c r="G8" s="363">
        <v>1664.7115221344804</v>
      </c>
      <c r="H8" s="364">
        <v>8.7625496745358689</v>
      </c>
    </row>
    <row r="9" spans="1:11" ht="14.1" customHeight="1">
      <c r="A9" s="50"/>
      <c r="B9" s="27" t="s">
        <v>277</v>
      </c>
      <c r="C9" s="125">
        <v>2224.8360917748669</v>
      </c>
      <c r="D9" s="125">
        <v>2205.1045130114248</v>
      </c>
      <c r="E9" s="275">
        <v>-0.88687786198672347</v>
      </c>
      <c r="F9" s="125">
        <v>118.2694048882599</v>
      </c>
      <c r="G9" s="125">
        <v>117.23596679912362</v>
      </c>
      <c r="H9" s="275">
        <v>-0.87380002470855977</v>
      </c>
      <c r="K9" s="33"/>
    </row>
    <row r="10" spans="1:11" ht="14.1" customHeight="1">
      <c r="A10" s="16"/>
      <c r="B10" s="27" t="s">
        <v>278</v>
      </c>
      <c r="C10" s="125">
        <v>2016.3464904444456</v>
      </c>
      <c r="D10" s="125">
        <v>2095.4035597002126</v>
      </c>
      <c r="E10" s="275">
        <v>3.9208077396629015</v>
      </c>
      <c r="F10" s="125">
        <v>65.813417959070364</v>
      </c>
      <c r="G10" s="125">
        <v>76.185261584417248</v>
      </c>
      <c r="H10" s="275">
        <v>15.75946660572647</v>
      </c>
      <c r="K10" s="33"/>
    </row>
    <row r="11" spans="1:11" ht="14.1" customHeight="1">
      <c r="A11" s="16"/>
      <c r="B11" s="27" t="s">
        <v>84</v>
      </c>
      <c r="C11" s="125">
        <v>1734.3307980209602</v>
      </c>
      <c r="D11" s="125">
        <v>1744.8084936499495</v>
      </c>
      <c r="E11" s="275">
        <v>0.60413478449123925</v>
      </c>
      <c r="F11" s="125">
        <v>140.41470185675618</v>
      </c>
      <c r="G11" s="125">
        <v>164.6288210731351</v>
      </c>
      <c r="H11" s="275">
        <v>17.244717893629758</v>
      </c>
      <c r="K11" s="34"/>
    </row>
    <row r="12" spans="1:11" ht="14.1" customHeight="1">
      <c r="A12" s="16"/>
      <c r="B12" s="27" t="s">
        <v>279</v>
      </c>
      <c r="C12" s="125">
        <v>730.51378627600047</v>
      </c>
      <c r="D12" s="125">
        <v>684.72848491327466</v>
      </c>
      <c r="E12" s="275">
        <v>-6.267547885184932</v>
      </c>
      <c r="F12" s="125">
        <v>79.992963308570111</v>
      </c>
      <c r="G12" s="125">
        <v>100.44038532433336</v>
      </c>
      <c r="H12" s="275">
        <v>25.561525876829961</v>
      </c>
      <c r="K12" s="33"/>
    </row>
    <row r="13" spans="1:11" ht="14.1" customHeight="1">
      <c r="A13" s="16"/>
      <c r="B13" s="27" t="s">
        <v>166</v>
      </c>
      <c r="C13" s="125">
        <v>518.51925674444783</v>
      </c>
      <c r="D13" s="125">
        <v>590.12236244471512</v>
      </c>
      <c r="E13" s="275">
        <v>13.809150724667663</v>
      </c>
      <c r="F13" s="125">
        <v>62.090699464557972</v>
      </c>
      <c r="G13" s="125">
        <v>82.860359260153473</v>
      </c>
      <c r="H13" s="275">
        <v>33.450516703312452</v>
      </c>
      <c r="K13" s="33"/>
    </row>
    <row r="14" spans="1:11" ht="14.1" customHeight="1">
      <c r="A14" s="16"/>
      <c r="B14" s="27" t="s">
        <v>280</v>
      </c>
      <c r="C14" s="125">
        <v>614.51628837369526</v>
      </c>
      <c r="D14" s="125">
        <v>617.23613832504418</v>
      </c>
      <c r="E14" s="275">
        <v>0.44260013978587587</v>
      </c>
      <c r="F14" s="125">
        <v>50.929855522192312</v>
      </c>
      <c r="G14" s="125">
        <v>51.81053359500104</v>
      </c>
      <c r="H14" s="275">
        <v>1.7291980583470812</v>
      </c>
      <c r="K14" s="33"/>
    </row>
    <row r="15" spans="1:11" ht="14.1" customHeight="1">
      <c r="A15" s="16"/>
      <c r="B15" s="27" t="s">
        <v>281</v>
      </c>
      <c r="C15" s="125">
        <v>516.3766615290192</v>
      </c>
      <c r="D15" s="125">
        <v>513.5627788897242</v>
      </c>
      <c r="E15" s="275">
        <v>-0.54492831472339187</v>
      </c>
      <c r="F15" s="125">
        <v>62.138932130773462</v>
      </c>
      <c r="G15" s="125">
        <v>62.862823094174836</v>
      </c>
      <c r="H15" s="275">
        <v>1.1649555899639896</v>
      </c>
      <c r="K15" s="51"/>
    </row>
    <row r="16" spans="1:11" ht="14.1" customHeight="1">
      <c r="A16" s="16"/>
      <c r="B16" s="27" t="s">
        <v>282</v>
      </c>
      <c r="C16" s="125">
        <v>42.138765550763871</v>
      </c>
      <c r="D16" s="125">
        <v>26.107586885953094</v>
      </c>
      <c r="E16" s="275">
        <v>-38.043778585536124</v>
      </c>
      <c r="F16" s="125">
        <v>2.6559774711896605E-2</v>
      </c>
      <c r="G16" s="125">
        <v>0.13841728744084578</v>
      </c>
      <c r="H16" s="275">
        <v>421.15384615384619</v>
      </c>
      <c r="K16" s="33"/>
    </row>
    <row r="17" spans="1:11" ht="14.1" customHeight="1">
      <c r="A17" s="16"/>
      <c r="B17" s="27" t="s">
        <v>283</v>
      </c>
      <c r="C17" s="125">
        <v>380.95808320079993</v>
      </c>
      <c r="D17" s="125">
        <v>354.05911175543508</v>
      </c>
      <c r="E17" s="275">
        <v>-7.0608743144023549</v>
      </c>
      <c r="F17" s="125">
        <v>50.16452439599999</v>
      </c>
      <c r="G17" s="125">
        <v>51.568587369599989</v>
      </c>
      <c r="H17" s="275">
        <v>2.798916147427799</v>
      </c>
      <c r="K17" s="33"/>
    </row>
    <row r="18" spans="1:11" ht="14.1" customHeight="1">
      <c r="A18" s="16"/>
      <c r="B18" s="27" t="s">
        <v>284</v>
      </c>
      <c r="C18" s="125">
        <v>290.39414595100129</v>
      </c>
      <c r="D18" s="125">
        <v>276.86886855141734</v>
      </c>
      <c r="E18" s="275">
        <v>-4.6575585590028057</v>
      </c>
      <c r="F18" s="125">
        <v>38.554263411685483</v>
      </c>
      <c r="G18" s="125">
        <v>33.262602116796472</v>
      </c>
      <c r="H18" s="275">
        <v>-13.725229913963677</v>
      </c>
      <c r="K18" s="33"/>
    </row>
    <row r="19" spans="1:11" ht="14.1" customHeight="1">
      <c r="A19" s="16"/>
      <c r="B19" s="27" t="s">
        <v>285</v>
      </c>
      <c r="C19" s="125">
        <v>209.24187080241458</v>
      </c>
      <c r="D19" s="125">
        <v>231.14998127528537</v>
      </c>
      <c r="E19" s="275">
        <v>10.470232553769531</v>
      </c>
      <c r="F19" s="125">
        <v>44.336549808762385</v>
      </c>
      <c r="G19" s="125">
        <v>27.595861273109126</v>
      </c>
      <c r="H19" s="275">
        <v>-37.758212147452078</v>
      </c>
      <c r="K19" s="33"/>
    </row>
    <row r="20" spans="1:11" ht="14.1" customHeight="1">
      <c r="A20" s="16"/>
      <c r="B20" s="27" t="s">
        <v>286</v>
      </c>
      <c r="C20" s="125">
        <v>380.17275040894708</v>
      </c>
      <c r="D20" s="125">
        <v>366.63779800578726</v>
      </c>
      <c r="E20" s="275">
        <v>-3.5602110852501756</v>
      </c>
      <c r="F20" s="125">
        <v>23.603644997908464</v>
      </c>
      <c r="G20" s="125">
        <v>23.117727006110883</v>
      </c>
      <c r="H20" s="275">
        <v>-2.0586565839328608</v>
      </c>
      <c r="K20" s="33"/>
    </row>
    <row r="21" spans="1:11" ht="14.1" customHeight="1">
      <c r="A21" s="16"/>
      <c r="B21" s="27" t="s">
        <v>287</v>
      </c>
      <c r="C21" s="125">
        <v>517.53630058333545</v>
      </c>
      <c r="D21" s="125">
        <v>605.8137270230477</v>
      </c>
      <c r="E21" s="275">
        <v>17.0572433934028</v>
      </c>
      <c r="F21" s="125">
        <v>10.710001326013796</v>
      </c>
      <c r="G21" s="125">
        <v>11.20399114031899</v>
      </c>
      <c r="H21" s="275">
        <v>4.6124159957415811</v>
      </c>
      <c r="K21" s="33"/>
    </row>
    <row r="22" spans="1:11" ht="14.1" customHeight="1">
      <c r="A22" s="16"/>
      <c r="B22" s="27" t="s">
        <v>46</v>
      </c>
      <c r="C22" s="125">
        <v>173.82022966673023</v>
      </c>
      <c r="D22" s="125">
        <v>153.66742428822326</v>
      </c>
      <c r="E22" s="275">
        <v>-11.594050598797645</v>
      </c>
      <c r="F22" s="125">
        <v>25.155085102398104</v>
      </c>
      <c r="G22" s="125">
        <v>17.295706978454081</v>
      </c>
      <c r="H22" s="275">
        <v>-31.24369522882181</v>
      </c>
      <c r="K22" s="33"/>
    </row>
    <row r="23" spans="1:11" ht="14.1" customHeight="1">
      <c r="A23" s="16"/>
      <c r="B23" s="27" t="s">
        <v>288</v>
      </c>
      <c r="C23" s="125">
        <v>39.076260462915855</v>
      </c>
      <c r="D23" s="125">
        <v>51.714314690517654</v>
      </c>
      <c r="E23" s="275">
        <v>32.342025766758219</v>
      </c>
      <c r="F23" s="125">
        <v>6.2657493983902688</v>
      </c>
      <c r="G23" s="125">
        <v>8.5845822446316653</v>
      </c>
      <c r="H23" s="275">
        <v>37.008068768871084</v>
      </c>
      <c r="K23" s="33"/>
    </row>
    <row r="24" spans="1:11" ht="14.1" customHeight="1">
      <c r="A24" s="16"/>
      <c r="B24" s="27" t="s">
        <v>249</v>
      </c>
      <c r="C24" s="125">
        <v>174.64620323503922</v>
      </c>
      <c r="D24" s="125">
        <v>177.07003697999815</v>
      </c>
      <c r="E24" s="275">
        <v>1.387853672202044</v>
      </c>
      <c r="F24" s="125">
        <v>11.322494632833616</v>
      </c>
      <c r="G24" s="125">
        <v>10.260686176481782</v>
      </c>
      <c r="H24" s="275">
        <v>-9.3778667226985579</v>
      </c>
      <c r="K24" s="33"/>
    </row>
    <row r="25" spans="1:11" ht="14.1" customHeight="1">
      <c r="A25" s="16"/>
      <c r="B25" s="27" t="s">
        <v>250</v>
      </c>
      <c r="C25" s="125">
        <v>142.2476554678428</v>
      </c>
      <c r="D25" s="125">
        <v>142.50635560953518</v>
      </c>
      <c r="E25" s="275">
        <v>0.18186601448124673</v>
      </c>
      <c r="F25" s="125">
        <v>28.503825331169473</v>
      </c>
      <c r="G25" s="125">
        <v>22.308615293919114</v>
      </c>
      <c r="H25" s="275">
        <v>-21.734661805114907</v>
      </c>
      <c r="K25" s="33"/>
    </row>
    <row r="26" spans="1:11" ht="14.1" customHeight="1">
      <c r="A26" s="16"/>
      <c r="B26" s="27" t="s">
        <v>251</v>
      </c>
      <c r="C26" s="125">
        <v>209.83869243477008</v>
      </c>
      <c r="D26" s="125">
        <v>191.71133134667241</v>
      </c>
      <c r="E26" s="275">
        <v>-8.6387123736642142</v>
      </c>
      <c r="F26" s="125">
        <v>0.34224101563415366</v>
      </c>
      <c r="G26" s="125">
        <v>0.33452390677466476</v>
      </c>
      <c r="H26" s="275">
        <v>-2.2548755137339449</v>
      </c>
      <c r="K26" s="33"/>
    </row>
    <row r="27" spans="1:11" ht="14.1" customHeight="1">
      <c r="A27" s="16"/>
      <c r="B27" s="27" t="s">
        <v>252</v>
      </c>
      <c r="C27" s="125">
        <v>594.1580974433914</v>
      </c>
      <c r="D27" s="125">
        <v>577.9799415168917</v>
      </c>
      <c r="E27" s="275">
        <v>-2.7228705619115279</v>
      </c>
      <c r="F27" s="125">
        <v>67.060509154063922</v>
      </c>
      <c r="G27" s="125">
        <v>70.558472326047792</v>
      </c>
      <c r="H27" s="275">
        <v>5.216129755215082</v>
      </c>
      <c r="K27" s="33"/>
    </row>
    <row r="28" spans="1:11" ht="14.1" customHeight="1">
      <c r="A28" s="16"/>
      <c r="B28" s="27" t="s">
        <v>253</v>
      </c>
      <c r="C28" s="125">
        <v>133.94136183465525</v>
      </c>
      <c r="D28" s="125">
        <v>137.46363677624015</v>
      </c>
      <c r="E28" s="275">
        <v>2.6297141475483787</v>
      </c>
      <c r="F28" s="125">
        <v>36.984930743266936</v>
      </c>
      <c r="G28" s="125">
        <v>37.661381741578026</v>
      </c>
      <c r="H28" s="275">
        <v>1.8289908476690542</v>
      </c>
      <c r="K28" s="33"/>
    </row>
    <row r="29" spans="1:11" ht="14.1" customHeight="1">
      <c r="A29" s="16"/>
      <c r="B29" s="27" t="s">
        <v>254</v>
      </c>
      <c r="C29" s="125">
        <v>177.02082880841203</v>
      </c>
      <c r="D29" s="125">
        <v>180.42361973460078</v>
      </c>
      <c r="E29" s="275">
        <v>1.922254544334745</v>
      </c>
      <c r="F29" s="125">
        <v>28.765098713662251</v>
      </c>
      <c r="G29" s="125">
        <v>25.575797428191319</v>
      </c>
      <c r="H29" s="275">
        <v>-11.087399063769398</v>
      </c>
      <c r="K29" s="33"/>
    </row>
    <row r="30" spans="1:11" ht="14.1" customHeight="1">
      <c r="A30" s="16"/>
      <c r="B30" s="27" t="s">
        <v>255</v>
      </c>
      <c r="C30" s="125">
        <v>685.77702158390866</v>
      </c>
      <c r="D30" s="125">
        <v>762.62100504856005</v>
      </c>
      <c r="E30" s="275">
        <v>11.205389076345584</v>
      </c>
      <c r="F30" s="125">
        <v>27.28999103950779</v>
      </c>
      <c r="G30" s="125">
        <v>38.084932212241625</v>
      </c>
      <c r="H30" s="275">
        <v>39.556411569010685</v>
      </c>
      <c r="K30" s="33"/>
    </row>
    <row r="31" spans="1:11" ht="14.1" customHeight="1">
      <c r="A31" s="16"/>
      <c r="B31" s="27" t="s">
        <v>146</v>
      </c>
      <c r="C31" s="125">
        <v>297.15144364429847</v>
      </c>
      <c r="D31" s="125">
        <v>326.48342561650111</v>
      </c>
      <c r="E31" s="275">
        <v>9.8710548441131465</v>
      </c>
      <c r="F31" s="125">
        <v>41.862566796366629</v>
      </c>
      <c r="G31" s="125">
        <v>36.04210532105931</v>
      </c>
      <c r="H31" s="275">
        <v>-13.903737684361229</v>
      </c>
      <c r="K31" s="33"/>
    </row>
    <row r="32" spans="1:11" ht="14.1" customHeight="1">
      <c r="A32" s="16"/>
      <c r="B32" s="27" t="s">
        <v>147</v>
      </c>
      <c r="C32" s="125">
        <v>85.029266532001031</v>
      </c>
      <c r="D32" s="125">
        <v>102.34124198828304</v>
      </c>
      <c r="E32" s="275">
        <v>20.360019746573489</v>
      </c>
      <c r="F32" s="125">
        <v>8.900263694744206</v>
      </c>
      <c r="G32" s="125">
        <v>8.1659710030137269</v>
      </c>
      <c r="H32" s="275">
        <v>-8.2502352392558205</v>
      </c>
      <c r="K32" s="33"/>
    </row>
    <row r="33" spans="1:11" ht="14.1" customHeight="1">
      <c r="A33" s="16"/>
      <c r="B33" s="27" t="s">
        <v>141</v>
      </c>
      <c r="C33" s="125">
        <v>91.336866741256529</v>
      </c>
      <c r="D33" s="125">
        <v>97.77512433723831</v>
      </c>
      <c r="E33" s="275">
        <v>7.0489144478980137</v>
      </c>
      <c r="F33" s="125">
        <v>6.412645008421257</v>
      </c>
      <c r="G33" s="125">
        <v>7.7535693265643948</v>
      </c>
      <c r="H33" s="275">
        <v>20.91062761749949</v>
      </c>
      <c r="K33" s="33"/>
    </row>
    <row r="34" spans="1:11" ht="14.1" customHeight="1">
      <c r="A34" s="16"/>
      <c r="B34" s="27" t="s">
        <v>148</v>
      </c>
      <c r="C34" s="125">
        <v>369.98130621197015</v>
      </c>
      <c r="D34" s="125">
        <v>288.81755145968515</v>
      </c>
      <c r="E34" s="275">
        <v>-21.937258285634719</v>
      </c>
      <c r="F34" s="125">
        <v>0.40321771771701947</v>
      </c>
      <c r="G34" s="125">
        <v>0.8420734723588541</v>
      </c>
      <c r="H34" s="275">
        <v>108.83841045641405</v>
      </c>
      <c r="K34" s="33"/>
    </row>
    <row r="35" spans="1:11" ht="14.1" customHeight="1">
      <c r="A35" s="16"/>
      <c r="B35" s="27" t="s">
        <v>149</v>
      </c>
      <c r="C35" s="125">
        <v>120.51709127147573</v>
      </c>
      <c r="D35" s="125">
        <v>128.55655912704873</v>
      </c>
      <c r="E35" s="275">
        <v>6.6708113934341062</v>
      </c>
      <c r="F35" s="125">
        <v>19.990411071044647</v>
      </c>
      <c r="G35" s="125">
        <v>24.54164655006419</v>
      </c>
      <c r="H35" s="275">
        <v>22.76709299696109</v>
      </c>
      <c r="K35" s="51"/>
    </row>
    <row r="36" spans="1:11" ht="14.1" customHeight="1">
      <c r="A36" s="16"/>
      <c r="B36" s="27" t="s">
        <v>258</v>
      </c>
      <c r="C36" s="125">
        <v>69.397845500740829</v>
      </c>
      <c r="D36" s="125">
        <v>71.201773961730382</v>
      </c>
      <c r="E36" s="275">
        <v>2.5994012464987781</v>
      </c>
      <c r="F36" s="125">
        <v>5.9243950724230885</v>
      </c>
      <c r="G36" s="125">
        <v>6.629708581247729</v>
      </c>
      <c r="H36" s="275">
        <v>11.905240960511531</v>
      </c>
      <c r="K36" s="33"/>
    </row>
    <row r="37" spans="1:11" ht="14.1" customHeight="1">
      <c r="A37" s="16"/>
      <c r="B37" s="27" t="s">
        <v>259</v>
      </c>
      <c r="C37" s="125">
        <v>26.933873859716815</v>
      </c>
      <c r="D37" s="125">
        <v>32.32843604570418</v>
      </c>
      <c r="E37" s="275">
        <v>20.028913085746836</v>
      </c>
      <c r="F37" s="125">
        <v>5.6802038632730172</v>
      </c>
      <c r="G37" s="125">
        <v>5.4703928642126849</v>
      </c>
      <c r="H37" s="275">
        <v>-3.6937230442893987</v>
      </c>
      <c r="K37" s="33"/>
    </row>
    <row r="38" spans="1:11" ht="14.1" customHeight="1">
      <c r="A38" s="16"/>
      <c r="B38" s="27" t="s">
        <v>201</v>
      </c>
      <c r="C38" s="125">
        <v>89.739283612569253</v>
      </c>
      <c r="D38" s="125">
        <v>89.655562334673959</v>
      </c>
      <c r="E38" s="275">
        <v>-9.3293900424640253E-2</v>
      </c>
      <c r="F38" s="125">
        <v>9.6456690855293168</v>
      </c>
      <c r="G38" s="125">
        <v>8.9094637829829892</v>
      </c>
      <c r="H38" s="275">
        <v>-7.6324959525182372</v>
      </c>
      <c r="K38" s="33"/>
    </row>
    <row r="39" spans="1:11" ht="14.1" customHeight="1">
      <c r="A39" s="16"/>
      <c r="B39" s="27" t="s">
        <v>202</v>
      </c>
      <c r="C39" s="125">
        <v>71.466465697672064</v>
      </c>
      <c r="D39" s="125">
        <v>52.280993004726554</v>
      </c>
      <c r="E39" s="275">
        <v>-26.845419744284982</v>
      </c>
      <c r="F39" s="125">
        <v>6.4860323164456704</v>
      </c>
      <c r="G39" s="125">
        <v>7.092286182215835</v>
      </c>
      <c r="H39" s="275">
        <v>9.3470682258701707</v>
      </c>
      <c r="K39" s="33"/>
    </row>
    <row r="40" spans="1:11" ht="14.1" customHeight="1">
      <c r="A40" s="16"/>
      <c r="B40" s="27" t="s">
        <v>203</v>
      </c>
      <c r="C40" s="125">
        <v>138.08106579970345</v>
      </c>
      <c r="D40" s="125">
        <v>139.63372452944219</v>
      </c>
      <c r="E40" s="275">
        <v>1.1244544795091516</v>
      </c>
      <c r="F40" s="125">
        <v>14.92053887205145</v>
      </c>
      <c r="G40" s="125">
        <v>14.831625026415994</v>
      </c>
      <c r="H40" s="275">
        <v>-0.59591578024039693</v>
      </c>
      <c r="K40" s="33"/>
    </row>
    <row r="41" spans="1:11" ht="14.1" customHeight="1">
      <c r="A41" s="16"/>
      <c r="B41" s="27" t="s">
        <v>265</v>
      </c>
      <c r="C41" s="125">
        <v>15.827516418181158</v>
      </c>
      <c r="D41" s="125">
        <v>19.138100649160229</v>
      </c>
      <c r="E41" s="275">
        <v>20.916637478108591</v>
      </c>
      <c r="F41" s="125">
        <v>3.9360898973410237</v>
      </c>
      <c r="G41" s="125">
        <v>3.0490837232923425</v>
      </c>
      <c r="H41" s="275">
        <v>-22.535211267605625</v>
      </c>
      <c r="K41" s="51"/>
    </row>
    <row r="42" spans="1:11" ht="14.1" customHeight="1">
      <c r="A42" s="16"/>
      <c r="B42" s="27" t="s">
        <v>297</v>
      </c>
      <c r="C42" s="125">
        <v>85.121824809517719</v>
      </c>
      <c r="D42" s="125">
        <v>88.217772577124236</v>
      </c>
      <c r="E42" s="275">
        <v>3.6370787098778834</v>
      </c>
      <c r="F42" s="125">
        <v>1.3145957889187641</v>
      </c>
      <c r="G42" s="125">
        <v>3.2865469964369649</v>
      </c>
      <c r="H42" s="275">
        <v>150.00437580437574</v>
      </c>
      <c r="K42" s="33"/>
    </row>
    <row r="43" spans="1:11" ht="14.1" customHeight="1">
      <c r="A43" s="16"/>
      <c r="B43" s="27" t="s">
        <v>298</v>
      </c>
      <c r="C43" s="125">
        <v>172.6410720734647</v>
      </c>
      <c r="D43" s="125">
        <v>211.70013494290387</v>
      </c>
      <c r="E43" s="275">
        <v>22.624432529484185</v>
      </c>
      <c r="F43" s="125">
        <v>25.466339657836173</v>
      </c>
      <c r="G43" s="125">
        <v>24.769398358985683</v>
      </c>
      <c r="H43" s="275">
        <v>-2.736715634105813</v>
      </c>
      <c r="K43" s="33"/>
    </row>
    <row r="44" spans="1:11" ht="14.1" customHeight="1">
      <c r="A44" s="16"/>
      <c r="B44" s="27" t="s">
        <v>260</v>
      </c>
      <c r="C44" s="125">
        <v>93.778311560195021</v>
      </c>
      <c r="D44" s="125">
        <v>96.950440586052878</v>
      </c>
      <c r="E44" s="275">
        <v>3.3825827881553527</v>
      </c>
      <c r="F44" s="125">
        <v>5.6479004719769561</v>
      </c>
      <c r="G44" s="125">
        <v>7.5707052366943151</v>
      </c>
      <c r="H44" s="275">
        <v>34.04459363718766</v>
      </c>
      <c r="K44" s="33"/>
    </row>
    <row r="45" spans="1:11" ht="14.1" customHeight="1">
      <c r="A45" s="16"/>
      <c r="B45" s="27" t="s">
        <v>261</v>
      </c>
      <c r="C45" s="125">
        <v>56.551870922732348</v>
      </c>
      <c r="D45" s="125">
        <v>59.33733232875089</v>
      </c>
      <c r="E45" s="275">
        <v>4.9254982382888057</v>
      </c>
      <c r="F45" s="125">
        <v>11.444914158496854</v>
      </c>
      <c r="G45" s="125">
        <v>11.406824263702905</v>
      </c>
      <c r="H45" s="275">
        <v>-0.33281066390236091</v>
      </c>
      <c r="K45" s="33"/>
    </row>
    <row r="46" spans="1:11" ht="14.1" customHeight="1">
      <c r="A46" s="16"/>
      <c r="B46" s="27" t="s">
        <v>262</v>
      </c>
      <c r="C46" s="125">
        <v>41.616532004240966</v>
      </c>
      <c r="D46" s="125">
        <v>40.953126342743658</v>
      </c>
      <c r="E46" s="275">
        <v>-1.5940916495149171</v>
      </c>
      <c r="F46" s="125">
        <v>6.7866638615755974</v>
      </c>
      <c r="G46" s="125">
        <v>7.0893075231208922</v>
      </c>
      <c r="H46" s="275">
        <v>4.4593878187895619</v>
      </c>
      <c r="K46" s="33"/>
    </row>
    <row r="47" spans="1:11" ht="14.1" customHeight="1">
      <c r="A47" s="16"/>
      <c r="B47" s="27" t="s">
        <v>263</v>
      </c>
      <c r="C47" s="125">
        <v>54.122365893462259</v>
      </c>
      <c r="D47" s="125">
        <v>65.136240409754606</v>
      </c>
      <c r="E47" s="275">
        <v>20.349950218312184</v>
      </c>
      <c r="F47" s="125">
        <v>5.1454737701273459</v>
      </c>
      <c r="G47" s="125">
        <v>6.7266199016950132</v>
      </c>
      <c r="H47" s="275">
        <v>30.728873612128726</v>
      </c>
      <c r="K47" s="51"/>
    </row>
    <row r="48" spans="1:11" ht="14.1" customHeight="1">
      <c r="A48" s="16"/>
      <c r="B48" s="27" t="s">
        <v>87</v>
      </c>
      <c r="C48" s="125">
        <v>39.828640746230292</v>
      </c>
      <c r="D48" s="125">
        <v>40.703655540094047</v>
      </c>
      <c r="E48" s="275">
        <v>2.1969486717835718</v>
      </c>
      <c r="F48" s="125">
        <v>4.3193445829248791</v>
      </c>
      <c r="G48" s="125">
        <v>4.607906231414713</v>
      </c>
      <c r="H48" s="275">
        <v>6.6806813614863847</v>
      </c>
      <c r="K48" s="51"/>
    </row>
    <row r="49" spans="1:11" ht="14.1" customHeight="1">
      <c r="A49" s="16"/>
      <c r="B49" s="27" t="s">
        <v>211</v>
      </c>
      <c r="C49" s="125">
        <v>43.064297136891398</v>
      </c>
      <c r="D49" s="125">
        <v>48.409248915093769</v>
      </c>
      <c r="E49" s="275">
        <v>12.411561626588297</v>
      </c>
      <c r="F49" s="125">
        <v>4.2499815369686447</v>
      </c>
      <c r="G49" s="125">
        <v>4.4532512766449681</v>
      </c>
      <c r="H49" s="275">
        <v>4.7828381819585042</v>
      </c>
      <c r="K49" s="51"/>
    </row>
    <row r="50" spans="1:11" ht="14.1" customHeight="1">
      <c r="A50" s="12"/>
      <c r="B50" s="26" t="s">
        <v>264</v>
      </c>
      <c r="C50" s="126">
        <v>46.193784726873353</v>
      </c>
      <c r="D50" s="126">
        <v>47.385463074490936</v>
      </c>
      <c r="E50" s="276">
        <v>2.5797374141641294</v>
      </c>
      <c r="F50" s="126">
        <v>0.53146105297516766</v>
      </c>
      <c r="G50" s="126">
        <v>1.1064794750749982</v>
      </c>
      <c r="H50" s="276">
        <v>108.1957782006461</v>
      </c>
      <c r="K50" s="33"/>
    </row>
    <row r="51" spans="1:11" ht="14.25" customHeight="1">
      <c r="A51" s="16"/>
      <c r="B51" s="27"/>
      <c r="C51" s="8"/>
      <c r="D51" s="8"/>
      <c r="E51" s="306"/>
      <c r="F51" s="8"/>
      <c r="G51" s="8"/>
      <c r="H51" s="123" t="s">
        <v>0</v>
      </c>
      <c r="K51" s="33"/>
    </row>
    <row r="52" spans="1:11" ht="14.25" customHeight="1">
      <c r="A52" s="66" t="s">
        <v>112</v>
      </c>
      <c r="B52" s="27"/>
      <c r="C52" s="8"/>
      <c r="D52" s="8"/>
      <c r="E52" s="64"/>
      <c r="F52" s="8"/>
      <c r="G52" s="8"/>
      <c r="H52" s="64"/>
      <c r="K52" s="33"/>
    </row>
    <row r="53" spans="1:11" ht="12" customHeight="1">
      <c r="A53" s="508" t="s">
        <v>230</v>
      </c>
      <c r="B53" s="509"/>
      <c r="C53" s="495" t="s">
        <v>484</v>
      </c>
      <c r="D53" s="496"/>
      <c r="E53" s="497"/>
      <c r="F53" s="495" t="s">
        <v>485</v>
      </c>
      <c r="G53" s="496"/>
      <c r="H53" s="497"/>
      <c r="K53" s="33"/>
    </row>
    <row r="54" spans="1:11" ht="12" customHeight="1">
      <c r="A54" s="510"/>
      <c r="B54" s="511"/>
      <c r="C54" s="336" t="s">
        <v>343</v>
      </c>
      <c r="D54" s="336" t="s">
        <v>349</v>
      </c>
      <c r="E54" s="336" t="s">
        <v>54</v>
      </c>
      <c r="F54" s="336" t="s">
        <v>343</v>
      </c>
      <c r="G54" s="336" t="s">
        <v>349</v>
      </c>
      <c r="H54" s="336" t="s">
        <v>54</v>
      </c>
      <c r="K54" s="33"/>
    </row>
    <row r="55" spans="1:11" ht="14.1" customHeight="1">
      <c r="A55" s="16"/>
      <c r="B55" s="27" t="s">
        <v>61</v>
      </c>
      <c r="C55" s="125">
        <v>34.938361420515371</v>
      </c>
      <c r="D55" s="125">
        <v>36.50178747121074</v>
      </c>
      <c r="E55" s="282">
        <v>4.4748121752995029</v>
      </c>
      <c r="F55" s="127">
        <v>4.1491026452273108</v>
      </c>
      <c r="G55" s="127">
        <v>4.1565623603911082</v>
      </c>
      <c r="H55" s="282">
        <v>0.17979104885192942</v>
      </c>
      <c r="K55" s="34"/>
    </row>
    <row r="56" spans="1:11" ht="14.1" customHeight="1">
      <c r="A56" s="52"/>
      <c r="B56" s="27" t="s">
        <v>62</v>
      </c>
      <c r="C56" s="127">
        <v>115.37136711700477</v>
      </c>
      <c r="D56" s="127">
        <v>123.13099954551916</v>
      </c>
      <c r="E56" s="230">
        <v>6.72578701494011</v>
      </c>
      <c r="F56" s="127">
        <v>2.119544765902222</v>
      </c>
      <c r="G56" s="127">
        <v>1.2847720997709329</v>
      </c>
      <c r="H56" s="230">
        <v>-39.384526317185532</v>
      </c>
      <c r="K56" s="53"/>
    </row>
    <row r="57" spans="1:11" ht="14.1" customHeight="1">
      <c r="A57" s="16"/>
      <c r="B57" s="27" t="s">
        <v>91</v>
      </c>
      <c r="C57" s="125">
        <v>36.678213930891829</v>
      </c>
      <c r="D57" s="125">
        <v>36.025453923669779</v>
      </c>
      <c r="E57" s="229">
        <v>-1.7796940942979456</v>
      </c>
      <c r="F57" s="125">
        <v>1.2826426759171019</v>
      </c>
      <c r="G57" s="125">
        <v>1.6135074441292372</v>
      </c>
      <c r="H57" s="229">
        <v>25.79555276184491</v>
      </c>
      <c r="K57" s="34"/>
    </row>
    <row r="58" spans="1:11" ht="14.1" customHeight="1">
      <c r="A58" s="16"/>
      <c r="B58" s="27" t="s">
        <v>63</v>
      </c>
      <c r="C58" s="125">
        <v>30.565409257516993</v>
      </c>
      <c r="D58" s="125">
        <v>25.054353277690868</v>
      </c>
      <c r="E58" s="229">
        <v>-18.030368687017607</v>
      </c>
      <c r="F58" s="125">
        <v>0.20551758094750544</v>
      </c>
      <c r="G58" s="125">
        <v>9.9502519462957115E-2</v>
      </c>
      <c r="H58" s="229">
        <v>-51.584424551798968</v>
      </c>
      <c r="K58" s="34"/>
    </row>
    <row r="59" spans="1:11" ht="14.1" customHeight="1">
      <c r="A59" s="16"/>
      <c r="B59" s="27" t="s">
        <v>142</v>
      </c>
      <c r="C59" s="125">
        <v>8.2790530986504454</v>
      </c>
      <c r="D59" s="125">
        <v>12.60438794769501</v>
      </c>
      <c r="E59" s="230">
        <v>52.244318251197463</v>
      </c>
      <c r="F59" s="125">
        <v>0.79216675672710135</v>
      </c>
      <c r="G59" s="125">
        <v>0.91751540217079375</v>
      </c>
      <c r="H59" s="230">
        <v>15.823517508053486</v>
      </c>
      <c r="K59" s="34"/>
    </row>
    <row r="60" spans="1:11" ht="14.1" customHeight="1">
      <c r="A60" s="16"/>
      <c r="B60" s="27" t="s">
        <v>118</v>
      </c>
      <c r="C60" s="125">
        <v>32.128914024488836</v>
      </c>
      <c r="D60" s="125">
        <v>33.87109167444784</v>
      </c>
      <c r="E60" s="230">
        <v>5.4224604312212543</v>
      </c>
      <c r="F60" s="125">
        <v>1.0020671275112996</v>
      </c>
      <c r="G60" s="125">
        <v>1.027077674706907</v>
      </c>
      <c r="H60" s="230">
        <v>2.4958953855439558</v>
      </c>
      <c r="K60" s="34"/>
    </row>
    <row r="61" spans="1:11" ht="14.1" customHeight="1">
      <c r="A61" s="16"/>
      <c r="B61" s="27" t="s">
        <v>119</v>
      </c>
      <c r="C61" s="125">
        <v>39.229881565353047</v>
      </c>
      <c r="D61" s="125">
        <v>39.101082952132977</v>
      </c>
      <c r="E61" s="230">
        <v>-0.32831761932674564</v>
      </c>
      <c r="F61" s="125">
        <v>5.9601931222297768</v>
      </c>
      <c r="G61" s="125">
        <v>5.325535121869839</v>
      </c>
      <c r="H61" s="230">
        <v>-10.648279130299477</v>
      </c>
      <c r="K61" s="34"/>
    </row>
    <row r="62" spans="1:11" ht="14.1" customHeight="1">
      <c r="A62" s="16"/>
      <c r="B62" s="27" t="s">
        <v>60</v>
      </c>
      <c r="C62" s="125">
        <v>27.432699740279531</v>
      </c>
      <c r="D62" s="125">
        <v>25.5418777025859</v>
      </c>
      <c r="E62" s="230">
        <v>-6.892584600112583</v>
      </c>
      <c r="F62" s="125">
        <v>2.8743579083677364</v>
      </c>
      <c r="G62" s="125">
        <v>3.1821879958659203</v>
      </c>
      <c r="H62" s="230">
        <v>10.709525303096012</v>
      </c>
      <c r="K62" s="34"/>
    </row>
    <row r="63" spans="1:11" ht="14.1" customHeight="1">
      <c r="A63" s="16"/>
      <c r="B63" s="27" t="s">
        <v>120</v>
      </c>
      <c r="C63" s="125">
        <v>1.8485946289721034</v>
      </c>
      <c r="D63" s="125">
        <v>2.0189304077902523</v>
      </c>
      <c r="E63" s="230">
        <v>9.2143391606013036</v>
      </c>
      <c r="F63" s="125">
        <v>0.73621246200764723</v>
      </c>
      <c r="G63" s="125">
        <v>0.62478876969201003</v>
      </c>
      <c r="H63" s="230">
        <v>-15.134719672061159</v>
      </c>
      <c r="K63" s="34"/>
    </row>
    <row r="64" spans="1:11" ht="14.1" customHeight="1">
      <c r="A64" s="16"/>
      <c r="B64" s="27" t="s">
        <v>121</v>
      </c>
      <c r="C64" s="125">
        <v>46.486548498941346</v>
      </c>
      <c r="D64" s="125">
        <v>51.892641709735976</v>
      </c>
      <c r="E64" s="230">
        <v>11.629371044653357</v>
      </c>
      <c r="F64" s="125">
        <v>5.6645900531353615</v>
      </c>
      <c r="G64" s="125">
        <v>6.5143847906584815</v>
      </c>
      <c r="H64" s="230">
        <v>15.001875326401715</v>
      </c>
      <c r="K64" s="34"/>
    </row>
    <row r="65" spans="1:11" ht="14.1" customHeight="1">
      <c r="A65" s="16"/>
      <c r="B65" s="27" t="s">
        <v>129</v>
      </c>
      <c r="C65" s="125">
        <v>19.322427613471234</v>
      </c>
      <c r="D65" s="125">
        <v>21.216252491666918</v>
      </c>
      <c r="E65" s="230">
        <v>9.8011746561045285</v>
      </c>
      <c r="F65" s="125">
        <v>0.24939424670202384</v>
      </c>
      <c r="G65" s="125">
        <v>0.33829471753568863</v>
      </c>
      <c r="H65" s="230">
        <v>35.646560419608655</v>
      </c>
      <c r="K65" s="34"/>
    </row>
    <row r="66" spans="1:11" ht="14.1" customHeight="1">
      <c r="A66" s="16"/>
      <c r="B66" s="27" t="s">
        <v>139</v>
      </c>
      <c r="C66" s="125">
        <v>27.338658295778846</v>
      </c>
      <c r="D66" s="125">
        <v>25.284382554131025</v>
      </c>
      <c r="E66" s="230">
        <v>-7.5141790771970918</v>
      </c>
      <c r="F66" s="125">
        <v>1.6335770596513459</v>
      </c>
      <c r="G66" s="125">
        <v>0.900210748694797</v>
      </c>
      <c r="H66" s="230">
        <v>-44.893279237960847</v>
      </c>
      <c r="K66" s="34"/>
    </row>
    <row r="67" spans="1:11" ht="14.1" customHeight="1">
      <c r="A67" s="16"/>
      <c r="B67" s="27" t="s">
        <v>167</v>
      </c>
      <c r="C67" s="125">
        <v>35.550083400079643</v>
      </c>
      <c r="D67" s="125">
        <v>40.483651299852419</v>
      </c>
      <c r="E67" s="230">
        <v>13.877795571533657</v>
      </c>
      <c r="F67" s="125">
        <v>3.7056474722337542</v>
      </c>
      <c r="G67" s="125">
        <v>4.2371151185972904</v>
      </c>
      <c r="H67" s="230">
        <v>14.342099466983814</v>
      </c>
      <c r="K67" s="34"/>
    </row>
    <row r="68" spans="1:11" ht="14.1" customHeight="1">
      <c r="A68" s="16"/>
      <c r="B68" s="27" t="s">
        <v>140</v>
      </c>
      <c r="C68" s="125">
        <v>11.579097592036224</v>
      </c>
      <c r="D68" s="125">
        <v>13.069045418386267</v>
      </c>
      <c r="E68" s="230">
        <v>12.867564285620903</v>
      </c>
      <c r="F68" s="125">
        <v>6.8702349697319962E-2</v>
      </c>
      <c r="G68" s="125">
        <v>9.3023408974572869E-2</v>
      </c>
      <c r="H68" s="230">
        <v>35.40062222675575</v>
      </c>
      <c r="K68" s="34"/>
    </row>
    <row r="69" spans="1:11" ht="14.1" customHeight="1">
      <c r="A69" s="16"/>
      <c r="B69" s="27" t="s">
        <v>45</v>
      </c>
      <c r="C69" s="125">
        <v>29.643117709370543</v>
      </c>
      <c r="D69" s="125">
        <v>48.33786835084932</v>
      </c>
      <c r="E69" s="230">
        <v>63.066074306917926</v>
      </c>
      <c r="F69" s="125">
        <v>4.2485443711656057</v>
      </c>
      <c r="G69" s="125">
        <v>6.1371866478866677</v>
      </c>
      <c r="H69" s="230">
        <v>44.4538672948567</v>
      </c>
      <c r="K69" s="34"/>
    </row>
    <row r="70" spans="1:11" ht="14.1" customHeight="1">
      <c r="A70" s="16"/>
      <c r="B70" s="27" t="s">
        <v>43</v>
      </c>
      <c r="C70" s="125">
        <v>12.899939977325834</v>
      </c>
      <c r="D70" s="125">
        <v>13.489714239146307</v>
      </c>
      <c r="E70" s="230">
        <v>4.5719147752401712</v>
      </c>
      <c r="F70" s="125">
        <v>1.9607369357515991</v>
      </c>
      <c r="G70" s="125">
        <v>2.0523858346602166</v>
      </c>
      <c r="H70" s="230">
        <v>4.6742067861075043</v>
      </c>
      <c r="K70" s="34"/>
    </row>
    <row r="71" spans="1:11" ht="14.1" customHeight="1">
      <c r="A71" s="16"/>
      <c r="B71" s="27" t="s">
        <v>44</v>
      </c>
      <c r="C71" s="125">
        <v>5.7084116292268652</v>
      </c>
      <c r="D71" s="125">
        <v>9.6875697398272091</v>
      </c>
      <c r="E71" s="230">
        <v>69.706923204822786</v>
      </c>
      <c r="F71" s="125">
        <v>1.5277553861219471</v>
      </c>
      <c r="G71" s="125">
        <v>3.7334324323279149</v>
      </c>
      <c r="H71" s="230">
        <v>144.37370447142433</v>
      </c>
      <c r="K71" s="34"/>
    </row>
    <row r="72" spans="1:11" ht="14.1" customHeight="1">
      <c r="A72" s="16"/>
      <c r="B72" s="27" t="s">
        <v>180</v>
      </c>
      <c r="C72" s="125">
        <v>345.61534683000002</v>
      </c>
      <c r="D72" s="125">
        <v>430.39709583000001</v>
      </c>
      <c r="E72" s="230">
        <v>24.530666759338704</v>
      </c>
      <c r="F72" s="125">
        <v>200.36907930000001</v>
      </c>
      <c r="G72" s="125">
        <v>260.5879185</v>
      </c>
      <c r="H72" s="230">
        <v>30.053958130854163</v>
      </c>
      <c r="K72" s="34"/>
    </row>
    <row r="73" spans="1:11" ht="14.1" customHeight="1">
      <c r="A73" s="16"/>
      <c r="B73" s="27" t="s">
        <v>181</v>
      </c>
      <c r="C73" s="125">
        <v>37.188882475758533</v>
      </c>
      <c r="D73" s="125">
        <v>40.721313498794274</v>
      </c>
      <c r="E73" s="230">
        <v>9.4986210605773067</v>
      </c>
      <c r="F73" s="125">
        <v>0.1255540672332735</v>
      </c>
      <c r="G73" s="125">
        <v>2.1772381601145693E-2</v>
      </c>
      <c r="H73" s="230">
        <v>-82.658959537572258</v>
      </c>
      <c r="K73" s="34"/>
    </row>
    <row r="74" spans="1:11" ht="14.1" customHeight="1">
      <c r="A74" s="16"/>
      <c r="B74" s="27" t="s">
        <v>182</v>
      </c>
      <c r="C74" s="125">
        <v>15.103987800448365</v>
      </c>
      <c r="D74" s="125">
        <v>17.085967660733697</v>
      </c>
      <c r="E74" s="253">
        <v>13.122228953511851</v>
      </c>
      <c r="F74" s="125">
        <v>3.8907082944095611E-3</v>
      </c>
      <c r="G74" s="125">
        <v>8.9132590017382676E-2</v>
      </c>
      <c r="H74" s="253">
        <v>2190.909090909091</v>
      </c>
      <c r="K74" s="34"/>
    </row>
    <row r="75" spans="1:11" ht="14.1" customHeight="1">
      <c r="A75" s="16"/>
      <c r="B75" s="27" t="s">
        <v>59</v>
      </c>
      <c r="C75" s="125">
        <v>26.893061080656587</v>
      </c>
      <c r="D75" s="125">
        <v>25.833163232223441</v>
      </c>
      <c r="E75" s="230">
        <v>-3.9411573314556581</v>
      </c>
      <c r="F75" s="125">
        <v>1.6240453811253639</v>
      </c>
      <c r="G75" s="125">
        <v>1.7701191950921724</v>
      </c>
      <c r="H75" s="230">
        <v>8.9944416371904765</v>
      </c>
      <c r="K75" s="34"/>
    </row>
    <row r="76" spans="1:11" ht="14.1" customHeight="1">
      <c r="A76" s="16"/>
      <c r="B76" s="27" t="s">
        <v>183</v>
      </c>
      <c r="C76" s="125">
        <v>6.5672640681707337</v>
      </c>
      <c r="D76" s="125">
        <v>7.9893675104629009</v>
      </c>
      <c r="E76" s="230">
        <v>21.654427590092084</v>
      </c>
      <c r="F76" s="125">
        <v>0.47533306617514726</v>
      </c>
      <c r="G76" s="125">
        <v>2.5534815976084144</v>
      </c>
      <c r="H76" s="230">
        <v>437.1983939925455</v>
      </c>
      <c r="K76" s="34"/>
    </row>
    <row r="77" spans="1:11" ht="14.1" customHeight="1">
      <c r="A77" s="16"/>
      <c r="B77" s="27" t="s">
        <v>184</v>
      </c>
      <c r="C77" s="125">
        <v>17.700704265240514</v>
      </c>
      <c r="D77" s="125">
        <v>15.415186835233557</v>
      </c>
      <c r="E77" s="230">
        <v>-12.912014097061132</v>
      </c>
      <c r="F77" s="125">
        <v>5.7592690666873831E-3</v>
      </c>
      <c r="G77" s="125">
        <v>0.42133600014186645</v>
      </c>
      <c r="H77" s="230">
        <v>7215.7894736842109</v>
      </c>
      <c r="K77" s="34"/>
    </row>
    <row r="78" spans="1:11" ht="14.1" customHeight="1">
      <c r="A78" s="16"/>
      <c r="B78" s="27" t="s">
        <v>130</v>
      </c>
      <c r="C78" s="125">
        <v>16.950297819260495</v>
      </c>
      <c r="D78" s="125">
        <v>12.720651595770402</v>
      </c>
      <c r="E78" s="230">
        <v>-24.953226595723756</v>
      </c>
      <c r="F78" s="125">
        <v>1.1828388077261183</v>
      </c>
      <c r="G78" s="125">
        <v>1.1812057967152696</v>
      </c>
      <c r="H78" s="230">
        <v>-0.13805862643178068</v>
      </c>
      <c r="K78" s="34"/>
    </row>
    <row r="79" spans="1:11" ht="14.1" customHeight="1">
      <c r="A79" s="16"/>
      <c r="B79" s="27" t="s">
        <v>185</v>
      </c>
      <c r="C79" s="125">
        <v>6.3373829524891461</v>
      </c>
      <c r="D79" s="125">
        <v>5.5701559279773454</v>
      </c>
      <c r="E79" s="230">
        <v>-12.106369936354488</v>
      </c>
      <c r="F79" s="125">
        <v>3.948625941043908</v>
      </c>
      <c r="G79" s="125">
        <v>3.8428150566376909</v>
      </c>
      <c r="H79" s="230">
        <v>-2.679688731879315</v>
      </c>
      <c r="K79" s="34"/>
    </row>
    <row r="80" spans="1:11" ht="14.1" customHeight="1">
      <c r="A80" s="16"/>
      <c r="B80" s="27" t="s">
        <v>186</v>
      </c>
      <c r="C80" s="125">
        <v>4.2238436543654348E-2</v>
      </c>
      <c r="D80" s="125">
        <v>0.34353928388838878</v>
      </c>
      <c r="E80" s="230">
        <v>713.33333333333348</v>
      </c>
      <c r="F80" s="125">
        <v>2.3465798079807974E-3</v>
      </c>
      <c r="G80" s="125">
        <v>0.136746938310081</v>
      </c>
      <c r="H80" s="230">
        <v>5727.5000000000009</v>
      </c>
      <c r="K80" s="34"/>
    </row>
    <row r="81" spans="1:11" ht="14.1" customHeight="1">
      <c r="A81" s="16"/>
      <c r="B81" s="27" t="s">
        <v>51</v>
      </c>
      <c r="C81" s="125">
        <v>6.0108893832585224</v>
      </c>
      <c r="D81" s="125">
        <v>7.0873014967287258</v>
      </c>
      <c r="E81" s="230">
        <v>17.907701254130835</v>
      </c>
      <c r="F81" s="125">
        <v>0.72973916851547693</v>
      </c>
      <c r="G81" s="125">
        <v>1.2361282179426905</v>
      </c>
      <c r="H81" s="230">
        <v>69.393157346531225</v>
      </c>
      <c r="K81" s="34"/>
    </row>
    <row r="82" spans="1:11" ht="14.1" customHeight="1">
      <c r="A82" s="16"/>
      <c r="B82" s="27" t="s">
        <v>204</v>
      </c>
      <c r="C82" s="125">
        <v>8.326685757615385</v>
      </c>
      <c r="D82" s="125">
        <v>7.8188094422639054</v>
      </c>
      <c r="E82" s="230">
        <v>-6.0993813161135391</v>
      </c>
      <c r="F82" s="125">
        <v>1.0082522768667084</v>
      </c>
      <c r="G82" s="125">
        <v>0.91759870229950313</v>
      </c>
      <c r="H82" s="230">
        <v>-8.9911599157429638</v>
      </c>
      <c r="K82" s="34"/>
    </row>
    <row r="83" spans="1:11" ht="14.1" customHeight="1">
      <c r="A83" s="16"/>
      <c r="B83" s="27" t="s">
        <v>205</v>
      </c>
      <c r="C83" s="125">
        <v>4.6671887077906629</v>
      </c>
      <c r="D83" s="125">
        <v>4.5746121916950688</v>
      </c>
      <c r="E83" s="230">
        <v>-1.9835605948621993</v>
      </c>
      <c r="F83" s="125">
        <v>1.2534426359322139</v>
      </c>
      <c r="G83" s="125">
        <v>1.2936169948096066</v>
      </c>
      <c r="H83" s="230">
        <v>3.2051214571549913</v>
      </c>
      <c r="K83" s="34"/>
    </row>
    <row r="84" spans="1:11" ht="14.1" customHeight="1">
      <c r="A84" s="16"/>
      <c r="B84" s="27" t="s">
        <v>206</v>
      </c>
      <c r="C84" s="125">
        <v>0.59503580126051236</v>
      </c>
      <c r="D84" s="125">
        <v>0.6118018259150112</v>
      </c>
      <c r="E84" s="230">
        <v>2.8176497311560134</v>
      </c>
      <c r="F84" s="125">
        <v>3.8757053762215207E-2</v>
      </c>
      <c r="G84" s="125">
        <v>3.9585611342943319E-2</v>
      </c>
      <c r="H84" s="230">
        <v>2.1378239579600944</v>
      </c>
      <c r="K84" s="34"/>
    </row>
    <row r="85" spans="1:11" ht="14.1" customHeight="1">
      <c r="A85" s="16"/>
      <c r="B85" s="27" t="s">
        <v>207</v>
      </c>
      <c r="C85" s="125">
        <v>1379.6726614924992</v>
      </c>
      <c r="D85" s="125">
        <v>1428.7127232410567</v>
      </c>
      <c r="E85" s="230">
        <v>3.5544707898688799</v>
      </c>
      <c r="F85" s="125">
        <v>113.84001700529075</v>
      </c>
      <c r="G85" s="125">
        <v>120.46158113533374</v>
      </c>
      <c r="H85" s="230">
        <v>5.8165523022851051</v>
      </c>
      <c r="K85" s="34"/>
    </row>
    <row r="86" spans="1:11" ht="15.95" customHeight="1">
      <c r="A86" s="361" t="s">
        <v>208</v>
      </c>
      <c r="B86" s="365"/>
      <c r="C86" s="366">
        <v>9635.0620727439527</v>
      </c>
      <c r="D86" s="366">
        <v>9733.7136659614298</v>
      </c>
      <c r="E86" s="337">
        <v>1.0238812419957943</v>
      </c>
      <c r="F86" s="366">
        <v>1191.7155206249799</v>
      </c>
      <c r="G86" s="366">
        <v>1221.5585574940942</v>
      </c>
      <c r="H86" s="337">
        <v>2.5042081228801472</v>
      </c>
      <c r="K86" s="34"/>
    </row>
    <row r="87" spans="1:11" ht="14.1" customHeight="1">
      <c r="A87" s="16"/>
      <c r="B87" s="56" t="s">
        <v>299</v>
      </c>
      <c r="C87" s="125">
        <v>5280.0564825186366</v>
      </c>
      <c r="D87" s="125">
        <v>5298.7322399022469</v>
      </c>
      <c r="E87" s="230">
        <v>0.35370374247780667</v>
      </c>
      <c r="F87" s="125">
        <v>656.66177806017993</v>
      </c>
      <c r="G87" s="125">
        <v>678.68172444831953</v>
      </c>
      <c r="H87" s="230">
        <v>3.3533162921691506</v>
      </c>
      <c r="K87" s="34"/>
    </row>
    <row r="88" spans="1:11" ht="14.1" customHeight="1">
      <c r="A88" s="16"/>
      <c r="B88" s="56" t="s">
        <v>301</v>
      </c>
      <c r="C88" s="125">
        <v>269.11423142193217</v>
      </c>
      <c r="D88" s="125">
        <v>273.85147079155576</v>
      </c>
      <c r="E88" s="230">
        <v>1.7603080092023271</v>
      </c>
      <c r="F88" s="125">
        <v>35.028400246735792</v>
      </c>
      <c r="G88" s="125">
        <v>35.536678520442507</v>
      </c>
      <c r="H88" s="230">
        <v>1.451046208580653</v>
      </c>
    </row>
    <row r="89" spans="1:11" ht="14.1" customHeight="1">
      <c r="A89" s="16"/>
      <c r="B89" s="56" t="s">
        <v>291</v>
      </c>
      <c r="C89" s="125">
        <v>528.25755358077367</v>
      </c>
      <c r="D89" s="125">
        <v>543.98773319962731</v>
      </c>
      <c r="E89" s="230">
        <v>2.977748167011951</v>
      </c>
      <c r="F89" s="125">
        <v>67.263834446231513</v>
      </c>
      <c r="G89" s="125">
        <v>69.417689962798093</v>
      </c>
      <c r="H89" s="230">
        <v>3.202100406999997</v>
      </c>
    </row>
    <row r="90" spans="1:11" ht="14.1" customHeight="1">
      <c r="A90" s="16"/>
      <c r="B90" s="56" t="s">
        <v>104</v>
      </c>
      <c r="C90" s="125">
        <v>1056.8926079589639</v>
      </c>
      <c r="D90" s="125">
        <v>1072.1455863006267</v>
      </c>
      <c r="E90" s="230">
        <v>1.4431909379249763</v>
      </c>
      <c r="F90" s="125">
        <v>132.24236630314604</v>
      </c>
      <c r="G90" s="125">
        <v>132.8737276488564</v>
      </c>
      <c r="H90" s="230">
        <v>0.477427441265732</v>
      </c>
    </row>
    <row r="91" spans="1:11" ht="14.1" customHeight="1">
      <c r="A91" s="16"/>
      <c r="B91" s="56" t="s">
        <v>106</v>
      </c>
      <c r="C91" s="125">
        <v>30.947251078498653</v>
      </c>
      <c r="D91" s="125">
        <v>30.851671939403769</v>
      </c>
      <c r="E91" s="230">
        <v>-0.30884532798226561</v>
      </c>
      <c r="F91" s="125">
        <v>4.0271016120371153</v>
      </c>
      <c r="G91" s="125">
        <v>3.9316099358208487</v>
      </c>
      <c r="H91" s="230">
        <v>-2.3712258943464293</v>
      </c>
    </row>
    <row r="92" spans="1:11" ht="14.1" customHeight="1">
      <c r="A92" s="16"/>
      <c r="B92" s="56" t="s">
        <v>108</v>
      </c>
      <c r="C92" s="125">
        <v>159.05010088003982</v>
      </c>
      <c r="D92" s="125">
        <v>163.14282726762124</v>
      </c>
      <c r="E92" s="230">
        <v>2.5732309284533406</v>
      </c>
      <c r="F92" s="125">
        <v>19.536103976517108</v>
      </c>
      <c r="G92" s="125">
        <v>19.919346026781525</v>
      </c>
      <c r="H92" s="230">
        <v>1.961711765688201</v>
      </c>
    </row>
    <row r="93" spans="1:11" ht="14.1" customHeight="1">
      <c r="A93" s="16"/>
      <c r="B93" s="56" t="s">
        <v>110</v>
      </c>
      <c r="C93" s="125">
        <v>20.881492670599666</v>
      </c>
      <c r="D93" s="125">
        <v>21.750920193681061</v>
      </c>
      <c r="E93" s="230">
        <v>4.1636272693547305</v>
      </c>
      <c r="F93" s="125">
        <v>2.5923885059869036</v>
      </c>
      <c r="G93" s="125">
        <v>2.6574928958593742</v>
      </c>
      <c r="H93" s="230">
        <v>2.5113670162522972</v>
      </c>
    </row>
    <row r="94" spans="1:11" ht="14.1" customHeight="1">
      <c r="A94" s="16"/>
      <c r="B94" s="27" t="s">
        <v>132</v>
      </c>
      <c r="C94" s="125">
        <v>1016.4859675857622</v>
      </c>
      <c r="D94" s="125">
        <v>1029.7848122416908</v>
      </c>
      <c r="E94" s="230">
        <v>1.3083156167432941</v>
      </c>
      <c r="F94" s="125">
        <v>127.35789713680201</v>
      </c>
      <c r="G94" s="125">
        <v>129.3062309610776</v>
      </c>
      <c r="H94" s="230">
        <v>1.5298099827942169</v>
      </c>
    </row>
    <row r="95" spans="1:11" ht="14.1" customHeight="1">
      <c r="A95" s="16"/>
      <c r="B95" s="27" t="s">
        <v>133</v>
      </c>
      <c r="C95" s="125">
        <v>1212.6796593947558</v>
      </c>
      <c r="D95" s="125">
        <v>1236.9975557027794</v>
      </c>
      <c r="E95" s="230">
        <v>2.0053025644184208</v>
      </c>
      <c r="F95" s="125">
        <v>146.42362262556452</v>
      </c>
      <c r="G95" s="125">
        <v>148.66272369915575</v>
      </c>
      <c r="H95" s="230">
        <v>1.5291938783109194</v>
      </c>
    </row>
    <row r="96" spans="1:11" ht="14.1" customHeight="1">
      <c r="A96" s="16"/>
      <c r="B96" s="27" t="s">
        <v>134</v>
      </c>
      <c r="C96" s="125">
        <v>31.646263599720506</v>
      </c>
      <c r="D96" s="125">
        <v>31.509458058841215</v>
      </c>
      <c r="E96" s="230">
        <v>-0.43229602903420705</v>
      </c>
      <c r="F96" s="125">
        <v>3.7044091579800003E-3</v>
      </c>
      <c r="G96" s="125">
        <v>4.2108041891112001E-3</v>
      </c>
      <c r="H96" s="230">
        <v>13.670062067531852</v>
      </c>
    </row>
    <row r="97" spans="1:8" ht="14.1" customHeight="1">
      <c r="A97" s="52"/>
      <c r="B97" s="25" t="s">
        <v>135</v>
      </c>
      <c r="C97" s="125">
        <v>1.6578093955378741</v>
      </c>
      <c r="D97" s="125">
        <v>1.6925662715656367</v>
      </c>
      <c r="E97" s="230">
        <v>2.0965544121847479</v>
      </c>
      <c r="F97" s="125">
        <v>0</v>
      </c>
      <c r="G97" s="125">
        <v>0</v>
      </c>
      <c r="H97" s="230">
        <v>0</v>
      </c>
    </row>
    <row r="98" spans="1:8" ht="14.1" customHeight="1">
      <c r="A98" s="12"/>
      <c r="B98" s="26" t="s">
        <v>196</v>
      </c>
      <c r="C98" s="126">
        <v>27.392652658728551</v>
      </c>
      <c r="D98" s="126">
        <v>29.266824091790006</v>
      </c>
      <c r="E98" s="231">
        <v>6.8418763834624752</v>
      </c>
      <c r="F98" s="126">
        <v>0.57832330262080012</v>
      </c>
      <c r="G98" s="126">
        <v>0.56712259079327998</v>
      </c>
      <c r="H98" s="231">
        <v>-1.9367560976294107</v>
      </c>
    </row>
    <row r="99" spans="1:8" ht="9" customHeight="1">
      <c r="A99" s="206" t="s">
        <v>197</v>
      </c>
      <c r="B99" s="128"/>
      <c r="C99" s="307"/>
      <c r="D99" s="307"/>
      <c r="F99" s="65"/>
    </row>
    <row r="100" spans="1:8" ht="9" customHeight="1">
      <c r="A100" s="206" t="s">
        <v>348</v>
      </c>
      <c r="B100" s="128"/>
      <c r="C100" s="307"/>
      <c r="D100" s="307"/>
      <c r="F100" s="65"/>
    </row>
    <row r="101" spans="1:8" ht="12.75">
      <c r="A101" s="129"/>
      <c r="B101" s="129"/>
      <c r="C101" s="65"/>
    </row>
    <row r="102" spans="1:8" ht="17.25" customHeight="1">
      <c r="B102" s="27"/>
      <c r="C102" s="203"/>
      <c r="D102" s="203"/>
      <c r="E102" s="203"/>
    </row>
    <row r="103" spans="1:8" ht="17.25" customHeight="1">
      <c r="B103" s="27"/>
      <c r="C103" s="203"/>
      <c r="D103" s="203"/>
      <c r="E103" s="203"/>
    </row>
    <row r="104" spans="1:8" ht="17.25" customHeight="1">
      <c r="B104" s="27"/>
      <c r="C104" s="203"/>
      <c r="D104" s="203"/>
      <c r="E104" s="203"/>
    </row>
    <row r="105" spans="1:8" ht="17.25" customHeight="1">
      <c r="B105" s="27"/>
      <c r="C105" s="59"/>
      <c r="D105" s="203"/>
      <c r="E105" s="203"/>
    </row>
    <row r="106" spans="1:8" ht="17.25" customHeight="1">
      <c r="B106" s="27"/>
      <c r="C106" s="203"/>
      <c r="D106" s="203"/>
      <c r="E106" s="203"/>
    </row>
    <row r="107" spans="1:8" ht="17.25" customHeight="1">
      <c r="B107" s="27"/>
      <c r="C107" s="203"/>
      <c r="D107" s="203"/>
      <c r="E107" s="203"/>
    </row>
    <row r="108" spans="1:8" ht="17.25" customHeight="1">
      <c r="B108" s="27"/>
      <c r="C108" s="203"/>
      <c r="D108" s="203"/>
      <c r="E108" s="203"/>
    </row>
    <row r="109" spans="1:8" ht="17.25" customHeight="1">
      <c r="B109" s="27"/>
      <c r="C109" s="203"/>
      <c r="D109" s="203"/>
      <c r="E109" s="203"/>
    </row>
    <row r="110" spans="1:8" ht="17.25" customHeight="1">
      <c r="B110" s="27"/>
      <c r="C110" s="203"/>
      <c r="D110" s="203"/>
      <c r="E110" s="203"/>
    </row>
    <row r="111" spans="1:8" ht="17.25" customHeight="1">
      <c r="A111" s="67"/>
      <c r="B111" s="27"/>
      <c r="C111" s="203"/>
      <c r="D111" s="203"/>
      <c r="E111" s="203"/>
    </row>
    <row r="112" spans="1:8" ht="17.25" customHeight="1">
      <c r="B112" s="27"/>
      <c r="C112" s="203"/>
      <c r="D112" s="203"/>
      <c r="E112" s="203"/>
    </row>
    <row r="113" spans="2:5" ht="17.25" customHeight="1">
      <c r="B113" s="27"/>
      <c r="C113" s="203"/>
      <c r="D113" s="203"/>
      <c r="E113" s="203"/>
    </row>
    <row r="114" spans="2:5" ht="17.25" customHeight="1">
      <c r="B114" s="27"/>
    </row>
    <row r="115" spans="2:5" ht="17.25" customHeight="1">
      <c r="B115" s="27"/>
    </row>
    <row r="116" spans="2:5" ht="17.25" customHeight="1">
      <c r="B116" s="27"/>
    </row>
    <row r="117" spans="2:5" ht="17.25" customHeight="1">
      <c r="B117" s="27"/>
    </row>
    <row r="118" spans="2:5" ht="17.25" customHeight="1">
      <c r="B118" s="27"/>
    </row>
    <row r="119" spans="2:5" ht="17.25" customHeight="1">
      <c r="B119" s="27"/>
    </row>
    <row r="120" spans="2:5" ht="17.25" customHeight="1">
      <c r="B120" s="27"/>
    </row>
    <row r="121" spans="2:5" ht="17.25" customHeight="1">
      <c r="B121" s="27"/>
    </row>
    <row r="122" spans="2:5" ht="17.25" customHeight="1">
      <c r="B122" s="27"/>
    </row>
    <row r="123" spans="2:5" ht="17.25" customHeight="1">
      <c r="B123" s="27"/>
    </row>
    <row r="124" spans="2:5" ht="17.25" customHeight="1">
      <c r="B124" s="27"/>
    </row>
    <row r="125" spans="2:5" ht="17.25" customHeight="1">
      <c r="B125" s="27"/>
    </row>
    <row r="126" spans="2:5" ht="17.25" customHeight="1">
      <c r="B126" s="27"/>
    </row>
    <row r="127" spans="2:5" ht="17.25" customHeight="1">
      <c r="B127" s="27"/>
    </row>
    <row r="128" spans="2:5" ht="17.25" customHeight="1">
      <c r="B128" s="27"/>
    </row>
    <row r="129" spans="2:2" ht="17.25" customHeight="1">
      <c r="B129" s="27"/>
    </row>
    <row r="130" spans="2:2" ht="17.25" customHeight="1">
      <c r="B130" s="27"/>
    </row>
    <row r="131" spans="2:2" ht="17.25" customHeight="1">
      <c r="B131" s="27"/>
    </row>
    <row r="132" spans="2:2" ht="17.25" customHeight="1">
      <c r="B132" s="27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/>
  <dimension ref="A1:M129"/>
  <sheetViews>
    <sheetView showGridLines="0" topLeftCell="A46" zoomScale="130" zoomScaleNormal="130" zoomScalePageLayoutView="150" workbookViewId="0">
      <selection activeCell="E101" sqref="E101"/>
    </sheetView>
  </sheetViews>
  <sheetFormatPr baseColWidth="10" defaultColWidth="2.140625" defaultRowHeight="17.25" customHeight="1"/>
  <cols>
    <col min="1" max="1" width="2.140625" style="204"/>
    <col min="2" max="2" width="17" style="204" customWidth="1"/>
    <col min="3" max="6" width="9.85546875" style="204" customWidth="1"/>
    <col min="7" max="7" width="6.7109375" style="204" bestFit="1" customWidth="1"/>
    <col min="8" max="8" width="6.42578125" style="204" bestFit="1" customWidth="1"/>
    <col min="9" max="9" width="7.85546875" style="204" bestFit="1" customWidth="1"/>
    <col min="10" max="10" width="6.42578125" style="204" bestFit="1" customWidth="1"/>
    <col min="11" max="240" width="10.85546875" style="204" customWidth="1"/>
    <col min="241" max="241" width="2" style="204" customWidth="1"/>
    <col min="242" max="242" width="17.140625" style="204" customWidth="1"/>
    <col min="243" max="243" width="11.28515625" style="204" customWidth="1"/>
    <col min="244" max="244" width="12.42578125" style="204" customWidth="1"/>
    <col min="245" max="245" width="6.42578125" style="204" customWidth="1"/>
    <col min="246" max="246" width="9.85546875" style="204" customWidth="1"/>
    <col min="247" max="247" width="8.42578125" style="204" customWidth="1"/>
    <col min="248" max="248" width="7.7109375" style="204" customWidth="1"/>
    <col min="249" max="252" width="0" style="204" hidden="1" customWidth="1"/>
    <col min="253" max="253" width="4" style="204" customWidth="1"/>
    <col min="254" max="16384" width="2.140625" style="204"/>
  </cols>
  <sheetData>
    <row r="1" spans="1:13" s="42" customFormat="1" ht="16.5" customHeight="1">
      <c r="A1" s="220" t="s">
        <v>111</v>
      </c>
      <c r="B1" s="220"/>
      <c r="C1" s="15"/>
      <c r="D1" s="15"/>
      <c r="E1" s="84"/>
    </row>
    <row r="2" spans="1:13" s="42" customFormat="1" ht="12" customHeight="1">
      <c r="A2" s="41" t="s">
        <v>437</v>
      </c>
      <c r="B2" s="15"/>
      <c r="C2" s="15"/>
      <c r="D2" s="15"/>
    </row>
    <row r="3" spans="1:13" s="42" customFormat="1" ht="12" customHeight="1">
      <c r="A3" s="41" t="s">
        <v>7</v>
      </c>
      <c r="B3" s="15"/>
      <c r="C3" s="15"/>
      <c r="D3" s="15"/>
      <c r="E3" s="85"/>
    </row>
    <row r="4" spans="1:13" ht="3.95" customHeight="1">
      <c r="A4" s="43"/>
      <c r="B4" s="43"/>
      <c r="C4" s="43"/>
      <c r="D4" s="43"/>
    </row>
    <row r="5" spans="1:13" s="44" customFormat="1" ht="12.95" customHeight="1">
      <c r="A5" s="508" t="s">
        <v>230</v>
      </c>
      <c r="B5" s="509"/>
      <c r="C5" s="359" t="s">
        <v>489</v>
      </c>
      <c r="D5" s="359"/>
      <c r="E5" s="358" t="s">
        <v>485</v>
      </c>
      <c r="F5" s="367"/>
    </row>
    <row r="6" spans="1:13" s="22" customFormat="1" ht="12.95" customHeight="1">
      <c r="A6" s="510"/>
      <c r="B6" s="511"/>
      <c r="C6" s="336" t="s">
        <v>425</v>
      </c>
      <c r="D6" s="336" t="s">
        <v>426</v>
      </c>
      <c r="E6" s="336" t="s">
        <v>425</v>
      </c>
      <c r="F6" s="336" t="s">
        <v>426</v>
      </c>
    </row>
    <row r="7" spans="1:13" ht="16.5" customHeight="1">
      <c r="A7" s="31" t="s">
        <v>353</v>
      </c>
      <c r="B7" s="272"/>
      <c r="C7" s="272"/>
      <c r="D7" s="272"/>
      <c r="E7" s="45"/>
      <c r="F7" s="45"/>
    </row>
    <row r="8" spans="1:13" ht="13.5" customHeight="1">
      <c r="A8" s="77" t="s">
        <v>82</v>
      </c>
      <c r="B8" s="46"/>
      <c r="C8" s="272"/>
      <c r="D8" s="272"/>
      <c r="E8" s="45"/>
      <c r="F8" s="45"/>
      <c r="G8" s="48"/>
      <c r="H8" s="47"/>
      <c r="I8" s="49"/>
    </row>
    <row r="9" spans="1:13" ht="13.5" customHeight="1">
      <c r="A9" s="50"/>
      <c r="B9" s="27" t="s">
        <v>277</v>
      </c>
      <c r="C9" s="384">
        <v>2724.0729569999999</v>
      </c>
      <c r="D9" s="384">
        <v>2699.9137570000003</v>
      </c>
      <c r="E9" s="384">
        <v>144.80819</v>
      </c>
      <c r="F9" s="384">
        <v>143.54285600000003</v>
      </c>
      <c r="M9" s="33"/>
    </row>
    <row r="10" spans="1:13" ht="13.5" customHeight="1">
      <c r="A10" s="16"/>
      <c r="B10" s="27" t="s">
        <v>278</v>
      </c>
      <c r="C10" s="384">
        <v>4464.0990229999998</v>
      </c>
      <c r="D10" s="384">
        <v>4639.1277630000004</v>
      </c>
      <c r="E10" s="384">
        <v>145.70790100000002</v>
      </c>
      <c r="F10" s="384">
        <v>168.67068900000001</v>
      </c>
      <c r="M10" s="33"/>
    </row>
    <row r="11" spans="1:13" ht="13.5" customHeight="1">
      <c r="A11" s="16"/>
      <c r="B11" s="27" t="s">
        <v>84</v>
      </c>
      <c r="C11" s="384">
        <v>362.05248499999999</v>
      </c>
      <c r="D11" s="384">
        <v>364.23977000000002</v>
      </c>
      <c r="E11" s="384">
        <v>29.312453999999999</v>
      </c>
      <c r="F11" s="384">
        <v>34.367304000000004</v>
      </c>
      <c r="M11" s="34"/>
    </row>
    <row r="12" spans="1:13" ht="13.5" customHeight="1">
      <c r="A12" s="16"/>
      <c r="B12" s="27" t="s">
        <v>279</v>
      </c>
      <c r="C12" s="384">
        <v>239.46795899999998</v>
      </c>
      <c r="D12" s="384">
        <v>224.45919000000001</v>
      </c>
      <c r="E12" s="384">
        <v>26.222300000000004</v>
      </c>
      <c r="F12" s="384">
        <v>32.925119999999993</v>
      </c>
      <c r="M12" s="33"/>
    </row>
    <row r="13" spans="1:13" ht="13.5" customHeight="1">
      <c r="A13" s="16"/>
      <c r="B13" s="27" t="s">
        <v>225</v>
      </c>
      <c r="C13" s="384">
        <v>789.66843200000005</v>
      </c>
      <c r="D13" s="384">
        <v>898.71493599999997</v>
      </c>
      <c r="E13" s="384">
        <v>94.559776999999997</v>
      </c>
      <c r="F13" s="384">
        <v>126.19051100000001</v>
      </c>
      <c r="M13" s="33"/>
    </row>
    <row r="14" spans="1:13" ht="13.5" customHeight="1">
      <c r="A14" s="16"/>
      <c r="B14" s="27" t="s">
        <v>280</v>
      </c>
      <c r="C14" s="384">
        <v>5262.2520660000009</v>
      </c>
      <c r="D14" s="384">
        <v>5285.5428010000005</v>
      </c>
      <c r="E14" s="384">
        <v>436.12470900000005</v>
      </c>
      <c r="F14" s="384">
        <v>443.66616900000014</v>
      </c>
      <c r="M14" s="33"/>
    </row>
    <row r="15" spans="1:13" ht="13.5" customHeight="1">
      <c r="A15" s="16"/>
      <c r="B15" s="27" t="s">
        <v>281</v>
      </c>
      <c r="C15" s="384">
        <v>1524.4643700000001</v>
      </c>
      <c r="D15" s="384">
        <v>1516.157132</v>
      </c>
      <c r="E15" s="384">
        <v>183.448624</v>
      </c>
      <c r="F15" s="384">
        <v>185.58571900000001</v>
      </c>
      <c r="M15" s="51"/>
    </row>
    <row r="16" spans="1:13" ht="13.5" customHeight="1">
      <c r="A16" s="16"/>
      <c r="B16" s="27" t="s">
        <v>282</v>
      </c>
      <c r="C16" s="384">
        <v>16.500259</v>
      </c>
      <c r="D16" s="384">
        <v>10.222937</v>
      </c>
      <c r="E16" s="384">
        <v>1.04E-2</v>
      </c>
      <c r="F16" s="384">
        <v>5.4200000000000005E-2</v>
      </c>
      <c r="M16" s="33"/>
    </row>
    <row r="17" spans="1:13" ht="13.5" customHeight="1">
      <c r="A17" s="16"/>
      <c r="B17" s="27" t="s">
        <v>283</v>
      </c>
      <c r="C17" s="384">
        <v>6478.8789659999993</v>
      </c>
      <c r="D17" s="384">
        <v>6021.4134652284874</v>
      </c>
      <c r="E17" s="384">
        <v>853.13816999999995</v>
      </c>
      <c r="F17" s="384">
        <v>877.0167919999999</v>
      </c>
      <c r="M17" s="33"/>
    </row>
    <row r="18" spans="1:13" ht="13.5" customHeight="1">
      <c r="A18" s="16"/>
      <c r="B18" s="27" t="s">
        <v>284</v>
      </c>
      <c r="C18" s="384">
        <v>870.52835700000003</v>
      </c>
      <c r="D18" s="384">
        <v>829.98298900000009</v>
      </c>
      <c r="E18" s="384">
        <v>115.575951</v>
      </c>
      <c r="F18" s="384">
        <v>99.712885999999997</v>
      </c>
      <c r="M18" s="33"/>
    </row>
    <row r="19" spans="1:13" ht="13.5" customHeight="1">
      <c r="A19" s="16"/>
      <c r="B19" s="27" t="s">
        <v>285</v>
      </c>
      <c r="C19" s="384">
        <v>382.41646300000002</v>
      </c>
      <c r="D19" s="384">
        <v>422.45635600000008</v>
      </c>
      <c r="E19" s="384">
        <v>81.030754000000016</v>
      </c>
      <c r="F19" s="384">
        <v>50.434989999999999</v>
      </c>
      <c r="M19" s="33"/>
    </row>
    <row r="20" spans="1:13" ht="13.5" customHeight="1">
      <c r="A20" s="16"/>
      <c r="B20" s="27" t="s">
        <v>286</v>
      </c>
      <c r="C20" s="384">
        <v>314.54589999999996</v>
      </c>
      <c r="D20" s="384">
        <v>303.34740200000005</v>
      </c>
      <c r="E20" s="384">
        <v>19.529095000000002</v>
      </c>
      <c r="F20" s="384">
        <v>19.127057999999998</v>
      </c>
      <c r="M20" s="33"/>
    </row>
    <row r="21" spans="1:13" ht="13.5" customHeight="1">
      <c r="A21" s="16"/>
      <c r="B21" s="27" t="s">
        <v>287</v>
      </c>
      <c r="C21" s="384">
        <v>363.12101300000006</v>
      </c>
      <c r="D21" s="384">
        <v>425.05944800000003</v>
      </c>
      <c r="E21" s="384">
        <v>7.5145</v>
      </c>
      <c r="F21" s="384">
        <v>7.8610999999999995</v>
      </c>
      <c r="M21" s="33"/>
    </row>
    <row r="22" spans="1:13" ht="13.5" customHeight="1">
      <c r="A22" s="16"/>
      <c r="B22" s="27" t="s">
        <v>46</v>
      </c>
      <c r="C22" s="384">
        <v>28.386050000000001</v>
      </c>
      <c r="D22" s="384">
        <v>25.094957000000001</v>
      </c>
      <c r="E22" s="384">
        <v>4.1079999999999997</v>
      </c>
      <c r="F22" s="384">
        <v>2.8245089999999999</v>
      </c>
      <c r="M22" s="33"/>
    </row>
    <row r="23" spans="1:13" ht="13.5" customHeight="1">
      <c r="A23" s="16"/>
      <c r="B23" s="27" t="s">
        <v>288</v>
      </c>
      <c r="C23" s="384">
        <v>26.727460000000001</v>
      </c>
      <c r="D23" s="384">
        <v>35.371662000000001</v>
      </c>
      <c r="E23" s="384">
        <v>4.2856600000000009</v>
      </c>
      <c r="F23" s="384">
        <v>5.8717000000000006</v>
      </c>
      <c r="M23" s="33"/>
    </row>
    <row r="24" spans="1:13" ht="13.5" customHeight="1">
      <c r="A24" s="16"/>
      <c r="B24" s="27" t="s">
        <v>249</v>
      </c>
      <c r="C24" s="384">
        <v>313.01686099999995</v>
      </c>
      <c r="D24" s="384">
        <v>317.36107699999991</v>
      </c>
      <c r="E24" s="384">
        <v>20.293208000000007</v>
      </c>
      <c r="F24" s="384">
        <v>18.390138</v>
      </c>
      <c r="M24" s="33"/>
    </row>
    <row r="25" spans="1:13" ht="13.5" customHeight="1">
      <c r="A25" s="16"/>
      <c r="B25" s="27" t="s">
        <v>250</v>
      </c>
      <c r="C25" s="384">
        <v>70.750436999999991</v>
      </c>
      <c r="D25" s="384">
        <v>70.879107999999988</v>
      </c>
      <c r="E25" s="384">
        <v>14.177092</v>
      </c>
      <c r="F25" s="384">
        <v>11.095749</v>
      </c>
      <c r="M25" s="33"/>
    </row>
    <row r="26" spans="1:13" ht="13.5" customHeight="1">
      <c r="A26" s="16"/>
      <c r="B26" s="27" t="s">
        <v>251</v>
      </c>
      <c r="C26" s="384">
        <v>386.38923899999998</v>
      </c>
      <c r="D26" s="384">
        <v>353.01018399999992</v>
      </c>
      <c r="E26" s="384">
        <v>0.63018999999999992</v>
      </c>
      <c r="F26" s="384">
        <v>0.61597999999999997</v>
      </c>
      <c r="M26" s="33"/>
    </row>
    <row r="27" spans="1:13" ht="13.5" customHeight="1">
      <c r="A27" s="16"/>
      <c r="B27" s="27" t="s">
        <v>252</v>
      </c>
      <c r="C27" s="384">
        <v>117.84820200000001</v>
      </c>
      <c r="D27" s="384">
        <v>114.639348</v>
      </c>
      <c r="E27" s="384">
        <v>13.301107000000002</v>
      </c>
      <c r="F27" s="384">
        <v>13.994909999999997</v>
      </c>
      <c r="M27" s="33"/>
    </row>
    <row r="28" spans="1:13" ht="13.5" customHeight="1">
      <c r="A28" s="16"/>
      <c r="B28" s="27" t="s">
        <v>253</v>
      </c>
      <c r="C28" s="384">
        <v>163.72859400000002</v>
      </c>
      <c r="D28" s="384">
        <v>168.034188</v>
      </c>
      <c r="E28" s="384">
        <v>45.210013000000004</v>
      </c>
      <c r="F28" s="384">
        <v>46.036899999999996</v>
      </c>
      <c r="M28" s="33"/>
    </row>
    <row r="29" spans="1:13" ht="13.5" customHeight="1">
      <c r="A29" s="16"/>
      <c r="B29" s="27" t="s">
        <v>254</v>
      </c>
      <c r="C29" s="384">
        <v>410.99348799999996</v>
      </c>
      <c r="D29" s="384">
        <v>418.89382899999998</v>
      </c>
      <c r="E29" s="384">
        <v>66.784616999999983</v>
      </c>
      <c r="F29" s="384">
        <v>59.379940000000005</v>
      </c>
      <c r="M29" s="33"/>
    </row>
    <row r="30" spans="1:13" ht="13.5" customHeight="1">
      <c r="A30" s="16"/>
      <c r="B30" s="27" t="s">
        <v>255</v>
      </c>
      <c r="C30" s="384">
        <v>584.5003109999999</v>
      </c>
      <c r="D30" s="384">
        <v>649.99584499999992</v>
      </c>
      <c r="E30" s="384">
        <v>23.259759000000003</v>
      </c>
      <c r="F30" s="384">
        <v>32.460484999999998</v>
      </c>
      <c r="M30" s="33"/>
    </row>
    <row r="31" spans="1:13" ht="13.5" customHeight="1">
      <c r="A31" s="16"/>
      <c r="B31" s="27" t="s">
        <v>146</v>
      </c>
      <c r="C31" s="384">
        <v>411.19078599999995</v>
      </c>
      <c r="D31" s="384">
        <v>451.77965399999999</v>
      </c>
      <c r="E31" s="384">
        <v>57.928379999999997</v>
      </c>
      <c r="F31" s="384">
        <v>49.874169999999999</v>
      </c>
      <c r="M31" s="33"/>
    </row>
    <row r="32" spans="1:13" ht="13.5" customHeight="1">
      <c r="A32" s="16"/>
      <c r="B32" s="27" t="s">
        <v>147</v>
      </c>
      <c r="C32" s="384">
        <v>120.77032000000001</v>
      </c>
      <c r="D32" s="384">
        <v>145.35918099999998</v>
      </c>
      <c r="E32" s="384">
        <v>12.641385000000001</v>
      </c>
      <c r="F32" s="384">
        <v>11.598441000000003</v>
      </c>
      <c r="M32" s="33"/>
    </row>
    <row r="33" spans="1:13" ht="13.5" customHeight="1">
      <c r="A33" s="16"/>
      <c r="B33" s="27" t="s">
        <v>141</v>
      </c>
      <c r="C33" s="384">
        <v>211.30883499999999</v>
      </c>
      <c r="D33" s="384">
        <v>226.20381399999999</v>
      </c>
      <c r="E33" s="384">
        <v>14.835723999999999</v>
      </c>
      <c r="F33" s="384">
        <v>17.937967</v>
      </c>
      <c r="M33" s="33"/>
    </row>
    <row r="34" spans="1:13" ht="13.5" customHeight="1">
      <c r="A34" s="16"/>
      <c r="B34" s="27" t="s">
        <v>148</v>
      </c>
      <c r="C34" s="384">
        <v>174.10012</v>
      </c>
      <c r="D34" s="384">
        <v>135.90732699999998</v>
      </c>
      <c r="E34" s="384">
        <v>0.18974000000000002</v>
      </c>
      <c r="F34" s="384">
        <v>0.39624999999999999</v>
      </c>
      <c r="M34" s="33"/>
    </row>
    <row r="35" spans="1:13" ht="13.5" customHeight="1">
      <c r="A35" s="16"/>
      <c r="B35" s="27" t="s">
        <v>149</v>
      </c>
      <c r="C35" s="384">
        <v>196.29761999999994</v>
      </c>
      <c r="D35" s="384">
        <v>209.39226399999998</v>
      </c>
      <c r="E35" s="384">
        <v>32.560279000000001</v>
      </c>
      <c r="F35" s="384">
        <v>39.973307999999996</v>
      </c>
      <c r="M35" s="51"/>
    </row>
    <row r="36" spans="1:13" ht="13.5" customHeight="1">
      <c r="A36" s="16"/>
      <c r="B36" s="27" t="s">
        <v>258</v>
      </c>
      <c r="C36" s="384">
        <v>104.03780500000001</v>
      </c>
      <c r="D36" s="384">
        <v>106.74216499999999</v>
      </c>
      <c r="E36" s="384">
        <v>8.8815590000000011</v>
      </c>
      <c r="F36" s="384">
        <v>9.9389300000000009</v>
      </c>
      <c r="M36" s="33"/>
    </row>
    <row r="37" spans="1:13" ht="13.5" customHeight="1">
      <c r="A37" s="16"/>
      <c r="B37" s="27" t="s">
        <v>259</v>
      </c>
      <c r="C37" s="384">
        <v>25.412022999999998</v>
      </c>
      <c r="D37" s="384">
        <v>30.501775000000002</v>
      </c>
      <c r="E37" s="384">
        <v>5.359254</v>
      </c>
      <c r="F37" s="384">
        <v>5.1612980000000004</v>
      </c>
      <c r="M37" s="33"/>
    </row>
    <row r="38" spans="1:13" ht="13.5" customHeight="1">
      <c r="A38" s="16"/>
      <c r="B38" s="27" t="s">
        <v>201</v>
      </c>
      <c r="C38" s="384">
        <v>105.81077599999999</v>
      </c>
      <c r="D38" s="384">
        <v>105.71206100000002</v>
      </c>
      <c r="E38" s="384">
        <v>11.373120999999999</v>
      </c>
      <c r="F38" s="384">
        <v>10.505068</v>
      </c>
      <c r="M38" s="33"/>
    </row>
    <row r="39" spans="1:13" ht="13.5" customHeight="1">
      <c r="A39" s="16"/>
      <c r="B39" s="27" t="s">
        <v>202</v>
      </c>
      <c r="C39" s="384">
        <v>163.12722400000004</v>
      </c>
      <c r="D39" s="384">
        <v>119.33503599999999</v>
      </c>
      <c r="E39" s="384">
        <v>14.804823999999998</v>
      </c>
      <c r="F39" s="384">
        <v>16.188641000000001</v>
      </c>
      <c r="M39" s="33"/>
    </row>
    <row r="40" spans="1:13" ht="13.5" customHeight="1">
      <c r="A40" s="16"/>
      <c r="B40" s="27" t="s">
        <v>203</v>
      </c>
      <c r="C40" s="384">
        <v>369.68592999999998</v>
      </c>
      <c r="D40" s="384">
        <v>373.84287999999992</v>
      </c>
      <c r="E40" s="384">
        <v>39.946920000000006</v>
      </c>
      <c r="F40" s="384">
        <v>39.708870000000005</v>
      </c>
      <c r="G40" s="47"/>
      <c r="H40" s="47"/>
      <c r="I40" s="49"/>
      <c r="M40" s="33"/>
    </row>
    <row r="41" spans="1:13" ht="13.5" customHeight="1">
      <c r="A41" s="16"/>
      <c r="B41" s="27" t="s">
        <v>265</v>
      </c>
      <c r="C41" s="384">
        <v>11.42</v>
      </c>
      <c r="D41" s="384">
        <v>13.808680000000001</v>
      </c>
      <c r="E41" s="384">
        <v>2.84</v>
      </c>
      <c r="F41" s="384">
        <v>2.2000000000000002</v>
      </c>
      <c r="G41" s="47"/>
      <c r="H41" s="47"/>
      <c r="M41" s="51"/>
    </row>
    <row r="42" spans="1:13" ht="13.5" customHeight="1">
      <c r="A42" s="16"/>
      <c r="B42" s="27" t="s">
        <v>297</v>
      </c>
      <c r="C42" s="384">
        <v>176.09124000000003</v>
      </c>
      <c r="D42" s="384">
        <v>182.49581700000002</v>
      </c>
      <c r="E42" s="384">
        <v>2.7195</v>
      </c>
      <c r="F42" s="384">
        <v>6.7988689999999998</v>
      </c>
      <c r="M42" s="33"/>
    </row>
    <row r="43" spans="1:13" ht="13.5" customHeight="1">
      <c r="A43" s="16"/>
      <c r="B43" s="27" t="s">
        <v>298</v>
      </c>
      <c r="C43" s="384">
        <v>556.22603499999991</v>
      </c>
      <c r="D43" s="384">
        <v>682.06901900000014</v>
      </c>
      <c r="E43" s="384">
        <v>82.049079999999989</v>
      </c>
      <c r="F43" s="384">
        <v>79.803629999999998</v>
      </c>
      <c r="G43" s="47"/>
      <c r="H43" s="47"/>
      <c r="I43" s="49"/>
      <c r="M43" s="33"/>
    </row>
    <row r="44" spans="1:13" ht="13.5" customHeight="1">
      <c r="A44" s="16"/>
      <c r="B44" s="27" t="s">
        <v>260</v>
      </c>
      <c r="C44" s="384">
        <v>82.050112999999982</v>
      </c>
      <c r="D44" s="384">
        <v>84.825525999999982</v>
      </c>
      <c r="E44" s="384">
        <v>4.9415570000000004</v>
      </c>
      <c r="F44" s="384">
        <v>6.6238899999999994</v>
      </c>
      <c r="G44" s="47"/>
      <c r="H44" s="47"/>
      <c r="M44" s="33"/>
    </row>
    <row r="45" spans="1:13" ht="13.5" customHeight="1">
      <c r="A45" s="16"/>
      <c r="B45" s="27" t="s">
        <v>261</v>
      </c>
      <c r="C45" s="384">
        <v>39.639867999999993</v>
      </c>
      <c r="D45" s="384">
        <v>41.592328999999992</v>
      </c>
      <c r="E45" s="384">
        <v>8.0222789999999993</v>
      </c>
      <c r="F45" s="384">
        <v>7.9955800000000004</v>
      </c>
      <c r="G45" s="47"/>
      <c r="H45" s="47"/>
      <c r="I45" s="49"/>
      <c r="M45" s="33"/>
    </row>
    <row r="46" spans="1:13" ht="13.5" customHeight="1">
      <c r="A46" s="16"/>
      <c r="B46" s="27" t="s">
        <v>262</v>
      </c>
      <c r="C46" s="384">
        <v>130.47499500000001</v>
      </c>
      <c r="D46" s="384">
        <v>128.395104</v>
      </c>
      <c r="E46" s="384">
        <v>21.277360000000005</v>
      </c>
      <c r="F46" s="384">
        <v>22.226200000000002</v>
      </c>
      <c r="G46" s="47"/>
      <c r="H46" s="47"/>
      <c r="I46" s="49"/>
      <c r="M46" s="33"/>
    </row>
    <row r="47" spans="1:13" ht="13.5" customHeight="1">
      <c r="A47" s="16"/>
      <c r="B47" s="27" t="s">
        <v>263</v>
      </c>
      <c r="C47" s="384">
        <v>127.69856300000002</v>
      </c>
      <c r="D47" s="384">
        <v>153.685157</v>
      </c>
      <c r="E47" s="384">
        <v>12.140445</v>
      </c>
      <c r="F47" s="384">
        <v>15.871066999999998</v>
      </c>
      <c r="G47" s="47"/>
      <c r="H47" s="47"/>
      <c r="I47" s="49"/>
      <c r="M47" s="51"/>
    </row>
    <row r="48" spans="1:13" ht="13.5" customHeight="1">
      <c r="A48" s="16"/>
      <c r="B48" s="27" t="s">
        <v>87</v>
      </c>
      <c r="C48" s="384">
        <v>29.827142000000002</v>
      </c>
      <c r="D48" s="384">
        <v>30.482428999999996</v>
      </c>
      <c r="E48" s="384">
        <v>3.2346999999999997</v>
      </c>
      <c r="F48" s="384">
        <v>3.4508000000000001</v>
      </c>
      <c r="M48" s="51"/>
    </row>
    <row r="49" spans="1:13" ht="13.5" customHeight="1">
      <c r="A49" s="16"/>
      <c r="B49" s="27" t="s">
        <v>211</v>
      </c>
      <c r="C49" s="384">
        <v>32.82780300000001</v>
      </c>
      <c r="D49" s="384">
        <v>36.902245999999998</v>
      </c>
      <c r="E49" s="384">
        <v>3.2397499999999999</v>
      </c>
      <c r="F49" s="384">
        <v>3.3947020000000001</v>
      </c>
      <c r="G49" s="47"/>
      <c r="H49" s="47"/>
      <c r="I49" s="49"/>
      <c r="M49" s="51"/>
    </row>
    <row r="50" spans="1:13" ht="13.5" customHeight="1">
      <c r="A50" s="12"/>
      <c r="B50" s="26" t="s">
        <v>264</v>
      </c>
      <c r="C50" s="386">
        <v>98.204840000000004</v>
      </c>
      <c r="D50" s="386">
        <v>100.73826700000001</v>
      </c>
      <c r="E50" s="386">
        <v>1.1298499999999998</v>
      </c>
      <c r="F50" s="386">
        <v>2.3523000000000001</v>
      </c>
      <c r="G50" s="47"/>
      <c r="H50" s="47"/>
      <c r="I50" s="49"/>
      <c r="M50" s="33"/>
    </row>
    <row r="51" spans="1:13" ht="13.5" customHeight="1">
      <c r="A51" s="16"/>
      <c r="B51" s="27"/>
      <c r="C51" s="8"/>
      <c r="D51" s="123"/>
      <c r="E51" s="8"/>
      <c r="F51" s="123" t="s">
        <v>354</v>
      </c>
      <c r="G51" s="47"/>
      <c r="H51" s="47"/>
      <c r="I51" s="49"/>
      <c r="M51" s="33"/>
    </row>
    <row r="52" spans="1:13" ht="13.5" customHeight="1">
      <c r="A52" s="66" t="s">
        <v>247</v>
      </c>
      <c r="B52" s="27"/>
      <c r="C52" s="8"/>
      <c r="D52" s="8"/>
      <c r="E52" s="8"/>
      <c r="F52" s="8"/>
      <c r="G52" s="47"/>
      <c r="H52" s="47"/>
      <c r="I52" s="49"/>
      <c r="M52" s="33"/>
    </row>
    <row r="53" spans="1:13" ht="12.95" customHeight="1">
      <c r="A53" s="508" t="s">
        <v>230</v>
      </c>
      <c r="B53" s="509"/>
      <c r="C53" s="359" t="s">
        <v>489</v>
      </c>
      <c r="D53" s="359"/>
      <c r="E53" s="358" t="s">
        <v>485</v>
      </c>
      <c r="F53" s="367"/>
      <c r="G53" s="47"/>
      <c r="H53" s="47"/>
      <c r="I53" s="49"/>
      <c r="M53" s="33"/>
    </row>
    <row r="54" spans="1:13" ht="12.95" customHeight="1">
      <c r="A54" s="510"/>
      <c r="B54" s="511"/>
      <c r="C54" s="336" t="s">
        <v>343</v>
      </c>
      <c r="D54" s="336" t="s">
        <v>349</v>
      </c>
      <c r="E54" s="336" t="s">
        <v>343</v>
      </c>
      <c r="F54" s="336" t="s">
        <v>349</v>
      </c>
      <c r="G54" s="47"/>
      <c r="H54" s="47"/>
      <c r="I54" s="49"/>
      <c r="M54" s="33"/>
    </row>
    <row r="55" spans="1:13" ht="13.5" customHeight="1">
      <c r="A55" s="16"/>
      <c r="B55" s="27" t="s">
        <v>61</v>
      </c>
      <c r="C55" s="384">
        <v>122.48096200000001</v>
      </c>
      <c r="D55" s="384">
        <v>127.96175500000001</v>
      </c>
      <c r="E55" s="384">
        <v>14.545218</v>
      </c>
      <c r="F55" s="384">
        <v>14.571369000000001</v>
      </c>
      <c r="M55" s="34"/>
    </row>
    <row r="56" spans="1:13" ht="13.5" customHeight="1">
      <c r="A56" s="52"/>
      <c r="B56" s="27" t="s">
        <v>62</v>
      </c>
      <c r="C56" s="384">
        <v>94.396715</v>
      </c>
      <c r="D56" s="384">
        <v>100.74563699999999</v>
      </c>
      <c r="E56" s="384">
        <v>1.7342089999999997</v>
      </c>
      <c r="F56" s="384">
        <v>1.0511989999999998</v>
      </c>
      <c r="G56" s="47"/>
      <c r="H56" s="47"/>
      <c r="I56" s="49"/>
      <c r="M56" s="53"/>
    </row>
    <row r="57" spans="1:13" ht="13.5" customHeight="1">
      <c r="A57" s="16"/>
      <c r="B57" s="27" t="s">
        <v>91</v>
      </c>
      <c r="C57" s="384">
        <v>7.2787790000000001</v>
      </c>
      <c r="D57" s="384">
        <v>7.1492389999999997</v>
      </c>
      <c r="E57" s="384">
        <v>0.25454000000000004</v>
      </c>
      <c r="F57" s="384">
        <v>0.32019999999999998</v>
      </c>
      <c r="G57" s="47"/>
      <c r="H57" s="47"/>
      <c r="I57" s="49"/>
      <c r="M57" s="34"/>
    </row>
    <row r="58" spans="1:13" ht="13.5" customHeight="1">
      <c r="A58" s="16"/>
      <c r="B58" s="27" t="s">
        <v>63</v>
      </c>
      <c r="C58" s="384">
        <v>60.309093999999995</v>
      </c>
      <c r="D58" s="384">
        <v>49.435142000000006</v>
      </c>
      <c r="E58" s="384">
        <v>0.40550999999999998</v>
      </c>
      <c r="F58" s="384">
        <v>0.19632999999999998</v>
      </c>
      <c r="G58" s="47"/>
      <c r="H58" s="47"/>
      <c r="I58" s="49"/>
      <c r="M58" s="34"/>
    </row>
    <row r="59" spans="1:13" ht="13.5" customHeight="1">
      <c r="A59" s="16"/>
      <c r="B59" s="27" t="s">
        <v>142</v>
      </c>
      <c r="C59" s="384">
        <v>5.7326539999999984</v>
      </c>
      <c r="D59" s="384">
        <v>8.727640000000001</v>
      </c>
      <c r="E59" s="384">
        <v>0.54851899999999998</v>
      </c>
      <c r="F59" s="384">
        <v>0.63531400000000005</v>
      </c>
      <c r="G59" s="47"/>
      <c r="H59" s="47"/>
      <c r="I59" s="49"/>
      <c r="M59" s="34"/>
    </row>
    <row r="60" spans="1:13" ht="13.5" customHeight="1">
      <c r="A60" s="16"/>
      <c r="B60" s="27" t="s">
        <v>118</v>
      </c>
      <c r="C60" s="384">
        <v>64.170352999999992</v>
      </c>
      <c r="D60" s="384">
        <v>67.649965000000009</v>
      </c>
      <c r="E60" s="384">
        <v>2.0014059999999998</v>
      </c>
      <c r="F60" s="384">
        <v>2.0513590000000006</v>
      </c>
      <c r="G60" s="47"/>
      <c r="H60" s="47"/>
      <c r="I60" s="49"/>
      <c r="M60" s="34"/>
    </row>
    <row r="61" spans="1:13" ht="13.5" customHeight="1">
      <c r="A61" s="16"/>
      <c r="B61" s="27" t="s">
        <v>119</v>
      </c>
      <c r="C61" s="384">
        <v>74.445898</v>
      </c>
      <c r="D61" s="384">
        <v>74.201479000000006</v>
      </c>
      <c r="E61" s="384">
        <v>11.310560000000001</v>
      </c>
      <c r="F61" s="384">
        <v>10.10618</v>
      </c>
      <c r="G61" s="47"/>
      <c r="H61" s="47"/>
      <c r="I61" s="49"/>
      <c r="M61" s="34"/>
    </row>
    <row r="62" spans="1:13" ht="13.5" customHeight="1">
      <c r="A62" s="16"/>
      <c r="B62" s="27" t="s">
        <v>60</v>
      </c>
      <c r="C62" s="384">
        <v>72.99824799999999</v>
      </c>
      <c r="D62" s="384">
        <v>67.966782000000009</v>
      </c>
      <c r="E62" s="384">
        <v>7.6486489999999998</v>
      </c>
      <c r="F62" s="384">
        <v>8.4677829999999989</v>
      </c>
      <c r="G62" s="47"/>
      <c r="H62" s="47"/>
      <c r="I62" s="49"/>
      <c r="M62" s="34"/>
    </row>
    <row r="63" spans="1:13" ht="13.5" customHeight="1">
      <c r="A63" s="16"/>
      <c r="B63" s="27" t="s">
        <v>120</v>
      </c>
      <c r="C63" s="384">
        <v>0.58804000000000001</v>
      </c>
      <c r="D63" s="384">
        <v>0.64222399999999991</v>
      </c>
      <c r="E63" s="384">
        <v>0.23419000000000001</v>
      </c>
      <c r="F63" s="384">
        <v>0.19874599999999998</v>
      </c>
      <c r="G63" s="47"/>
      <c r="H63" s="47"/>
      <c r="I63" s="49"/>
      <c r="M63" s="34"/>
    </row>
    <row r="64" spans="1:13" ht="13.5" customHeight="1">
      <c r="A64" s="16"/>
      <c r="B64" s="27" t="s">
        <v>121</v>
      </c>
      <c r="C64" s="384">
        <v>34.570768999999999</v>
      </c>
      <c r="D64" s="384">
        <v>38.591131999999995</v>
      </c>
      <c r="E64" s="384">
        <v>4.2126000000000001</v>
      </c>
      <c r="F64" s="384">
        <v>4.8445689999999999</v>
      </c>
      <c r="G64" s="47"/>
      <c r="H64" s="47"/>
      <c r="I64" s="49"/>
      <c r="M64" s="34"/>
    </row>
    <row r="65" spans="1:13" ht="13.5" customHeight="1">
      <c r="A65" s="16"/>
      <c r="B65" s="27" t="s">
        <v>129</v>
      </c>
      <c r="C65" s="384">
        <v>11.52167</v>
      </c>
      <c r="D65" s="384">
        <v>12.650929</v>
      </c>
      <c r="E65" s="384">
        <v>0.14871000000000001</v>
      </c>
      <c r="F65" s="384">
        <v>0.20172000000000001</v>
      </c>
      <c r="G65" s="47"/>
      <c r="H65" s="47"/>
      <c r="I65" s="49"/>
      <c r="M65" s="34"/>
    </row>
    <row r="66" spans="1:13" ht="13.5" customHeight="1">
      <c r="A66" s="16"/>
      <c r="B66" s="27" t="s">
        <v>139</v>
      </c>
      <c r="C66" s="384">
        <v>20.872126999999999</v>
      </c>
      <c r="D66" s="384">
        <v>19.303758000000006</v>
      </c>
      <c r="E66" s="384">
        <v>1.2471799999999997</v>
      </c>
      <c r="F66" s="384">
        <v>0.68728</v>
      </c>
      <c r="G66" s="47"/>
      <c r="H66" s="47"/>
      <c r="I66" s="49"/>
      <c r="M66" s="34"/>
    </row>
    <row r="67" spans="1:13" ht="13.5" customHeight="1">
      <c r="A67" s="16"/>
      <c r="B67" s="27" t="s">
        <v>167</v>
      </c>
      <c r="C67" s="384">
        <v>54.445441000000002</v>
      </c>
      <c r="D67" s="384">
        <v>62.001268000000003</v>
      </c>
      <c r="E67" s="384">
        <v>5.6752500000000001</v>
      </c>
      <c r="F67" s="384">
        <v>6.4891999999999994</v>
      </c>
      <c r="G67" s="47"/>
      <c r="H67" s="47"/>
      <c r="I67" s="49"/>
      <c r="M67" s="34"/>
    </row>
    <row r="68" spans="1:13" ht="13.5" customHeight="1">
      <c r="A68" s="16"/>
      <c r="B68" s="27" t="s">
        <v>140</v>
      </c>
      <c r="C68" s="384">
        <v>33.045648</v>
      </c>
      <c r="D68" s="384">
        <v>37.297817999999999</v>
      </c>
      <c r="E68" s="384">
        <v>0.19606999999999999</v>
      </c>
      <c r="F68" s="384">
        <v>0.26547999999999999</v>
      </c>
      <c r="G68" s="47"/>
      <c r="H68" s="47"/>
      <c r="I68" s="49"/>
      <c r="M68" s="34"/>
    </row>
    <row r="69" spans="1:13" ht="13.5" customHeight="1">
      <c r="A69" s="16"/>
      <c r="B69" s="27" t="s">
        <v>45</v>
      </c>
      <c r="C69" s="384">
        <v>26.656548999999998</v>
      </c>
      <c r="D69" s="384">
        <v>43.467787999999999</v>
      </c>
      <c r="E69" s="384">
        <v>3.8205</v>
      </c>
      <c r="F69" s="384">
        <v>5.5188600000000001</v>
      </c>
      <c r="G69" s="47"/>
      <c r="H69" s="47"/>
      <c r="I69" s="49"/>
      <c r="M69" s="34"/>
    </row>
    <row r="70" spans="1:13" ht="13.5" customHeight="1">
      <c r="A70" s="16"/>
      <c r="B70" s="27" t="s">
        <v>43</v>
      </c>
      <c r="C70" s="384">
        <v>9.2024899999999992</v>
      </c>
      <c r="D70" s="384">
        <v>9.6232199999999999</v>
      </c>
      <c r="E70" s="384">
        <v>1.3987400000000001</v>
      </c>
      <c r="F70" s="384">
        <v>1.4641199999999999</v>
      </c>
      <c r="G70" s="47"/>
      <c r="H70" s="47"/>
      <c r="I70" s="49"/>
      <c r="M70" s="34"/>
    </row>
    <row r="71" spans="1:13" ht="13.5" customHeight="1">
      <c r="A71" s="16"/>
      <c r="B71" s="27" t="s">
        <v>44</v>
      </c>
      <c r="C71" s="384">
        <v>6.3090289999999998</v>
      </c>
      <c r="D71" s="384">
        <v>10.706859</v>
      </c>
      <c r="E71" s="384">
        <v>1.6884999999999999</v>
      </c>
      <c r="F71" s="384">
        <v>4.1262499999999998</v>
      </c>
      <c r="G71" s="47"/>
      <c r="H71" s="47"/>
      <c r="I71" s="49"/>
      <c r="M71" s="34"/>
    </row>
    <row r="72" spans="1:13" ht="13.5" customHeight="1">
      <c r="A72" s="16"/>
      <c r="B72" s="27" t="s">
        <v>180</v>
      </c>
      <c r="C72" s="384">
        <v>38.530138999999998</v>
      </c>
      <c r="D72" s="384">
        <v>47.981839000000001</v>
      </c>
      <c r="E72" s="384">
        <v>22.337689999999998</v>
      </c>
      <c r="F72" s="384">
        <v>29.05105</v>
      </c>
      <c r="G72" s="47"/>
      <c r="H72" s="47"/>
      <c r="I72" s="49"/>
      <c r="M72" s="34"/>
    </row>
    <row r="73" spans="1:13" ht="13.5" customHeight="1">
      <c r="A73" s="16"/>
      <c r="B73" s="27" t="s">
        <v>181</v>
      </c>
      <c r="C73" s="384">
        <v>5.1242280000000004</v>
      </c>
      <c r="D73" s="384">
        <v>5.6109590000000003</v>
      </c>
      <c r="E73" s="384">
        <v>1.7299999999999999E-2</v>
      </c>
      <c r="F73" s="384">
        <v>3.0000000000000001E-3</v>
      </c>
      <c r="G73" s="47"/>
      <c r="H73" s="47"/>
      <c r="I73" s="49"/>
      <c r="M73" s="34"/>
    </row>
    <row r="74" spans="1:13" ht="13.5" customHeight="1">
      <c r="A74" s="16"/>
      <c r="B74" s="27" t="s">
        <v>182</v>
      </c>
      <c r="C74" s="384">
        <v>42.702730000000003</v>
      </c>
      <c r="D74" s="384">
        <v>48.306280000000001</v>
      </c>
      <c r="E74" s="384">
        <v>1.0999999999999999E-2</v>
      </c>
      <c r="F74" s="384">
        <v>0.252</v>
      </c>
      <c r="G74" s="47"/>
      <c r="H74" s="47"/>
      <c r="I74" s="49"/>
      <c r="M74" s="34"/>
    </row>
    <row r="75" spans="1:13" ht="13.5" customHeight="1">
      <c r="A75" s="16"/>
      <c r="B75" s="27" t="s">
        <v>59</v>
      </c>
      <c r="C75" s="384">
        <v>26.21669</v>
      </c>
      <c r="D75" s="384">
        <v>25.183449</v>
      </c>
      <c r="E75" s="384">
        <v>1.5832000000000002</v>
      </c>
      <c r="F75" s="384">
        <v>1.7255999999999998</v>
      </c>
      <c r="G75" s="47"/>
      <c r="H75" s="47"/>
      <c r="I75" s="49"/>
      <c r="M75" s="34"/>
    </row>
    <row r="76" spans="1:13" ht="13.5" customHeight="1">
      <c r="A76" s="16"/>
      <c r="B76" s="27" t="s">
        <v>183</v>
      </c>
      <c r="C76" s="384">
        <v>10.082459999999999</v>
      </c>
      <c r="D76" s="384">
        <v>12.265758999999999</v>
      </c>
      <c r="E76" s="384">
        <v>0.72975999999999996</v>
      </c>
      <c r="F76" s="384">
        <v>3.9202590000000002</v>
      </c>
      <c r="G76" s="47"/>
      <c r="H76" s="47"/>
      <c r="I76" s="49"/>
      <c r="M76" s="34"/>
    </row>
    <row r="77" spans="1:13" ht="13.5" customHeight="1">
      <c r="A77" s="16"/>
      <c r="B77" s="27" t="s">
        <v>184</v>
      </c>
      <c r="C77" s="384">
        <v>23.358060000000002</v>
      </c>
      <c r="D77" s="384">
        <v>20.342064000000001</v>
      </c>
      <c r="E77" s="384">
        <v>7.6E-3</v>
      </c>
      <c r="F77" s="384">
        <v>0.55600000000000005</v>
      </c>
      <c r="G77" s="47"/>
      <c r="H77" s="47"/>
      <c r="I77" s="49"/>
      <c r="M77" s="34"/>
    </row>
    <row r="78" spans="1:13" ht="13.5" customHeight="1">
      <c r="A78" s="16"/>
      <c r="B78" s="27" t="s">
        <v>130</v>
      </c>
      <c r="C78" s="384">
        <v>20.541588000000001</v>
      </c>
      <c r="D78" s="384">
        <v>15.415799000000002</v>
      </c>
      <c r="E78" s="384">
        <v>1.433449</v>
      </c>
      <c r="F78" s="384">
        <v>1.4314699999999998</v>
      </c>
      <c r="G78" s="47"/>
      <c r="H78" s="47"/>
      <c r="I78" s="49"/>
      <c r="M78" s="34"/>
    </row>
    <row r="79" spans="1:13" ht="13.5" customHeight="1">
      <c r="A79" s="16"/>
      <c r="B79" s="27" t="s">
        <v>185</v>
      </c>
      <c r="C79" s="384">
        <v>3.827134</v>
      </c>
      <c r="D79" s="384">
        <v>3.3638070000000004</v>
      </c>
      <c r="E79" s="384">
        <v>2.3845679999999998</v>
      </c>
      <c r="F79" s="384">
        <v>2.3206689999999996</v>
      </c>
      <c r="G79" s="47"/>
      <c r="H79" s="47"/>
      <c r="I79" s="49"/>
      <c r="M79" s="34"/>
    </row>
    <row r="80" spans="1:13" ht="13.5" customHeight="1">
      <c r="A80" s="16"/>
      <c r="B80" s="27" t="s">
        <v>186</v>
      </c>
      <c r="C80" s="384">
        <v>1.4399999999999998E-2</v>
      </c>
      <c r="D80" s="384">
        <v>0.11712</v>
      </c>
      <c r="E80" s="384">
        <v>8.0000000000000004E-4</v>
      </c>
      <c r="F80" s="384">
        <v>4.6620000000000002E-2</v>
      </c>
      <c r="G80" s="47"/>
      <c r="H80" s="47"/>
      <c r="I80" s="49"/>
      <c r="M80" s="34"/>
    </row>
    <row r="81" spans="1:13" ht="13.5" customHeight="1">
      <c r="A81" s="16"/>
      <c r="B81" s="27" t="s">
        <v>51</v>
      </c>
      <c r="C81" s="384">
        <v>12.41577</v>
      </c>
      <c r="D81" s="384">
        <v>14.639149000000002</v>
      </c>
      <c r="E81" s="384">
        <v>1.5073099999999999</v>
      </c>
      <c r="F81" s="384">
        <v>2.55328</v>
      </c>
      <c r="G81" s="47"/>
      <c r="H81" s="47"/>
      <c r="I81" s="49"/>
      <c r="M81" s="34"/>
    </row>
    <row r="82" spans="1:13" ht="13.5" customHeight="1">
      <c r="A82" s="16"/>
      <c r="B82" s="27" t="s">
        <v>204</v>
      </c>
      <c r="C82" s="384">
        <v>19.132710999999997</v>
      </c>
      <c r="D82" s="384">
        <v>17.965734000000001</v>
      </c>
      <c r="E82" s="384">
        <v>2.3167199999999997</v>
      </c>
      <c r="F82" s="384">
        <v>2.1084200000000002</v>
      </c>
      <c r="G82" s="47"/>
      <c r="H82" s="47"/>
      <c r="I82" s="49"/>
      <c r="M82" s="34"/>
    </row>
    <row r="83" spans="1:13" ht="13.5" customHeight="1">
      <c r="A83" s="16"/>
      <c r="B83" s="27" t="s">
        <v>205</v>
      </c>
      <c r="C83" s="384">
        <v>2.4760020000000003</v>
      </c>
      <c r="D83" s="384">
        <v>2.4268890000000001</v>
      </c>
      <c r="E83" s="384">
        <v>0.66496699999999997</v>
      </c>
      <c r="F83" s="384">
        <v>0.68628000000000011</v>
      </c>
      <c r="G83" s="47"/>
      <c r="H83" s="47"/>
      <c r="I83" s="49"/>
      <c r="M83" s="34"/>
    </row>
    <row r="84" spans="1:13" ht="13.5" customHeight="1">
      <c r="A84" s="16"/>
      <c r="B84" s="27" t="s">
        <v>206</v>
      </c>
      <c r="C84" s="384">
        <v>1.285504</v>
      </c>
      <c r="D84" s="384">
        <v>1.3217249999999998</v>
      </c>
      <c r="E84" s="384">
        <v>8.3729999999999999E-2</v>
      </c>
      <c r="F84" s="384">
        <v>8.5519999999999999E-2</v>
      </c>
      <c r="G84" s="47"/>
      <c r="H84" s="47"/>
      <c r="I84" s="49"/>
      <c r="M84" s="34"/>
    </row>
    <row r="85" spans="1:13" ht="5.25" customHeight="1">
      <c r="A85" s="16"/>
      <c r="B85" s="77"/>
      <c r="C85" s="385"/>
      <c r="D85" s="385"/>
      <c r="E85" s="385"/>
      <c r="F85" s="385"/>
      <c r="G85" s="54"/>
      <c r="H85" s="54"/>
      <c r="I85" s="54"/>
      <c r="J85" s="54"/>
      <c r="M85" s="34"/>
    </row>
    <row r="86" spans="1:13" ht="13.5" customHeight="1">
      <c r="A86" s="77" t="s">
        <v>208</v>
      </c>
      <c r="B86" s="55"/>
      <c r="C86" s="384"/>
      <c r="D86" s="384"/>
      <c r="E86" s="384"/>
      <c r="F86" s="384"/>
      <c r="G86" s="47"/>
      <c r="H86" s="47"/>
      <c r="I86" s="49"/>
      <c r="M86" s="34"/>
    </row>
    <row r="87" spans="1:13" ht="13.5" customHeight="1">
      <c r="A87" s="16"/>
      <c r="B87" s="56" t="s">
        <v>300</v>
      </c>
      <c r="C87" s="384">
        <v>1403.4820756086397</v>
      </c>
      <c r="D87" s="384">
        <v>1408.4462442350718</v>
      </c>
      <c r="E87" s="384">
        <v>174.54605614467658</v>
      </c>
      <c r="F87" s="384">
        <v>180.39913748271474</v>
      </c>
      <c r="G87" s="47"/>
      <c r="H87" s="47"/>
      <c r="I87" s="57"/>
      <c r="M87" s="34"/>
    </row>
    <row r="88" spans="1:13" ht="13.5" customHeight="1">
      <c r="A88" s="16"/>
      <c r="B88" s="56" t="s">
        <v>209</v>
      </c>
      <c r="C88" s="384">
        <v>55.194487945302583</v>
      </c>
      <c r="D88" s="384">
        <v>56.166080937241951</v>
      </c>
      <c r="E88" s="384">
        <v>7.184215435007749</v>
      </c>
      <c r="F88" s="384">
        <v>7.2884617206936948</v>
      </c>
      <c r="G88" s="47"/>
      <c r="H88" s="47"/>
      <c r="I88" s="57"/>
    </row>
    <row r="89" spans="1:13" ht="13.5" customHeight="1">
      <c r="A89" s="16"/>
      <c r="B89" s="56" t="s">
        <v>103</v>
      </c>
      <c r="C89" s="384">
        <v>148.63783591805122</v>
      </c>
      <c r="D89" s="384">
        <v>153.06389635258731</v>
      </c>
      <c r="E89" s="384">
        <v>18.926280788352567</v>
      </c>
      <c r="F89" s="384">
        <v>19.532319302506369</v>
      </c>
      <c r="G89" s="47"/>
      <c r="H89" s="47"/>
      <c r="I89" s="57"/>
    </row>
    <row r="90" spans="1:13" ht="13.5" customHeight="1">
      <c r="A90" s="16"/>
      <c r="B90" s="56" t="s">
        <v>105</v>
      </c>
      <c r="C90" s="384">
        <v>242.26858063536619</v>
      </c>
      <c r="D90" s="384">
        <v>245.76497883653522</v>
      </c>
      <c r="E90" s="384">
        <v>30.31355328144118</v>
      </c>
      <c r="F90" s="384">
        <v>30.458278503229479</v>
      </c>
      <c r="G90" s="47"/>
      <c r="H90" s="47"/>
      <c r="I90" s="57"/>
    </row>
    <row r="91" spans="1:13" ht="13.5" customHeight="1">
      <c r="A91" s="16"/>
      <c r="B91" s="56" t="s">
        <v>107</v>
      </c>
      <c r="C91" s="384">
        <v>8.4145097052441802</v>
      </c>
      <c r="D91" s="384">
        <v>8.3885218851469201</v>
      </c>
      <c r="E91" s="384">
        <v>1.0949627</v>
      </c>
      <c r="F91" s="384">
        <v>1.0689986609241651</v>
      </c>
      <c r="G91" s="47"/>
      <c r="H91" s="47"/>
      <c r="I91" s="57"/>
    </row>
    <row r="92" spans="1:13" ht="13.5" customHeight="1">
      <c r="A92" s="16"/>
      <c r="B92" s="56" t="s">
        <v>109</v>
      </c>
      <c r="C92" s="384">
        <v>19.854913072455648</v>
      </c>
      <c r="D92" s="384">
        <v>20.365825836453613</v>
      </c>
      <c r="E92" s="384">
        <v>2.4387764866666664</v>
      </c>
      <c r="F92" s="384">
        <v>2.486618251944444</v>
      </c>
      <c r="G92" s="47"/>
      <c r="H92" s="47"/>
      <c r="I92" s="57"/>
    </row>
    <row r="93" spans="1:13" ht="13.5" customHeight="1">
      <c r="A93" s="16"/>
      <c r="B93" s="56" t="s">
        <v>131</v>
      </c>
      <c r="C93" s="384">
        <v>5.8889821594444447</v>
      </c>
      <c r="D93" s="384">
        <v>6.1341774265225091</v>
      </c>
      <c r="E93" s="384">
        <v>0.73110337000000003</v>
      </c>
      <c r="F93" s="384">
        <v>0.7494640588888889</v>
      </c>
      <c r="G93" s="47"/>
      <c r="H93" s="47"/>
      <c r="I93" s="57"/>
    </row>
    <row r="94" spans="1:13" ht="13.5" customHeight="1">
      <c r="A94" s="16"/>
      <c r="B94" s="27" t="s">
        <v>132</v>
      </c>
      <c r="C94" s="384">
        <v>329.0663540258214</v>
      </c>
      <c r="D94" s="384">
        <v>333.37158052498893</v>
      </c>
      <c r="E94" s="384">
        <v>41.229490818000016</v>
      </c>
      <c r="F94" s="384">
        <v>41.860223684388998</v>
      </c>
      <c r="G94" s="47"/>
      <c r="H94" s="47"/>
      <c r="I94" s="57"/>
    </row>
    <row r="95" spans="1:13" ht="13.5" customHeight="1">
      <c r="A95" s="16"/>
      <c r="B95" s="27" t="s">
        <v>133</v>
      </c>
      <c r="C95" s="384">
        <v>1459.3016358540981</v>
      </c>
      <c r="D95" s="384">
        <v>1488.5650489804807</v>
      </c>
      <c r="E95" s="384">
        <v>176.20171194412106</v>
      </c>
      <c r="F95" s="384">
        <v>178.89617773664949</v>
      </c>
      <c r="G95" s="47"/>
      <c r="H95" s="47"/>
      <c r="I95" s="57"/>
    </row>
    <row r="96" spans="1:13" ht="13.5" customHeight="1">
      <c r="A96" s="16"/>
      <c r="B96" s="27" t="s">
        <v>134</v>
      </c>
      <c r="C96" s="384">
        <v>1.7259831547999998</v>
      </c>
      <c r="D96" s="384">
        <v>1.7185217981599998</v>
      </c>
      <c r="E96" s="384">
        <v>2.0203800000000003E-4</v>
      </c>
      <c r="F96" s="384">
        <v>2.2965671999999998E-4</v>
      </c>
      <c r="G96" s="47"/>
      <c r="H96" s="47"/>
      <c r="I96" s="57"/>
    </row>
    <row r="97" spans="1:9" ht="13.5" customHeight="1">
      <c r="A97" s="52"/>
      <c r="B97" s="25" t="s">
        <v>135</v>
      </c>
      <c r="C97" s="384">
        <v>0.27047861219999997</v>
      </c>
      <c r="D97" s="384">
        <v>0.27614934347809517</v>
      </c>
      <c r="E97" s="384">
        <v>0</v>
      </c>
      <c r="F97" s="384">
        <v>0</v>
      </c>
      <c r="G97" s="47"/>
      <c r="H97" s="47"/>
      <c r="I97" s="57"/>
    </row>
    <row r="98" spans="1:9" ht="13.5" customHeight="1">
      <c r="A98" s="12"/>
      <c r="B98" s="26" t="s">
        <v>196</v>
      </c>
      <c r="C98" s="386">
        <v>6.3291711318688879</v>
      </c>
      <c r="D98" s="386">
        <v>6.7622051968091501</v>
      </c>
      <c r="E98" s="386">
        <v>0.13362368359999999</v>
      </c>
      <c r="F98" s="386">
        <v>0.13103571876</v>
      </c>
      <c r="G98" s="47"/>
      <c r="H98" s="47"/>
      <c r="I98" s="57"/>
    </row>
    <row r="99" spans="1:9" ht="9" customHeight="1">
      <c r="A99" s="132" t="s">
        <v>198</v>
      </c>
      <c r="B99" s="128"/>
      <c r="C99" s="134"/>
      <c r="D99" s="58"/>
      <c r="E99" s="134"/>
      <c r="F99" s="58"/>
      <c r="G99" s="47"/>
      <c r="H99" s="47"/>
      <c r="I99" s="49"/>
    </row>
    <row r="100" spans="1:9" ht="9" customHeight="1">
      <c r="A100" s="206" t="s">
        <v>348</v>
      </c>
      <c r="B100" s="128"/>
      <c r="C100" s="135"/>
      <c r="D100" s="135"/>
      <c r="E100" s="134"/>
      <c r="F100" s="58"/>
    </row>
    <row r="101" spans="1:9" ht="17.25" customHeight="1">
      <c r="A101" s="32"/>
      <c r="B101" s="32"/>
      <c r="C101" s="58"/>
      <c r="D101" s="58"/>
    </row>
    <row r="102" spans="1:9" ht="17.25" customHeight="1">
      <c r="A102" s="203"/>
      <c r="B102" s="203"/>
      <c r="C102" s="203"/>
      <c r="D102" s="203"/>
      <c r="E102" s="203"/>
      <c r="F102" s="203"/>
    </row>
    <row r="103" spans="1:9" ht="17.25" customHeight="1">
      <c r="A103" s="203"/>
      <c r="B103" s="203"/>
      <c r="C103" s="203"/>
      <c r="D103" s="203"/>
      <c r="E103" s="203"/>
      <c r="F103" s="203"/>
    </row>
    <row r="104" spans="1:9" ht="17.25" customHeight="1">
      <c r="A104" s="203"/>
      <c r="B104" s="203"/>
      <c r="C104" s="203"/>
      <c r="D104" s="203"/>
      <c r="E104" s="203"/>
      <c r="F104" s="203"/>
    </row>
    <row r="105" spans="1:9" ht="17.25" customHeight="1">
      <c r="A105" s="203"/>
      <c r="B105" s="203"/>
      <c r="C105" s="203"/>
      <c r="D105" s="203"/>
      <c r="E105" s="203"/>
      <c r="F105" s="203"/>
    </row>
    <row r="106" spans="1:9" ht="17.25" customHeight="1">
      <c r="A106" s="203"/>
      <c r="B106" s="203"/>
      <c r="C106" s="203"/>
      <c r="D106" s="203"/>
      <c r="E106" s="203"/>
      <c r="F106" s="203"/>
    </row>
    <row r="107" spans="1:9" ht="17.25" customHeight="1">
      <c r="A107" s="203"/>
      <c r="B107" s="203"/>
      <c r="C107" s="203"/>
      <c r="D107" s="203"/>
      <c r="E107" s="203"/>
      <c r="F107" s="203"/>
    </row>
    <row r="108" spans="1:9" ht="17.25" customHeight="1">
      <c r="A108" s="203"/>
      <c r="B108" s="203"/>
      <c r="C108" s="203"/>
      <c r="D108" s="203"/>
      <c r="E108" s="203"/>
      <c r="F108" s="203"/>
    </row>
    <row r="109" spans="1:9" ht="17.25" customHeight="1">
      <c r="A109" s="203"/>
      <c r="B109" s="203"/>
      <c r="C109" s="203"/>
      <c r="D109" s="203"/>
      <c r="E109" s="203"/>
      <c r="F109" s="203"/>
    </row>
    <row r="110" spans="1:9" ht="17.25" customHeight="1">
      <c r="A110" s="203"/>
      <c r="B110" s="203"/>
      <c r="C110" s="203"/>
      <c r="D110" s="203"/>
      <c r="E110" s="203"/>
      <c r="F110" s="203"/>
    </row>
    <row r="111" spans="1:9" ht="17.25" customHeight="1">
      <c r="A111" s="203"/>
      <c r="B111" s="203"/>
      <c r="C111" s="203"/>
      <c r="D111" s="203"/>
      <c r="E111" s="203"/>
      <c r="F111" s="203"/>
    </row>
    <row r="112" spans="1:9" ht="17.25" customHeight="1">
      <c r="A112" s="203"/>
      <c r="B112" s="203"/>
      <c r="C112" s="203"/>
      <c r="D112" s="203"/>
      <c r="E112" s="203"/>
      <c r="F112" s="203"/>
    </row>
    <row r="113" spans="1:6" ht="17.25" customHeight="1">
      <c r="A113" s="203"/>
      <c r="B113" s="203"/>
      <c r="C113" s="203"/>
      <c r="D113" s="203"/>
      <c r="E113" s="203"/>
      <c r="F113" s="203"/>
    </row>
    <row r="114" spans="1:6" ht="17.25" customHeight="1">
      <c r="A114" s="60"/>
      <c r="B114" s="61"/>
    </row>
    <row r="115" spans="1:6" ht="17.25" customHeight="1">
      <c r="A115" s="60"/>
      <c r="B115" s="61"/>
    </row>
    <row r="116" spans="1:6" ht="17.25" customHeight="1">
      <c r="A116" s="60"/>
      <c r="B116" s="62"/>
    </row>
    <row r="117" spans="1:6" ht="17.25" customHeight="1">
      <c r="A117" s="60"/>
      <c r="B117" s="61"/>
    </row>
    <row r="118" spans="1:6" ht="17.25" customHeight="1">
      <c r="A118" s="60"/>
      <c r="B118" s="62"/>
    </row>
    <row r="119" spans="1:6" ht="17.25" customHeight="1">
      <c r="A119" s="60"/>
      <c r="B119" s="61"/>
    </row>
    <row r="120" spans="1:6" ht="17.25" customHeight="1">
      <c r="A120" s="60"/>
      <c r="B120" s="62"/>
    </row>
    <row r="121" spans="1:6" ht="17.25" customHeight="1">
      <c r="A121" s="60"/>
      <c r="B121" s="62"/>
    </row>
    <row r="122" spans="1:6" ht="17.25" customHeight="1">
      <c r="A122" s="60"/>
      <c r="B122" s="62"/>
    </row>
    <row r="123" spans="1:6" ht="17.25" customHeight="1">
      <c r="A123" s="60"/>
      <c r="B123" s="61"/>
    </row>
    <row r="124" spans="1:6" ht="17.25" customHeight="1">
      <c r="A124" s="60"/>
      <c r="B124" s="62"/>
    </row>
    <row r="125" spans="1:6" ht="17.25" customHeight="1">
      <c r="A125" s="60"/>
      <c r="B125" s="61"/>
    </row>
    <row r="126" spans="1:6" ht="17.25" customHeight="1">
      <c r="A126" s="60"/>
      <c r="B126" s="62"/>
    </row>
    <row r="127" spans="1:6" ht="17.25" customHeight="1">
      <c r="A127" s="60"/>
      <c r="B127" s="61"/>
    </row>
    <row r="128" spans="1:6" ht="17.25" customHeight="1">
      <c r="A128" s="60"/>
      <c r="B128" s="61"/>
    </row>
    <row r="129" spans="2:2" ht="17.25" customHeight="1">
      <c r="B129" s="61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98"/>
  <sheetViews>
    <sheetView showGridLines="0" zoomScale="130" zoomScaleNormal="130" workbookViewId="0"/>
  </sheetViews>
  <sheetFormatPr baseColWidth="10" defaultColWidth="6.42578125" defaultRowHeight="17.25" customHeight="1"/>
  <cols>
    <col min="1" max="1" width="0.42578125" style="204" customWidth="1"/>
    <col min="2" max="2" width="12.28515625" style="204" customWidth="1"/>
    <col min="3" max="5" width="7.28515625" style="204" bestFit="1" customWidth="1"/>
    <col min="6" max="24" width="7.7109375" style="204" customWidth="1"/>
    <col min="25" max="204" width="6.42578125" style="204"/>
    <col min="205" max="205" width="1.42578125" style="204" customWidth="1"/>
    <col min="206" max="206" width="1.28515625" style="204" customWidth="1"/>
    <col min="207" max="207" width="14" style="204" customWidth="1"/>
    <col min="208" max="217" width="0" style="204" hidden="1" customWidth="1"/>
    <col min="218" max="218" width="8.28515625" style="204" customWidth="1"/>
    <col min="219" max="219" width="8" style="204" customWidth="1"/>
    <col min="220" max="226" width="8.28515625" style="204" customWidth="1"/>
    <col min="227" max="227" width="8.7109375" style="204" customWidth="1"/>
    <col min="228" max="236" width="8.42578125" style="204" customWidth="1"/>
    <col min="237" max="237" width="5.140625" style="204" customWidth="1"/>
    <col min="238" max="238" width="6.42578125" style="204" customWidth="1"/>
    <col min="239" max="239" width="14" style="204" customWidth="1"/>
    <col min="240" max="249" width="0" style="204" hidden="1" customWidth="1"/>
    <col min="250" max="250" width="7.140625" style="204" bestFit="1" customWidth="1"/>
    <col min="251" max="251" width="7.140625" style="204" customWidth="1"/>
    <col min="252" max="252" width="6.7109375" style="204" bestFit="1" customWidth="1"/>
    <col min="253" max="254" width="6.42578125" style="204"/>
    <col min="255" max="255" width="6.140625" style="204" customWidth="1"/>
    <col min="256" max="16384" width="6.42578125" style="204"/>
  </cols>
  <sheetData>
    <row r="1" spans="1:24" s="203" customFormat="1" ht="16.5" customHeight="1">
      <c r="A1" s="261" t="s">
        <v>436</v>
      </c>
      <c r="B1" s="40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4" s="203" customFormat="1" ht="13.5">
      <c r="A2" s="252" t="s">
        <v>6</v>
      </c>
      <c r="B2" s="40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4" s="203" customFormat="1" ht="3.95" customHeight="1">
      <c r="A3" s="35"/>
      <c r="B3" s="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38"/>
      <c r="R3" s="38"/>
      <c r="S3" s="38"/>
      <c r="T3" s="38"/>
      <c r="U3" s="38"/>
      <c r="V3" s="38"/>
    </row>
    <row r="4" spans="1:24" s="203" customFormat="1" ht="14.1" customHeight="1">
      <c r="A4" s="368" t="s">
        <v>230</v>
      </c>
      <c r="B4" s="369"/>
      <c r="C4" s="370" t="s">
        <v>199</v>
      </c>
      <c r="D4" s="370" t="s">
        <v>200</v>
      </c>
      <c r="E4" s="370" t="s">
        <v>296</v>
      </c>
      <c r="F4" s="370" t="s">
        <v>266</v>
      </c>
      <c r="G4" s="370" t="s">
        <v>267</v>
      </c>
      <c r="H4" s="370" t="s">
        <v>268</v>
      </c>
      <c r="I4" s="370" t="s">
        <v>269</v>
      </c>
      <c r="J4" s="370" t="s">
        <v>270</v>
      </c>
      <c r="K4" s="370" t="s">
        <v>271</v>
      </c>
      <c r="L4" s="370" t="s">
        <v>226</v>
      </c>
      <c r="M4" s="370" t="s">
        <v>227</v>
      </c>
      <c r="N4" s="370" t="s">
        <v>228</v>
      </c>
      <c r="O4" s="370" t="s">
        <v>95</v>
      </c>
      <c r="P4" s="370" t="s">
        <v>96</v>
      </c>
      <c r="Q4" s="370" t="s">
        <v>97</v>
      </c>
      <c r="R4" s="370" t="s">
        <v>98</v>
      </c>
      <c r="S4" s="370" t="s">
        <v>99</v>
      </c>
      <c r="T4" s="387" t="s">
        <v>455</v>
      </c>
      <c r="U4" s="387" t="s">
        <v>456</v>
      </c>
      <c r="V4" s="387" t="s">
        <v>457</v>
      </c>
      <c r="W4" s="387" t="s">
        <v>458</v>
      </c>
      <c r="X4" s="387" t="s">
        <v>459</v>
      </c>
    </row>
    <row r="5" spans="1:24" s="203" customFormat="1" ht="15.95" customHeight="1">
      <c r="A5" s="371" t="s">
        <v>58</v>
      </c>
      <c r="B5" s="372"/>
      <c r="C5" s="378">
        <v>12916.816658286958</v>
      </c>
      <c r="D5" s="378">
        <v>13019.710773350267</v>
      </c>
      <c r="E5" s="378">
        <v>13771.51769309528</v>
      </c>
      <c r="F5" s="378">
        <v>14106.942026372588</v>
      </c>
      <c r="G5" s="378">
        <v>13938.269440861186</v>
      </c>
      <c r="H5" s="378">
        <v>14990.406157213807</v>
      </c>
      <c r="I5" s="378">
        <v>16028.27219176474</v>
      </c>
      <c r="J5" s="378">
        <v>16344.603738073054</v>
      </c>
      <c r="K5" s="378">
        <v>17747.417856863758</v>
      </c>
      <c r="L5" s="378">
        <v>18243.847847737845</v>
      </c>
      <c r="M5" s="378">
        <v>18768.143149683012</v>
      </c>
      <c r="N5" s="378">
        <v>19913.272948487487</v>
      </c>
      <c r="O5" s="378">
        <v>21078.810629987292</v>
      </c>
      <c r="P5" s="378">
        <v>21412.426097086216</v>
      </c>
      <c r="Q5" s="378">
        <v>21738.113462916295</v>
      </c>
      <c r="R5" s="378">
        <v>22541.012119764055</v>
      </c>
      <c r="S5" s="378">
        <v>22909.453144988707</v>
      </c>
      <c r="T5" s="378">
        <v>23404.868434513817</v>
      </c>
      <c r="U5" s="378">
        <v>25426.220045008071</v>
      </c>
      <c r="V5" s="378">
        <v>26165.935425995383</v>
      </c>
      <c r="W5" s="378">
        <v>26536.522837370041</v>
      </c>
      <c r="X5" s="378">
        <v>27029.673417096979</v>
      </c>
    </row>
    <row r="6" spans="1:24" s="203" customFormat="1" ht="15.95" customHeight="1">
      <c r="A6" s="376" t="s">
        <v>82</v>
      </c>
      <c r="B6" s="373"/>
      <c r="C6" s="379">
        <v>8989.1616059672051</v>
      </c>
      <c r="D6" s="379">
        <v>8978.5868350171113</v>
      </c>
      <c r="E6" s="379">
        <v>9560.6005272903785</v>
      </c>
      <c r="F6" s="379">
        <v>9733.1018293332363</v>
      </c>
      <c r="G6" s="379">
        <v>9485.302393552276</v>
      </c>
      <c r="H6" s="379">
        <v>10226.20742147809</v>
      </c>
      <c r="I6" s="379">
        <v>10883.008997360652</v>
      </c>
      <c r="J6" s="379">
        <v>10827.302957425167</v>
      </c>
      <c r="K6" s="379">
        <v>11884.141869702842</v>
      </c>
      <c r="L6" s="379">
        <v>12012.546813901521</v>
      </c>
      <c r="M6" s="379">
        <v>12298.576169885564</v>
      </c>
      <c r="N6" s="379">
        <v>12911.390060005788</v>
      </c>
      <c r="O6" s="379">
        <v>13691.210872032425</v>
      </c>
      <c r="P6" s="379">
        <v>13795.939126572885</v>
      </c>
      <c r="Q6" s="379">
        <v>13859.800431247197</v>
      </c>
      <c r="R6" s="379">
        <v>14249.878332332928</v>
      </c>
      <c r="S6" s="379">
        <v>14260.48837222757</v>
      </c>
      <c r="T6" s="379">
        <v>14553.662447871093</v>
      </c>
      <c r="U6" s="379">
        <v>16086.005572135324</v>
      </c>
      <c r="V6" s="379">
        <v>16419.505034560305</v>
      </c>
      <c r="W6" s="379">
        <v>16901.460764626088</v>
      </c>
      <c r="X6" s="379">
        <v>17295.95975113555</v>
      </c>
    </row>
    <row r="7" spans="1:24" s="203" customFormat="1" ht="10.35" customHeight="1">
      <c r="A7" s="140"/>
      <c r="B7" s="141" t="s">
        <v>277</v>
      </c>
      <c r="C7" s="380">
        <v>1281.499667369734</v>
      </c>
      <c r="D7" s="380">
        <v>1407.4485278674542</v>
      </c>
      <c r="E7" s="380">
        <v>1476.7914327257488</v>
      </c>
      <c r="F7" s="380">
        <v>1468.6718903514404</v>
      </c>
      <c r="G7" s="380">
        <v>1198.9247319146543</v>
      </c>
      <c r="H7" s="380">
        <v>1636.5336135432126</v>
      </c>
      <c r="I7" s="380">
        <v>1578.4259615314456</v>
      </c>
      <c r="J7" s="380">
        <v>1587.1459134233464</v>
      </c>
      <c r="K7" s="380">
        <v>1755.9621506760491</v>
      </c>
      <c r="L7" s="380">
        <v>1937.244057341956</v>
      </c>
      <c r="M7" s="380">
        <v>1840.1031883131873</v>
      </c>
      <c r="N7" s="380">
        <v>1707.9017845619289</v>
      </c>
      <c r="O7" s="380">
        <v>1965.8681617219893</v>
      </c>
      <c r="P7" s="380">
        <v>2019.2307346101516</v>
      </c>
      <c r="Q7" s="380">
        <v>1863.6465761413901</v>
      </c>
      <c r="R7" s="380">
        <v>2051.1061040167992</v>
      </c>
      <c r="S7" s="380">
        <v>1999.4199296278623</v>
      </c>
      <c r="T7" s="380">
        <v>1898.8138372478222</v>
      </c>
      <c r="U7" s="380">
        <v>2267.0354842844622</v>
      </c>
      <c r="V7" s="380">
        <v>2015.2476659416234</v>
      </c>
      <c r="W7" s="380">
        <v>2224.8360917748669</v>
      </c>
      <c r="X7" s="380">
        <v>2205.1045130114253</v>
      </c>
    </row>
    <row r="8" spans="1:24" s="203" customFormat="1" ht="10.35" customHeight="1">
      <c r="A8" s="142"/>
      <c r="B8" s="141" t="s">
        <v>278</v>
      </c>
      <c r="C8" s="380">
        <v>1251.0822852409083</v>
      </c>
      <c r="D8" s="380">
        <v>977.54286685828652</v>
      </c>
      <c r="E8" s="380">
        <v>1194.7041563534926</v>
      </c>
      <c r="F8" s="380">
        <v>1181.4791675918027</v>
      </c>
      <c r="G8" s="380">
        <v>1074.3069699254816</v>
      </c>
      <c r="H8" s="380">
        <v>1214.1481781259538</v>
      </c>
      <c r="I8" s="380">
        <v>1168.0231428979826</v>
      </c>
      <c r="J8" s="380">
        <v>1181.582831428917</v>
      </c>
      <c r="K8" s="380">
        <v>1280.980182141519</v>
      </c>
      <c r="L8" s="380">
        <v>1352.0518829365039</v>
      </c>
      <c r="M8" s="380">
        <v>1326.8239803112569</v>
      </c>
      <c r="N8" s="380">
        <v>1447.9121972570274</v>
      </c>
      <c r="O8" s="380">
        <v>1617.1427191457728</v>
      </c>
      <c r="P8" s="380">
        <v>1630.605226809847</v>
      </c>
      <c r="Q8" s="380">
        <v>1678.6857183726763</v>
      </c>
      <c r="R8" s="380">
        <v>1730.7109882542686</v>
      </c>
      <c r="S8" s="380">
        <v>1647.6828528744863</v>
      </c>
      <c r="T8" s="380">
        <v>1717.2967656876046</v>
      </c>
      <c r="U8" s="380">
        <v>1901.5292280865829</v>
      </c>
      <c r="V8" s="380">
        <v>1988.0646006889638</v>
      </c>
      <c r="W8" s="380">
        <v>2016.3464904444452</v>
      </c>
      <c r="X8" s="380">
        <v>2095.4035597002126</v>
      </c>
    </row>
    <row r="9" spans="1:24" s="203" customFormat="1" ht="10.35" customHeight="1">
      <c r="A9" s="138"/>
      <c r="B9" s="141" t="s">
        <v>84</v>
      </c>
      <c r="C9" s="380">
        <v>893.70724243823406</v>
      </c>
      <c r="D9" s="380">
        <v>915.78966409956763</v>
      </c>
      <c r="E9" s="380">
        <v>996.50541487960106</v>
      </c>
      <c r="F9" s="380">
        <v>946.70952911668041</v>
      </c>
      <c r="G9" s="380">
        <v>1083.8962120279768</v>
      </c>
      <c r="H9" s="380">
        <v>875.92650694645988</v>
      </c>
      <c r="I9" s="380">
        <v>1265.0681997305487</v>
      </c>
      <c r="J9" s="380">
        <v>1023.1809687613297</v>
      </c>
      <c r="K9" s="380">
        <v>1280.0879522357943</v>
      </c>
      <c r="L9" s="380">
        <v>1189.2543498125081</v>
      </c>
      <c r="M9" s="380">
        <v>1296.7802913673397</v>
      </c>
      <c r="N9" s="380">
        <v>1536.9143585023621</v>
      </c>
      <c r="O9" s="380">
        <v>1471.0756852538409</v>
      </c>
      <c r="P9" s="380">
        <v>1193.575163069245</v>
      </c>
      <c r="Q9" s="380">
        <v>1028.2896959535838</v>
      </c>
      <c r="R9" s="380">
        <v>1195.8317751761699</v>
      </c>
      <c r="S9" s="380">
        <v>1298.5716672214746</v>
      </c>
      <c r="T9" s="380">
        <v>1551.6406731606212</v>
      </c>
      <c r="U9" s="380">
        <v>1702.1433147493728</v>
      </c>
      <c r="V9" s="380">
        <v>1666.7439380334811</v>
      </c>
      <c r="W9" s="380">
        <v>1734.3307980209602</v>
      </c>
      <c r="X9" s="380">
        <v>1744.8084936499497</v>
      </c>
    </row>
    <row r="10" spans="1:24" s="203" customFormat="1" ht="10.35" customHeight="1">
      <c r="A10" s="138"/>
      <c r="B10" s="141" t="s">
        <v>279</v>
      </c>
      <c r="C10" s="380">
        <v>273.92706733160236</v>
      </c>
      <c r="D10" s="380">
        <v>319.43803397931924</v>
      </c>
      <c r="E10" s="380">
        <v>319.38440495764826</v>
      </c>
      <c r="F10" s="380">
        <v>340.73970407867307</v>
      </c>
      <c r="G10" s="380">
        <v>352.63702188394899</v>
      </c>
      <c r="H10" s="380">
        <v>353.27111337681265</v>
      </c>
      <c r="I10" s="380">
        <v>426.03565635835122</v>
      </c>
      <c r="J10" s="380">
        <v>470.93465119671623</v>
      </c>
      <c r="K10" s="380">
        <v>601.03301421606045</v>
      </c>
      <c r="L10" s="380">
        <v>543.57897121215376</v>
      </c>
      <c r="M10" s="380">
        <v>566.91378524571212</v>
      </c>
      <c r="N10" s="380">
        <v>685.5366602372352</v>
      </c>
      <c r="O10" s="380">
        <v>628.9563127010573</v>
      </c>
      <c r="P10" s="380">
        <v>626.7837577150683</v>
      </c>
      <c r="Q10" s="380">
        <v>659.64391880303128</v>
      </c>
      <c r="R10" s="380">
        <v>683.53064502258212</v>
      </c>
      <c r="S10" s="380">
        <v>711.95170502442011</v>
      </c>
      <c r="T10" s="380">
        <v>716.3320246760411</v>
      </c>
      <c r="U10" s="380">
        <v>674.84164835722083</v>
      </c>
      <c r="V10" s="380">
        <v>687.54934704861125</v>
      </c>
      <c r="W10" s="380">
        <v>730.51378627600047</v>
      </c>
      <c r="X10" s="380">
        <v>684.72848491327477</v>
      </c>
    </row>
    <row r="11" spans="1:24" s="203" customFormat="1" ht="10.35" customHeight="1">
      <c r="A11" s="138"/>
      <c r="B11" s="141" t="s">
        <v>225</v>
      </c>
      <c r="C11" s="380">
        <v>412.00230030159008</v>
      </c>
      <c r="D11" s="380">
        <v>481.28439095443986</v>
      </c>
      <c r="E11" s="380">
        <v>460.24788563653192</v>
      </c>
      <c r="F11" s="380">
        <v>543.18506655938006</v>
      </c>
      <c r="G11" s="380">
        <v>467.76236065803073</v>
      </c>
      <c r="H11" s="380">
        <v>472.76855855440846</v>
      </c>
      <c r="I11" s="380">
        <v>467.88397821325543</v>
      </c>
      <c r="J11" s="380">
        <v>492.42538373914351</v>
      </c>
      <c r="K11" s="380">
        <v>543.33253297500448</v>
      </c>
      <c r="L11" s="380">
        <v>593.97537652983817</v>
      </c>
      <c r="M11" s="380">
        <v>571.82753896840723</v>
      </c>
      <c r="N11" s="380">
        <v>526.31253975685524</v>
      </c>
      <c r="O11" s="380">
        <v>603.46368053850313</v>
      </c>
      <c r="P11" s="380">
        <v>598.94520768119764</v>
      </c>
      <c r="Q11" s="380">
        <v>559.37071928887667</v>
      </c>
      <c r="R11" s="380">
        <v>610.72636654251539</v>
      </c>
      <c r="S11" s="380">
        <v>568.16485932845717</v>
      </c>
      <c r="T11" s="380">
        <v>555.48640829186922</v>
      </c>
      <c r="U11" s="380">
        <v>583.50246837701172</v>
      </c>
      <c r="V11" s="380">
        <v>586.10599742987074</v>
      </c>
      <c r="W11" s="380">
        <v>518.51925674444783</v>
      </c>
      <c r="X11" s="380">
        <v>590.12236244471524</v>
      </c>
    </row>
    <row r="12" spans="1:24" s="203" customFormat="1" ht="10.35" customHeight="1">
      <c r="A12" s="138"/>
      <c r="B12" s="141" t="s">
        <v>280</v>
      </c>
      <c r="C12" s="380">
        <v>426.22969580179915</v>
      </c>
      <c r="D12" s="380">
        <v>430.17871257047676</v>
      </c>
      <c r="E12" s="380">
        <v>428.45705567767271</v>
      </c>
      <c r="F12" s="380">
        <v>446.67029869137241</v>
      </c>
      <c r="G12" s="380">
        <v>443.91467549221295</v>
      </c>
      <c r="H12" s="380">
        <v>453.42199984287794</v>
      </c>
      <c r="I12" s="380">
        <v>439.40677483450912</v>
      </c>
      <c r="J12" s="380">
        <v>454.60636813188341</v>
      </c>
      <c r="K12" s="380">
        <v>458.34454961904459</v>
      </c>
      <c r="L12" s="380">
        <v>484.25888733786843</v>
      </c>
      <c r="M12" s="380">
        <v>501.24498239564315</v>
      </c>
      <c r="N12" s="380">
        <v>519.74164986004132</v>
      </c>
      <c r="O12" s="380">
        <v>539.37715753282248</v>
      </c>
      <c r="P12" s="380">
        <v>571.45212369510284</v>
      </c>
      <c r="Q12" s="380">
        <v>546.70604985177442</v>
      </c>
      <c r="R12" s="380">
        <v>568.53097277889469</v>
      </c>
      <c r="S12" s="380">
        <v>559.87081069248018</v>
      </c>
      <c r="T12" s="380">
        <v>558.60904648815676</v>
      </c>
      <c r="U12" s="380">
        <v>561.02267073517828</v>
      </c>
      <c r="V12" s="380">
        <v>585.81403022760014</v>
      </c>
      <c r="W12" s="380">
        <v>614.51628837369549</v>
      </c>
      <c r="X12" s="380">
        <v>617.23613832504429</v>
      </c>
    </row>
    <row r="13" spans="1:24" s="203" customFormat="1" ht="10.35" customHeight="1">
      <c r="A13" s="138"/>
      <c r="B13" s="141" t="s">
        <v>281</v>
      </c>
      <c r="C13" s="380">
        <v>326.56051419913416</v>
      </c>
      <c r="D13" s="380">
        <v>353.2885655645664</v>
      </c>
      <c r="E13" s="380">
        <v>349.75553244090003</v>
      </c>
      <c r="F13" s="380">
        <v>366.80894051062438</v>
      </c>
      <c r="G13" s="380">
        <v>378.91864678932137</v>
      </c>
      <c r="H13" s="380">
        <v>385.04552099853879</v>
      </c>
      <c r="I13" s="380">
        <v>401.66815891043177</v>
      </c>
      <c r="J13" s="380">
        <v>417.66384467505111</v>
      </c>
      <c r="K13" s="380">
        <v>402.73497433161862</v>
      </c>
      <c r="L13" s="380">
        <v>418.49045313069666</v>
      </c>
      <c r="M13" s="380">
        <v>444.96012721857568</v>
      </c>
      <c r="N13" s="380">
        <v>442.08242137103963</v>
      </c>
      <c r="O13" s="380">
        <v>468.1264793653192</v>
      </c>
      <c r="P13" s="380">
        <v>476.42242199576856</v>
      </c>
      <c r="Q13" s="380">
        <v>478.47735207935057</v>
      </c>
      <c r="R13" s="380">
        <v>463.96561543752961</v>
      </c>
      <c r="S13" s="380">
        <v>461.68782965945439</v>
      </c>
      <c r="T13" s="380">
        <v>438.15302898801934</v>
      </c>
      <c r="U13" s="380">
        <v>489.43055151546918</v>
      </c>
      <c r="V13" s="380">
        <v>508.48666750850202</v>
      </c>
      <c r="W13" s="380">
        <v>516.37666152901932</v>
      </c>
      <c r="X13" s="380">
        <v>513.56277888972409</v>
      </c>
    </row>
    <row r="14" spans="1:24" s="203" customFormat="1" ht="10.35" customHeight="1">
      <c r="A14" s="138"/>
      <c r="B14" s="141" t="s">
        <v>282</v>
      </c>
      <c r="C14" s="380">
        <v>365.51550210919447</v>
      </c>
      <c r="D14" s="380">
        <v>342.06158403709071</v>
      </c>
      <c r="E14" s="380">
        <v>341.03222676841273</v>
      </c>
      <c r="F14" s="380">
        <v>320.66060375134293</v>
      </c>
      <c r="G14" s="380">
        <v>443.57479235573618</v>
      </c>
      <c r="H14" s="380">
        <v>495.72493809461452</v>
      </c>
      <c r="I14" s="380">
        <v>505.65078048520991</v>
      </c>
      <c r="J14" s="380">
        <v>517.19163849982726</v>
      </c>
      <c r="K14" s="380">
        <v>405.71446429857707</v>
      </c>
      <c r="L14" s="380">
        <v>235.07803513492573</v>
      </c>
      <c r="M14" s="380">
        <v>157.39793419506165</v>
      </c>
      <c r="N14" s="380">
        <v>284.29983546676846</v>
      </c>
      <c r="O14" s="380">
        <v>270.59920552584083</v>
      </c>
      <c r="P14" s="380">
        <v>204.98990672083133</v>
      </c>
      <c r="Q14" s="380">
        <v>230.71104122325278</v>
      </c>
      <c r="R14" s="380">
        <v>177.77340071799117</v>
      </c>
      <c r="S14" s="380">
        <v>112.78745982546988</v>
      </c>
      <c r="T14" s="380">
        <v>54.199965305530284</v>
      </c>
      <c r="U14" s="380">
        <v>94.547664787123949</v>
      </c>
      <c r="V14" s="380">
        <v>118.56162124727298</v>
      </c>
      <c r="W14" s="380">
        <v>42.138765550763878</v>
      </c>
      <c r="X14" s="380">
        <v>26.10758688595309</v>
      </c>
    </row>
    <row r="15" spans="1:24" s="203" customFormat="1" ht="10.35" customHeight="1">
      <c r="A15" s="138"/>
      <c r="B15" s="141" t="s">
        <v>283</v>
      </c>
      <c r="C15" s="380">
        <v>259.85569771559994</v>
      </c>
      <c r="D15" s="380">
        <v>263.48873397839986</v>
      </c>
      <c r="E15" s="380">
        <v>313.98490378079987</v>
      </c>
      <c r="F15" s="380">
        <v>337.54481770001991</v>
      </c>
      <c r="G15" s="380">
        <v>268.04420236446708</v>
      </c>
      <c r="H15" s="380">
        <v>224.01971266919995</v>
      </c>
      <c r="I15" s="380">
        <v>254.59343422799992</v>
      </c>
      <c r="J15" s="380">
        <v>296.34960673977628</v>
      </c>
      <c r="K15" s="380">
        <v>340.2037795043999</v>
      </c>
      <c r="L15" s="380">
        <v>370.62967585470949</v>
      </c>
      <c r="M15" s="380">
        <v>366.9322015631999</v>
      </c>
      <c r="N15" s="380">
        <v>363.293380962708</v>
      </c>
      <c r="O15" s="380">
        <v>368.95785343115995</v>
      </c>
      <c r="P15" s="380">
        <v>402.15538326431994</v>
      </c>
      <c r="Q15" s="380">
        <v>423.50811416591989</v>
      </c>
      <c r="R15" s="380">
        <v>369.55507061339995</v>
      </c>
      <c r="S15" s="380">
        <v>357.39246924779991</v>
      </c>
      <c r="T15" s="380">
        <v>324.53584406879986</v>
      </c>
      <c r="U15" s="380">
        <v>359.70781881361046</v>
      </c>
      <c r="V15" s="380">
        <v>405.85060373759984</v>
      </c>
      <c r="W15" s="380">
        <v>380.95808320079982</v>
      </c>
      <c r="X15" s="380">
        <v>354.05911175543503</v>
      </c>
    </row>
    <row r="16" spans="1:24" s="203" customFormat="1" ht="10.35" customHeight="1">
      <c r="A16" s="138"/>
      <c r="B16" s="141" t="s">
        <v>284</v>
      </c>
      <c r="C16" s="380">
        <v>192.77620072506792</v>
      </c>
      <c r="D16" s="380">
        <v>197.86107976853597</v>
      </c>
      <c r="E16" s="380">
        <v>194.09758581656365</v>
      </c>
      <c r="F16" s="380">
        <v>198.67236754734648</v>
      </c>
      <c r="G16" s="380">
        <v>207.74242798497511</v>
      </c>
      <c r="H16" s="380">
        <v>217.13056356568785</v>
      </c>
      <c r="I16" s="380">
        <v>228.58048179256429</v>
      </c>
      <c r="J16" s="380">
        <v>234.57685384859627</v>
      </c>
      <c r="K16" s="380">
        <v>229.6395722874897</v>
      </c>
      <c r="L16" s="380">
        <v>244.73095918349864</v>
      </c>
      <c r="M16" s="380">
        <v>259.54272647537971</v>
      </c>
      <c r="N16" s="380">
        <v>238.5527079064907</v>
      </c>
      <c r="O16" s="380">
        <v>244.5214275345059</v>
      </c>
      <c r="P16" s="380">
        <v>254.9221997327287</v>
      </c>
      <c r="Q16" s="380">
        <v>251.95517943717348</v>
      </c>
      <c r="R16" s="380">
        <v>268.16661726366505</v>
      </c>
      <c r="S16" s="380">
        <v>257.8520064217663</v>
      </c>
      <c r="T16" s="380">
        <v>251.66396179194194</v>
      </c>
      <c r="U16" s="380">
        <v>266.72403317636974</v>
      </c>
      <c r="V16" s="380">
        <v>273.83130395810656</v>
      </c>
      <c r="W16" s="380">
        <v>290.39414595100135</v>
      </c>
      <c r="X16" s="380">
        <v>276.86886855141739</v>
      </c>
    </row>
    <row r="17" spans="1:24" s="203" customFormat="1" ht="10.35" customHeight="1">
      <c r="A17" s="138"/>
      <c r="B17" s="141" t="s">
        <v>285</v>
      </c>
      <c r="C17" s="380">
        <v>132.45617871247637</v>
      </c>
      <c r="D17" s="380">
        <v>145.42885532336231</v>
      </c>
      <c r="E17" s="380">
        <v>163.85762299761143</v>
      </c>
      <c r="F17" s="380">
        <v>172.75640718484084</v>
      </c>
      <c r="G17" s="380">
        <v>178.22715713322353</v>
      </c>
      <c r="H17" s="380">
        <v>176.44647603805771</v>
      </c>
      <c r="I17" s="380">
        <v>199.63330297576016</v>
      </c>
      <c r="J17" s="380">
        <v>213.46051143988768</v>
      </c>
      <c r="K17" s="380">
        <v>222.21868446789466</v>
      </c>
      <c r="L17" s="380">
        <v>218.7731001660791</v>
      </c>
      <c r="M17" s="380">
        <v>247.35477980089257</v>
      </c>
      <c r="N17" s="380">
        <v>242.25968272644715</v>
      </c>
      <c r="O17" s="380">
        <v>269.89347402185177</v>
      </c>
      <c r="P17" s="380">
        <v>253.71502001477384</v>
      </c>
      <c r="Q17" s="380">
        <v>227.06221294837422</v>
      </c>
      <c r="R17" s="380">
        <v>224.15162350764078</v>
      </c>
      <c r="S17" s="380">
        <v>246.92847823860478</v>
      </c>
      <c r="T17" s="380">
        <v>229.45365866829692</v>
      </c>
      <c r="U17" s="380">
        <v>202.91026660086496</v>
      </c>
      <c r="V17" s="380">
        <v>211.60106763188298</v>
      </c>
      <c r="W17" s="380">
        <v>209.24187080241458</v>
      </c>
      <c r="X17" s="380">
        <v>231.1499812752854</v>
      </c>
    </row>
    <row r="18" spans="1:24" s="203" customFormat="1" ht="10.35" customHeight="1">
      <c r="A18" s="138"/>
      <c r="B18" s="141" t="s">
        <v>286</v>
      </c>
      <c r="C18" s="380">
        <v>329.19636256259139</v>
      </c>
      <c r="D18" s="380">
        <v>297.89856500373526</v>
      </c>
      <c r="E18" s="380">
        <v>296.56731454053045</v>
      </c>
      <c r="F18" s="380">
        <v>305.8411305484932</v>
      </c>
      <c r="G18" s="380">
        <v>254.30733486413962</v>
      </c>
      <c r="H18" s="380">
        <v>285.73233211181235</v>
      </c>
      <c r="I18" s="380">
        <v>296.69614831060056</v>
      </c>
      <c r="J18" s="380">
        <v>291.51001798288843</v>
      </c>
      <c r="K18" s="380">
        <v>292.6362033351798</v>
      </c>
      <c r="L18" s="380">
        <v>337.72443199033154</v>
      </c>
      <c r="M18" s="380">
        <v>305.56103065031698</v>
      </c>
      <c r="N18" s="380">
        <v>298.21393059925947</v>
      </c>
      <c r="O18" s="380">
        <v>332.23455472322672</v>
      </c>
      <c r="P18" s="380">
        <v>362.27268352171671</v>
      </c>
      <c r="Q18" s="380">
        <v>353.4422582992014</v>
      </c>
      <c r="R18" s="380">
        <v>355.46642810636587</v>
      </c>
      <c r="S18" s="380">
        <v>321.71757272519017</v>
      </c>
      <c r="T18" s="380">
        <v>322.75795551663344</v>
      </c>
      <c r="U18" s="380">
        <v>361.49812900756149</v>
      </c>
      <c r="V18" s="380">
        <v>358.93850872492288</v>
      </c>
      <c r="W18" s="380">
        <v>380.17275040894708</v>
      </c>
      <c r="X18" s="380">
        <v>366.63779800578726</v>
      </c>
    </row>
    <row r="19" spans="1:24" s="203" customFormat="1" ht="10.35" customHeight="1">
      <c r="A19" s="138"/>
      <c r="B19" s="141" t="s">
        <v>287</v>
      </c>
      <c r="C19" s="380">
        <v>131.42004254974836</v>
      </c>
      <c r="D19" s="380">
        <v>156.45328281727535</v>
      </c>
      <c r="E19" s="380">
        <v>159.41278396618074</v>
      </c>
      <c r="F19" s="380">
        <v>169.05772367919192</v>
      </c>
      <c r="G19" s="380">
        <v>170.09812808373883</v>
      </c>
      <c r="H19" s="380">
        <v>182.41979184497154</v>
      </c>
      <c r="I19" s="380">
        <v>197.38171286835512</v>
      </c>
      <c r="J19" s="380">
        <v>206.59326607218904</v>
      </c>
      <c r="K19" s="380">
        <v>222.83388671360063</v>
      </c>
      <c r="L19" s="380">
        <v>260.61565580685499</v>
      </c>
      <c r="M19" s="380">
        <v>254.71683592421181</v>
      </c>
      <c r="N19" s="380">
        <v>267.33019739272902</v>
      </c>
      <c r="O19" s="380">
        <v>294.83293207872146</v>
      </c>
      <c r="P19" s="380">
        <v>306.01051913565948</v>
      </c>
      <c r="Q19" s="380">
        <v>345.11570204903137</v>
      </c>
      <c r="R19" s="380">
        <v>386.51033819416216</v>
      </c>
      <c r="S19" s="380">
        <v>408.76176019458728</v>
      </c>
      <c r="T19" s="380">
        <v>472.77824513961559</v>
      </c>
      <c r="U19" s="380">
        <v>465.13951075184582</v>
      </c>
      <c r="V19" s="380">
        <v>477.62676371848937</v>
      </c>
      <c r="W19" s="380">
        <v>517.53630058333533</v>
      </c>
      <c r="X19" s="380">
        <v>605.8137270230477</v>
      </c>
    </row>
    <row r="20" spans="1:24" s="203" customFormat="1" ht="10.35" customHeight="1">
      <c r="A20" s="138"/>
      <c r="B20" s="141" t="s">
        <v>46</v>
      </c>
      <c r="C20" s="380">
        <v>0</v>
      </c>
      <c r="D20" s="380">
        <v>31.329654251133046</v>
      </c>
      <c r="E20" s="380">
        <v>113.68285928506361</v>
      </c>
      <c r="F20" s="380">
        <v>92.09528941651584</v>
      </c>
      <c r="G20" s="380">
        <v>121.22417989311093</v>
      </c>
      <c r="H20" s="380">
        <v>283.28116185209802</v>
      </c>
      <c r="I20" s="380">
        <v>274.93236791101447</v>
      </c>
      <c r="J20" s="380">
        <v>193.4558188175902</v>
      </c>
      <c r="K20" s="380">
        <v>268.37333255652516</v>
      </c>
      <c r="L20" s="380">
        <v>259.05199575243807</v>
      </c>
      <c r="M20" s="380">
        <v>207.71750288920859</v>
      </c>
      <c r="N20" s="380">
        <v>216.19684853778554</v>
      </c>
      <c r="O20" s="380">
        <v>245.75452666754779</v>
      </c>
      <c r="P20" s="380">
        <v>176.37123574959384</v>
      </c>
      <c r="Q20" s="380">
        <v>134.46990592320202</v>
      </c>
      <c r="R20" s="380">
        <v>155.1239698487872</v>
      </c>
      <c r="S20" s="380">
        <v>151.1643402345737</v>
      </c>
      <c r="T20" s="380">
        <v>124.0497487086477</v>
      </c>
      <c r="U20" s="380">
        <v>133.48716141176121</v>
      </c>
      <c r="V20" s="380">
        <v>147.88024222537757</v>
      </c>
      <c r="W20" s="380">
        <v>173.82022966673023</v>
      </c>
      <c r="X20" s="380">
        <v>153.66742428822323</v>
      </c>
    </row>
    <row r="21" spans="1:24" s="203" customFormat="1" ht="10.35" customHeight="1">
      <c r="A21" s="138"/>
      <c r="B21" s="141" t="s">
        <v>288</v>
      </c>
      <c r="C21" s="380">
        <v>4.712726143874959</v>
      </c>
      <c r="D21" s="380">
        <v>6.3637475868664195</v>
      </c>
      <c r="E21" s="380">
        <v>6.7054393117459448</v>
      </c>
      <c r="F21" s="380">
        <v>8.1088679930932255</v>
      </c>
      <c r="G21" s="380">
        <v>20.849933698766502</v>
      </c>
      <c r="H21" s="380">
        <v>31.88567682733931</v>
      </c>
      <c r="I21" s="380">
        <v>43.428333857483842</v>
      </c>
      <c r="J21" s="380">
        <v>55.431251516821369</v>
      </c>
      <c r="K21" s="380">
        <v>60.838972526601793</v>
      </c>
      <c r="L21" s="380">
        <v>53.193276057885086</v>
      </c>
      <c r="M21" s="380">
        <v>51.804356529627299</v>
      </c>
      <c r="N21" s="380">
        <v>58.575822429712197</v>
      </c>
      <c r="O21" s="380">
        <v>61.734297216633806</v>
      </c>
      <c r="P21" s="380">
        <v>54.946689079622132</v>
      </c>
      <c r="Q21" s="380">
        <v>51.249036385649212</v>
      </c>
      <c r="R21" s="380">
        <v>40.103919038754476</v>
      </c>
      <c r="S21" s="380">
        <v>51.283657178188484</v>
      </c>
      <c r="T21" s="380">
        <v>77.860728172631468</v>
      </c>
      <c r="U21" s="380">
        <v>94.042967612278176</v>
      </c>
      <c r="V21" s="380">
        <v>84.347478990828733</v>
      </c>
      <c r="W21" s="380">
        <v>39.076260462915855</v>
      </c>
      <c r="X21" s="380">
        <v>51.714314690517668</v>
      </c>
    </row>
    <row r="22" spans="1:24" s="203" customFormat="1" ht="10.35" customHeight="1">
      <c r="A22" s="138"/>
      <c r="B22" s="141" t="s">
        <v>249</v>
      </c>
      <c r="C22" s="380">
        <v>170.55626304191077</v>
      </c>
      <c r="D22" s="380">
        <v>174.34227327858102</v>
      </c>
      <c r="E22" s="380">
        <v>186.1719996476769</v>
      </c>
      <c r="F22" s="380">
        <v>197.1894740994554</v>
      </c>
      <c r="G22" s="380">
        <v>164.84172248965643</v>
      </c>
      <c r="H22" s="380">
        <v>149.3218977511699</v>
      </c>
      <c r="I22" s="380">
        <v>148.03180050459969</v>
      </c>
      <c r="J22" s="380">
        <v>142.51752706910801</v>
      </c>
      <c r="K22" s="380">
        <v>155.82438390326914</v>
      </c>
      <c r="L22" s="380">
        <v>166.24508871557708</v>
      </c>
      <c r="M22" s="380">
        <v>164.56970419943275</v>
      </c>
      <c r="N22" s="380">
        <v>157.04064828345557</v>
      </c>
      <c r="O22" s="380">
        <v>154.75820896907919</v>
      </c>
      <c r="P22" s="380">
        <v>175.66528593450249</v>
      </c>
      <c r="Q22" s="380">
        <v>174.69689309934697</v>
      </c>
      <c r="R22" s="380">
        <v>176.97127512948356</v>
      </c>
      <c r="S22" s="380">
        <v>169.07633113482848</v>
      </c>
      <c r="T22" s="380">
        <v>157.2376720657341</v>
      </c>
      <c r="U22" s="380">
        <v>175.23804900958234</v>
      </c>
      <c r="V22" s="380">
        <v>171.03164504383727</v>
      </c>
      <c r="W22" s="380">
        <v>174.64620323503925</v>
      </c>
      <c r="X22" s="380">
        <v>177.07003697999815</v>
      </c>
    </row>
    <row r="23" spans="1:24" s="203" customFormat="1" ht="10.35" customHeight="1">
      <c r="A23" s="138"/>
      <c r="B23" s="141" t="s">
        <v>250</v>
      </c>
      <c r="C23" s="380">
        <v>99.776429119795367</v>
      </c>
      <c r="D23" s="380">
        <v>91.693193195147813</v>
      </c>
      <c r="E23" s="380">
        <v>93.351408607801446</v>
      </c>
      <c r="F23" s="380">
        <v>90.59328281040375</v>
      </c>
      <c r="G23" s="380">
        <v>83.599114346576854</v>
      </c>
      <c r="H23" s="380">
        <v>104.43265770700164</v>
      </c>
      <c r="I23" s="380">
        <v>127.05227371372747</v>
      </c>
      <c r="J23" s="380">
        <v>127.22987811344885</v>
      </c>
      <c r="K23" s="380">
        <v>129.74619846407867</v>
      </c>
      <c r="L23" s="380">
        <v>151.96215732391479</v>
      </c>
      <c r="M23" s="380">
        <v>140.58040663090065</v>
      </c>
      <c r="N23" s="380">
        <v>133.55311024986889</v>
      </c>
      <c r="O23" s="380">
        <v>147.37828660599823</v>
      </c>
      <c r="P23" s="380">
        <v>148.44039654336908</v>
      </c>
      <c r="Q23" s="380">
        <v>141.65333134442281</v>
      </c>
      <c r="R23" s="380">
        <v>139.44038567091613</v>
      </c>
      <c r="S23" s="380">
        <v>127.6060127708916</v>
      </c>
      <c r="T23" s="380">
        <v>117.7367243054945</v>
      </c>
      <c r="U23" s="380">
        <v>138.7079243453673</v>
      </c>
      <c r="V23" s="380">
        <v>137.67762139046781</v>
      </c>
      <c r="W23" s="380">
        <v>142.24765546784278</v>
      </c>
      <c r="X23" s="380">
        <v>142.50635560953521</v>
      </c>
    </row>
    <row r="24" spans="1:24" s="203" customFormat="1" ht="10.35" customHeight="1">
      <c r="A24" s="138"/>
      <c r="B24" s="141" t="s">
        <v>251</v>
      </c>
      <c r="C24" s="380">
        <v>47.579136277542545</v>
      </c>
      <c r="D24" s="380">
        <v>45.23382977836286</v>
      </c>
      <c r="E24" s="380">
        <v>63.216317217980475</v>
      </c>
      <c r="F24" s="380">
        <v>67.079574142138341</v>
      </c>
      <c r="G24" s="380">
        <v>91.001383711893098</v>
      </c>
      <c r="H24" s="380">
        <v>99.403729478182669</v>
      </c>
      <c r="I24" s="380">
        <v>112.20718044235336</v>
      </c>
      <c r="J24" s="380">
        <v>61.379753381530712</v>
      </c>
      <c r="K24" s="380">
        <v>139.06008426899857</v>
      </c>
      <c r="L24" s="380">
        <v>39.516410642484864</v>
      </c>
      <c r="M24" s="380">
        <v>163.31092073103991</v>
      </c>
      <c r="N24" s="380">
        <v>171.06697465108704</v>
      </c>
      <c r="O24" s="380">
        <v>70.734327927350108</v>
      </c>
      <c r="P24" s="380">
        <v>209.96461001817337</v>
      </c>
      <c r="Q24" s="380">
        <v>184.14367698107026</v>
      </c>
      <c r="R24" s="380">
        <v>109.15415423625521</v>
      </c>
      <c r="S24" s="380">
        <v>119.59767529587961</v>
      </c>
      <c r="T24" s="380">
        <v>137.83165847985228</v>
      </c>
      <c r="U24" s="380">
        <v>138.79490518369889</v>
      </c>
      <c r="V24" s="380">
        <v>147.85984159081866</v>
      </c>
      <c r="W24" s="380">
        <v>209.83869243477005</v>
      </c>
      <c r="X24" s="380">
        <v>191.71133134667235</v>
      </c>
    </row>
    <row r="25" spans="1:24" s="203" customFormat="1" ht="10.35" customHeight="1">
      <c r="A25" s="138"/>
      <c r="B25" s="141" t="s">
        <v>252</v>
      </c>
      <c r="C25" s="380">
        <v>108.60798956608227</v>
      </c>
      <c r="D25" s="380">
        <v>106.11450921502457</v>
      </c>
      <c r="E25" s="380">
        <v>100.52181563580302</v>
      </c>
      <c r="F25" s="380">
        <v>102.91858563887293</v>
      </c>
      <c r="G25" s="380">
        <v>111.77172677681034</v>
      </c>
      <c r="H25" s="380">
        <v>104.2973206671541</v>
      </c>
      <c r="I25" s="380">
        <v>132.12105718517375</v>
      </c>
      <c r="J25" s="380">
        <v>133.62777133311516</v>
      </c>
      <c r="K25" s="380">
        <v>136.97004607084486</v>
      </c>
      <c r="L25" s="380">
        <v>146.012367814952</v>
      </c>
      <c r="M25" s="380">
        <v>172.74860448618958</v>
      </c>
      <c r="N25" s="380">
        <v>209.15189803604662</v>
      </c>
      <c r="O25" s="380">
        <v>226.16302237787349</v>
      </c>
      <c r="P25" s="380">
        <v>259.32135654485745</v>
      </c>
      <c r="Q25" s="380">
        <v>301.43503767682552</v>
      </c>
      <c r="R25" s="380">
        <v>339.92902321307059</v>
      </c>
      <c r="S25" s="380">
        <v>402.57083445004685</v>
      </c>
      <c r="T25" s="380">
        <v>432.83273352441444</v>
      </c>
      <c r="U25" s="380">
        <v>493.28116294246115</v>
      </c>
      <c r="V25" s="380">
        <v>527.56519305654797</v>
      </c>
      <c r="W25" s="380">
        <v>594.15809744339128</v>
      </c>
      <c r="X25" s="380">
        <v>577.9799415168917</v>
      </c>
    </row>
    <row r="26" spans="1:24" s="203" customFormat="1" ht="10.35" customHeight="1">
      <c r="A26" s="138"/>
      <c r="B26" s="141" t="s">
        <v>253</v>
      </c>
      <c r="C26" s="380">
        <v>120.63976190493949</v>
      </c>
      <c r="D26" s="380">
        <v>119.9868385841846</v>
      </c>
      <c r="E26" s="380">
        <v>123.37670898430655</v>
      </c>
      <c r="F26" s="380">
        <v>127.15384037581487</v>
      </c>
      <c r="G26" s="380">
        <v>107.77091090064468</v>
      </c>
      <c r="H26" s="380">
        <v>115.27774365273801</v>
      </c>
      <c r="I26" s="380">
        <v>124.2532785871668</v>
      </c>
      <c r="J26" s="380">
        <v>123.69068076926362</v>
      </c>
      <c r="K26" s="380">
        <v>132.41958330601074</v>
      </c>
      <c r="L26" s="380">
        <v>147.36205058929772</v>
      </c>
      <c r="M26" s="380">
        <v>151.05424182918358</v>
      </c>
      <c r="N26" s="380">
        <v>140.14312511122208</v>
      </c>
      <c r="O26" s="380">
        <v>150.6797639911176</v>
      </c>
      <c r="P26" s="380">
        <v>155.97866000408965</v>
      </c>
      <c r="Q26" s="380">
        <v>149.70516512533794</v>
      </c>
      <c r="R26" s="380">
        <v>150.22752374283655</v>
      </c>
      <c r="S26" s="380">
        <v>137.40597515062993</v>
      </c>
      <c r="T26" s="380">
        <v>132.95135790294856</v>
      </c>
      <c r="U26" s="380">
        <v>131.62480755964492</v>
      </c>
      <c r="V26" s="380">
        <v>129.81019452464895</v>
      </c>
      <c r="W26" s="380">
        <v>133.94136183465528</v>
      </c>
      <c r="X26" s="380">
        <v>137.46363677624012</v>
      </c>
    </row>
    <row r="27" spans="1:24" s="203" customFormat="1" ht="10.35" customHeight="1">
      <c r="A27" s="138"/>
      <c r="B27" s="141" t="s">
        <v>254</v>
      </c>
      <c r="C27" s="380">
        <v>87.559776386654761</v>
      </c>
      <c r="D27" s="380">
        <v>94.072913904147413</v>
      </c>
      <c r="E27" s="380">
        <v>97.469613236053235</v>
      </c>
      <c r="F27" s="380">
        <v>102.02404670112482</v>
      </c>
      <c r="G27" s="380">
        <v>110.97044426918896</v>
      </c>
      <c r="H27" s="380">
        <v>108.47377185491075</v>
      </c>
      <c r="I27" s="380">
        <v>110.67606042719406</v>
      </c>
      <c r="J27" s="380">
        <v>112.48740457998728</v>
      </c>
      <c r="K27" s="380">
        <v>117.19635168077139</v>
      </c>
      <c r="L27" s="380">
        <v>121.4019964711631</v>
      </c>
      <c r="M27" s="380">
        <v>123.57206803427073</v>
      </c>
      <c r="N27" s="380">
        <v>131.62467327618333</v>
      </c>
      <c r="O27" s="380">
        <v>134.96172425784766</v>
      </c>
      <c r="P27" s="380">
        <v>140.98004453935738</v>
      </c>
      <c r="Q27" s="380">
        <v>141.00555489403402</v>
      </c>
      <c r="R27" s="380">
        <v>147.4678935201085</v>
      </c>
      <c r="S27" s="380">
        <v>162.23155042475958</v>
      </c>
      <c r="T27" s="380">
        <v>162.17401042168734</v>
      </c>
      <c r="U27" s="380">
        <v>161.58837230879715</v>
      </c>
      <c r="V27" s="380">
        <v>160.96371792862814</v>
      </c>
      <c r="W27" s="380">
        <v>177.02082880841201</v>
      </c>
      <c r="X27" s="380">
        <v>180.42361973460081</v>
      </c>
    </row>
    <row r="28" spans="1:24" s="203" customFormat="1" ht="10.35" customHeight="1">
      <c r="A28" s="138"/>
      <c r="B28" s="141" t="s">
        <v>255</v>
      </c>
      <c r="C28" s="380">
        <v>72.394074360898827</v>
      </c>
      <c r="D28" s="380">
        <v>82.568159458193406</v>
      </c>
      <c r="E28" s="380">
        <v>83.420758766231629</v>
      </c>
      <c r="F28" s="380">
        <v>91.623360928840256</v>
      </c>
      <c r="G28" s="380">
        <v>99.359380365178239</v>
      </c>
      <c r="H28" s="380">
        <v>96.024411525638513</v>
      </c>
      <c r="I28" s="380">
        <v>103.68073069116485</v>
      </c>
      <c r="J28" s="380">
        <v>111.72850220107721</v>
      </c>
      <c r="K28" s="380">
        <v>127.10239698935166</v>
      </c>
      <c r="L28" s="380">
        <v>143.09961524110483</v>
      </c>
      <c r="M28" s="380">
        <v>169.81508735364142</v>
      </c>
      <c r="N28" s="380">
        <v>195.73300180107492</v>
      </c>
      <c r="O28" s="380">
        <v>255.59339139387933</v>
      </c>
      <c r="P28" s="380">
        <v>278.04124310685091</v>
      </c>
      <c r="Q28" s="380">
        <v>349.5915493674018</v>
      </c>
      <c r="R28" s="380">
        <v>383.58854991665044</v>
      </c>
      <c r="S28" s="380">
        <v>469.6419800426234</v>
      </c>
      <c r="T28" s="380">
        <v>479.96958407610072</v>
      </c>
      <c r="U28" s="380">
        <v>523.36559544175373</v>
      </c>
      <c r="V28" s="380">
        <v>587.41121720040189</v>
      </c>
      <c r="W28" s="380">
        <v>685.77702158390844</v>
      </c>
      <c r="X28" s="380">
        <v>762.62100504856005</v>
      </c>
    </row>
    <row r="29" spans="1:24" s="203" customFormat="1" ht="10.35" customHeight="1">
      <c r="A29" s="138"/>
      <c r="B29" s="141" t="s">
        <v>146</v>
      </c>
      <c r="C29" s="380">
        <v>85.354841993189609</v>
      </c>
      <c r="D29" s="380">
        <v>85.68736711275416</v>
      </c>
      <c r="E29" s="380">
        <v>85.343862608346853</v>
      </c>
      <c r="F29" s="380">
        <v>103.73790577738792</v>
      </c>
      <c r="G29" s="380">
        <v>114.3757401904131</v>
      </c>
      <c r="H29" s="380">
        <v>109.60175074576874</v>
      </c>
      <c r="I29" s="380">
        <v>118.8593291335321</v>
      </c>
      <c r="J29" s="380">
        <v>116.77406984666924</v>
      </c>
      <c r="K29" s="380">
        <v>115.69077102395816</v>
      </c>
      <c r="L29" s="380">
        <v>102.0831275526981</v>
      </c>
      <c r="M29" s="380">
        <v>125.06793097740768</v>
      </c>
      <c r="N29" s="380">
        <v>132.77915843742201</v>
      </c>
      <c r="O29" s="380">
        <v>151.89919960830315</v>
      </c>
      <c r="P29" s="380">
        <v>171.03396210141369</v>
      </c>
      <c r="Q29" s="380">
        <v>188.89816196784511</v>
      </c>
      <c r="R29" s="380">
        <v>200.54309134968264</v>
      </c>
      <c r="S29" s="380">
        <v>224.27310471238999</v>
      </c>
      <c r="T29" s="380">
        <v>238.91772806530307</v>
      </c>
      <c r="U29" s="380">
        <v>286.06625620846546</v>
      </c>
      <c r="V29" s="380">
        <v>285.53370437334803</v>
      </c>
      <c r="W29" s="380">
        <v>297.15144364429835</v>
      </c>
      <c r="X29" s="380">
        <v>326.48342561650111</v>
      </c>
    </row>
    <row r="30" spans="1:24" s="203" customFormat="1" ht="10.35" customHeight="1">
      <c r="A30" s="138"/>
      <c r="B30" s="141" t="s">
        <v>147</v>
      </c>
      <c r="C30" s="380">
        <v>118.59139784256868</v>
      </c>
      <c r="D30" s="380">
        <v>92.102352797750143</v>
      </c>
      <c r="E30" s="380">
        <v>56.279131222223434</v>
      </c>
      <c r="F30" s="380">
        <v>63.324808524030999</v>
      </c>
      <c r="G30" s="380">
        <v>77.051128954702122</v>
      </c>
      <c r="H30" s="380">
        <v>58.351372106292537</v>
      </c>
      <c r="I30" s="380">
        <v>65.14030493271386</v>
      </c>
      <c r="J30" s="380">
        <v>75.585757594369667</v>
      </c>
      <c r="K30" s="380">
        <v>93.036778802173558</v>
      </c>
      <c r="L30" s="380">
        <v>100.34258991284831</v>
      </c>
      <c r="M30" s="380">
        <v>89.136101634048316</v>
      </c>
      <c r="N30" s="380">
        <v>76.775510102091516</v>
      </c>
      <c r="O30" s="380">
        <v>100.60397624025784</v>
      </c>
      <c r="P30" s="380">
        <v>131.08420224664715</v>
      </c>
      <c r="Q30" s="380">
        <v>125.36229904876124</v>
      </c>
      <c r="R30" s="380">
        <v>105.95049420977027</v>
      </c>
      <c r="S30" s="380">
        <v>98.97408280268489</v>
      </c>
      <c r="T30" s="380">
        <v>95.511902589820352</v>
      </c>
      <c r="U30" s="380">
        <v>103.75157786692148</v>
      </c>
      <c r="V30" s="380">
        <v>84.502013254358374</v>
      </c>
      <c r="W30" s="380">
        <v>85.029266532001046</v>
      </c>
      <c r="X30" s="380">
        <v>102.34124198828304</v>
      </c>
    </row>
    <row r="31" spans="1:24" s="203" customFormat="1" ht="10.35" customHeight="1">
      <c r="A31" s="138"/>
      <c r="B31" s="141" t="s">
        <v>141</v>
      </c>
      <c r="C31" s="380">
        <v>73.775219488238207</v>
      </c>
      <c r="D31" s="380">
        <v>65.546484901268755</v>
      </c>
      <c r="E31" s="380">
        <v>83.703846664037059</v>
      </c>
      <c r="F31" s="380">
        <v>78.408526852461492</v>
      </c>
      <c r="G31" s="380">
        <v>65.466544927112622</v>
      </c>
      <c r="H31" s="380">
        <v>68.699884377958725</v>
      </c>
      <c r="I31" s="380">
        <v>75.592521077511577</v>
      </c>
      <c r="J31" s="380">
        <v>86.774172833565629</v>
      </c>
      <c r="K31" s="380">
        <v>76.988332537560225</v>
      </c>
      <c r="L31" s="380">
        <v>64.925016028095939</v>
      </c>
      <c r="M31" s="380">
        <v>70.35784934897741</v>
      </c>
      <c r="N31" s="380">
        <v>67.682973232308726</v>
      </c>
      <c r="O31" s="380">
        <v>73.818571348324014</v>
      </c>
      <c r="P31" s="380">
        <v>72.909491119787376</v>
      </c>
      <c r="Q31" s="380">
        <v>81.89081607261511</v>
      </c>
      <c r="R31" s="380">
        <v>83.650036672890124</v>
      </c>
      <c r="S31" s="380">
        <v>83.717972813291397</v>
      </c>
      <c r="T31" s="380">
        <v>52.36856935460343</v>
      </c>
      <c r="U31" s="380">
        <v>86.119754039715403</v>
      </c>
      <c r="V31" s="380">
        <v>91.460749020095662</v>
      </c>
      <c r="W31" s="380">
        <v>91.336866741256515</v>
      </c>
      <c r="X31" s="380">
        <v>97.77512433723831</v>
      </c>
    </row>
    <row r="32" spans="1:24" s="203" customFormat="1" ht="10.35" customHeight="1">
      <c r="A32" s="138"/>
      <c r="B32" s="141" t="s">
        <v>148</v>
      </c>
      <c r="C32" s="380">
        <v>63.685618257021105</v>
      </c>
      <c r="D32" s="380">
        <v>68.815349216574077</v>
      </c>
      <c r="E32" s="380">
        <v>68.839065405726203</v>
      </c>
      <c r="F32" s="380">
        <v>80.775810175377686</v>
      </c>
      <c r="G32" s="380">
        <v>89.496631195576427</v>
      </c>
      <c r="H32" s="380">
        <v>115.18795813296269</v>
      </c>
      <c r="I32" s="380">
        <v>111.50044561260376</v>
      </c>
      <c r="J32" s="380">
        <v>111.38183279024487</v>
      </c>
      <c r="K32" s="380">
        <v>231.97054522212662</v>
      </c>
      <c r="L32" s="380">
        <v>15.162399382018906</v>
      </c>
      <c r="M32" s="380">
        <v>159.07393311717846</v>
      </c>
      <c r="N32" s="380">
        <v>152.90183526736556</v>
      </c>
      <c r="O32" s="380">
        <v>196.50547071981066</v>
      </c>
      <c r="P32" s="380">
        <v>121.37103215813136</v>
      </c>
      <c r="Q32" s="380">
        <v>307.41502407951907</v>
      </c>
      <c r="R32" s="380">
        <v>78.424613534158468</v>
      </c>
      <c r="S32" s="380">
        <v>117.40452927393221</v>
      </c>
      <c r="T32" s="380">
        <v>166.92067868540886</v>
      </c>
      <c r="U32" s="380">
        <v>381.62242528367005</v>
      </c>
      <c r="V32" s="380">
        <v>405.64637449216292</v>
      </c>
      <c r="W32" s="380">
        <v>369.98130621197015</v>
      </c>
      <c r="X32" s="380">
        <v>288.81755145968515</v>
      </c>
    </row>
    <row r="33" spans="1:24" s="203" customFormat="1" ht="10.35" customHeight="1">
      <c r="A33" s="138"/>
      <c r="B33" s="141" t="s">
        <v>149</v>
      </c>
      <c r="C33" s="380">
        <v>106.80496434098505</v>
      </c>
      <c r="D33" s="380">
        <v>105.22993605020059</v>
      </c>
      <c r="E33" s="380">
        <v>116.44529983689928</v>
      </c>
      <c r="F33" s="380">
        <v>113.559410958672</v>
      </c>
      <c r="G33" s="380">
        <v>103.90975937251197</v>
      </c>
      <c r="H33" s="380">
        <v>113.60330169121328</v>
      </c>
      <c r="I33" s="380">
        <v>111.02288712972796</v>
      </c>
      <c r="J33" s="380">
        <v>103.30464818373979</v>
      </c>
      <c r="K33" s="380">
        <v>107.59106455756246</v>
      </c>
      <c r="L33" s="380">
        <v>124.78251420982564</v>
      </c>
      <c r="M33" s="380">
        <v>128.55224673625617</v>
      </c>
      <c r="N33" s="380">
        <v>118.39297971887638</v>
      </c>
      <c r="O33" s="380">
        <v>126.53241473606536</v>
      </c>
      <c r="P33" s="380">
        <v>132.1378842575154</v>
      </c>
      <c r="Q33" s="380">
        <v>133.17406937276476</v>
      </c>
      <c r="R33" s="380">
        <v>134.93795692734105</v>
      </c>
      <c r="S33" s="380">
        <v>121.21862773939202</v>
      </c>
      <c r="T33" s="380">
        <v>118.35853891786688</v>
      </c>
      <c r="U33" s="380">
        <v>120.1909937316254</v>
      </c>
      <c r="V33" s="380">
        <v>121.07444567918434</v>
      </c>
      <c r="W33" s="380">
        <v>120.51709127147571</v>
      </c>
      <c r="X33" s="380">
        <v>128.55655912704873</v>
      </c>
    </row>
    <row r="34" spans="1:24" s="203" customFormat="1" ht="10.35" customHeight="1">
      <c r="A34" s="138"/>
      <c r="B34" s="141" t="s">
        <v>258</v>
      </c>
      <c r="C34" s="380">
        <v>75.819669663912777</v>
      </c>
      <c r="D34" s="380">
        <v>62.634259976827146</v>
      </c>
      <c r="E34" s="380">
        <v>60.023191440777339</v>
      </c>
      <c r="F34" s="380">
        <v>66.588116660293892</v>
      </c>
      <c r="G34" s="380">
        <v>75.792602332237252</v>
      </c>
      <c r="H34" s="380">
        <v>74.589142659827445</v>
      </c>
      <c r="I34" s="380">
        <v>70.922619841216346</v>
      </c>
      <c r="J34" s="380">
        <v>75.434833682307769</v>
      </c>
      <c r="K34" s="380">
        <v>63.2539834495634</v>
      </c>
      <c r="L34" s="380">
        <v>65.006798291737354</v>
      </c>
      <c r="M34" s="380">
        <v>70.499368099876378</v>
      </c>
      <c r="N34" s="380">
        <v>75.154201391184188</v>
      </c>
      <c r="O34" s="380">
        <v>72.809297173425406</v>
      </c>
      <c r="P34" s="380">
        <v>77.199690011775473</v>
      </c>
      <c r="Q34" s="380">
        <v>79.295761283761266</v>
      </c>
      <c r="R34" s="380">
        <v>81.40116650941988</v>
      </c>
      <c r="S34" s="380">
        <v>81.071671207619914</v>
      </c>
      <c r="T34" s="380">
        <v>77.376019222787249</v>
      </c>
      <c r="U34" s="380">
        <v>74.056226134693688</v>
      </c>
      <c r="V34" s="380">
        <v>73.03054782916972</v>
      </c>
      <c r="W34" s="380">
        <v>69.397845500740814</v>
      </c>
      <c r="X34" s="380">
        <v>71.201773961730368</v>
      </c>
    </row>
    <row r="35" spans="1:24" s="203" customFormat="1" ht="10.35" customHeight="1">
      <c r="A35" s="138"/>
      <c r="B35" s="141" t="s">
        <v>259</v>
      </c>
      <c r="C35" s="380">
        <v>28.789290915704168</v>
      </c>
      <c r="D35" s="380">
        <v>31.535702012589848</v>
      </c>
      <c r="E35" s="380">
        <v>25.323411537290596</v>
      </c>
      <c r="F35" s="380">
        <v>27.052991384577858</v>
      </c>
      <c r="G35" s="380">
        <v>20.127990467523222</v>
      </c>
      <c r="H35" s="380">
        <v>18.377094172070194</v>
      </c>
      <c r="I35" s="380">
        <v>29.613813080947963</v>
      </c>
      <c r="J35" s="380">
        <v>31.760929068659472</v>
      </c>
      <c r="K35" s="380">
        <v>32.138492629224757</v>
      </c>
      <c r="L35" s="380">
        <v>27.465926555357743</v>
      </c>
      <c r="M35" s="380">
        <v>18.476671619445966</v>
      </c>
      <c r="N35" s="380">
        <v>24.26079528730115</v>
      </c>
      <c r="O35" s="380">
        <v>27.619380180794462</v>
      </c>
      <c r="P35" s="380">
        <v>27.322029931368444</v>
      </c>
      <c r="Q35" s="380">
        <v>28.534678491426718</v>
      </c>
      <c r="R35" s="380">
        <v>31.249893933038788</v>
      </c>
      <c r="S35" s="380">
        <v>29.179223358036289</v>
      </c>
      <c r="T35" s="380">
        <v>35.977431048279961</v>
      </c>
      <c r="U35" s="380">
        <v>31.84319856065801</v>
      </c>
      <c r="V35" s="380">
        <v>25.887444204615367</v>
      </c>
      <c r="W35" s="380">
        <v>26.933873859716808</v>
      </c>
      <c r="X35" s="380">
        <v>32.328436045704187</v>
      </c>
    </row>
    <row r="36" spans="1:24" s="203" customFormat="1" ht="10.35" customHeight="1">
      <c r="A36" s="138"/>
      <c r="B36" s="141" t="s">
        <v>201</v>
      </c>
      <c r="C36" s="380">
        <v>48.94408241918925</v>
      </c>
      <c r="D36" s="380">
        <v>59.099869071674796</v>
      </c>
      <c r="E36" s="380">
        <v>57.801849595839776</v>
      </c>
      <c r="F36" s="380">
        <v>60.607279521737155</v>
      </c>
      <c r="G36" s="380">
        <v>47.885388843627204</v>
      </c>
      <c r="H36" s="380">
        <v>57.88964519900491</v>
      </c>
      <c r="I36" s="380">
        <v>60.175458714685881</v>
      </c>
      <c r="J36" s="380">
        <v>65.49618742454183</v>
      </c>
      <c r="K36" s="380">
        <v>67.291730018903294</v>
      </c>
      <c r="L36" s="380">
        <v>75.53957053304137</v>
      </c>
      <c r="M36" s="380">
        <v>68.062228689951837</v>
      </c>
      <c r="N36" s="380">
        <v>67.043583764174485</v>
      </c>
      <c r="O36" s="380">
        <v>80.267351762712465</v>
      </c>
      <c r="P36" s="380">
        <v>84.641612337681224</v>
      </c>
      <c r="Q36" s="380">
        <v>85.484829742552378</v>
      </c>
      <c r="R36" s="380">
        <v>87.072001640225963</v>
      </c>
      <c r="S36" s="380">
        <v>79.425217395595155</v>
      </c>
      <c r="T36" s="380">
        <v>81.645008013840908</v>
      </c>
      <c r="U36" s="380">
        <v>87.774880420816189</v>
      </c>
      <c r="V36" s="380">
        <v>85.159099989274139</v>
      </c>
      <c r="W36" s="380">
        <v>89.739283612569253</v>
      </c>
      <c r="X36" s="380">
        <v>89.655562334673959</v>
      </c>
    </row>
    <row r="37" spans="1:24" s="203" customFormat="1" ht="10.35" customHeight="1">
      <c r="A37" s="138"/>
      <c r="B37" s="141" t="s">
        <v>202</v>
      </c>
      <c r="C37" s="380">
        <v>69.399682811410059</v>
      </c>
      <c r="D37" s="380">
        <v>67.966968926834141</v>
      </c>
      <c r="E37" s="380">
        <v>63.756549876821161</v>
      </c>
      <c r="F37" s="380">
        <v>55.72089774165849</v>
      </c>
      <c r="G37" s="380">
        <v>56.313886736027456</v>
      </c>
      <c r="H37" s="380">
        <v>53.680806696171615</v>
      </c>
      <c r="I37" s="380">
        <v>56.096268017118803</v>
      </c>
      <c r="J37" s="380">
        <v>56.485459554319156</v>
      </c>
      <c r="K37" s="380">
        <v>47.231157926860057</v>
      </c>
      <c r="L37" s="380">
        <v>74.016634814987555</v>
      </c>
      <c r="M37" s="380">
        <v>69.365923937126354</v>
      </c>
      <c r="N37" s="380">
        <v>78.039711980680224</v>
      </c>
      <c r="O37" s="380">
        <v>75.379787202231725</v>
      </c>
      <c r="P37" s="380">
        <v>77.293385313746853</v>
      </c>
      <c r="Q37" s="380">
        <v>73.622251323530776</v>
      </c>
      <c r="R37" s="380">
        <v>74.881243496419685</v>
      </c>
      <c r="S37" s="380">
        <v>69.567728903538224</v>
      </c>
      <c r="T37" s="380">
        <v>72.340683284066301</v>
      </c>
      <c r="U37" s="380">
        <v>75.229464551960206</v>
      </c>
      <c r="V37" s="380">
        <v>84.273023043170355</v>
      </c>
      <c r="W37" s="380">
        <v>71.466465697672078</v>
      </c>
      <c r="X37" s="380">
        <v>52.28099300472654</v>
      </c>
    </row>
    <row r="38" spans="1:24" s="203" customFormat="1" ht="10.35" customHeight="1">
      <c r="A38" s="138"/>
      <c r="B38" s="141" t="s">
        <v>203</v>
      </c>
      <c r="C38" s="380">
        <v>24.054058191782975</v>
      </c>
      <c r="D38" s="380">
        <v>27.008275898993187</v>
      </c>
      <c r="E38" s="380">
        <v>27.128877884724698</v>
      </c>
      <c r="F38" s="380">
        <v>28.089637461550947</v>
      </c>
      <c r="G38" s="380">
        <v>30.347873591405847</v>
      </c>
      <c r="H38" s="380">
        <v>36.161194908825358</v>
      </c>
      <c r="I38" s="380">
        <v>39.038705795407708</v>
      </c>
      <c r="J38" s="380">
        <v>40.343261093248302</v>
      </c>
      <c r="K38" s="380">
        <v>43.820109940345219</v>
      </c>
      <c r="L38" s="380">
        <v>51.972330416829585</v>
      </c>
      <c r="M38" s="380">
        <v>59.454659674897215</v>
      </c>
      <c r="N38" s="380">
        <v>86.013579452851701</v>
      </c>
      <c r="O38" s="380">
        <v>98.382271532691448</v>
      </c>
      <c r="P38" s="380">
        <v>103.66879596302674</v>
      </c>
      <c r="Q38" s="380">
        <v>106.55923287966959</v>
      </c>
      <c r="R38" s="380">
        <v>109.71836179783514</v>
      </c>
      <c r="S38" s="380">
        <v>110.19968058817193</v>
      </c>
      <c r="T38" s="380">
        <v>114.52747471672126</v>
      </c>
      <c r="U38" s="380">
        <v>126.81761708194297</v>
      </c>
      <c r="V38" s="380">
        <v>134.19544521184599</v>
      </c>
      <c r="W38" s="380">
        <v>138.08106579970348</v>
      </c>
      <c r="X38" s="380">
        <v>139.63372452944216</v>
      </c>
    </row>
    <row r="39" spans="1:24" s="203" customFormat="1" ht="10.35" customHeight="1">
      <c r="A39" s="138"/>
      <c r="B39" s="141" t="s">
        <v>265</v>
      </c>
      <c r="C39" s="380">
        <v>0</v>
      </c>
      <c r="D39" s="380">
        <v>0</v>
      </c>
      <c r="E39" s="380">
        <v>1.4316834028004499</v>
      </c>
      <c r="F39" s="380">
        <v>6.6774933540102293</v>
      </c>
      <c r="G39" s="380">
        <v>21.125992360975079</v>
      </c>
      <c r="H39" s="380">
        <v>47.594810973446513</v>
      </c>
      <c r="I39" s="380">
        <v>23.712169737185768</v>
      </c>
      <c r="J39" s="380">
        <v>34.834395591468066</v>
      </c>
      <c r="K39" s="380">
        <v>41.938760666739221</v>
      </c>
      <c r="L39" s="380">
        <v>27.670434788878005</v>
      </c>
      <c r="M39" s="380">
        <v>15.955023555700656</v>
      </c>
      <c r="N39" s="380">
        <v>31.549700853194036</v>
      </c>
      <c r="O39" s="380">
        <v>20.13919799234592</v>
      </c>
      <c r="P39" s="380">
        <v>26.779270773388472</v>
      </c>
      <c r="Q39" s="380">
        <v>7.5700433166467151</v>
      </c>
      <c r="R39" s="380">
        <v>18.133732470707731</v>
      </c>
      <c r="S39" s="380">
        <v>19.945858365346247</v>
      </c>
      <c r="T39" s="380">
        <v>16.234984879384772</v>
      </c>
      <c r="U39" s="380">
        <v>31.578805743280007</v>
      </c>
      <c r="V39" s="380">
        <v>14.333465393767911</v>
      </c>
      <c r="W39" s="380">
        <v>15.827516418181158</v>
      </c>
      <c r="X39" s="380">
        <v>19.138100649160229</v>
      </c>
    </row>
    <row r="40" spans="1:24" s="203" customFormat="1" ht="10.35" customHeight="1">
      <c r="A40" s="138"/>
      <c r="B40" s="141" t="s">
        <v>297</v>
      </c>
      <c r="C40" s="380">
        <v>67.481921578458383</v>
      </c>
      <c r="D40" s="380">
        <v>68.499057138772585</v>
      </c>
      <c r="E40" s="380">
        <v>64.639097912753684</v>
      </c>
      <c r="F40" s="380">
        <v>63.617130808070925</v>
      </c>
      <c r="G40" s="380">
        <v>56.601775757772877</v>
      </c>
      <c r="H40" s="380">
        <v>63.436512259238242</v>
      </c>
      <c r="I40" s="380">
        <v>67.937180191158291</v>
      </c>
      <c r="J40" s="380">
        <v>73.470979744893199</v>
      </c>
      <c r="K40" s="380">
        <v>73.52309274861453</v>
      </c>
      <c r="L40" s="380">
        <v>76.021720963994341</v>
      </c>
      <c r="M40" s="380">
        <v>73.771560295548682</v>
      </c>
      <c r="N40" s="380">
        <v>75.001644421595273</v>
      </c>
      <c r="O40" s="380">
        <v>84.609898634713218</v>
      </c>
      <c r="P40" s="380">
        <v>88.07135913879857</v>
      </c>
      <c r="Q40" s="380">
        <v>89.564860804044017</v>
      </c>
      <c r="R40" s="380">
        <v>91.094853076722416</v>
      </c>
      <c r="S40" s="380">
        <v>88.019574361052847</v>
      </c>
      <c r="T40" s="380">
        <v>88.983041832279682</v>
      </c>
      <c r="U40" s="380">
        <v>94.505006881839435</v>
      </c>
      <c r="V40" s="380">
        <v>89.331993417176051</v>
      </c>
      <c r="W40" s="380">
        <v>85.121824809517705</v>
      </c>
      <c r="X40" s="380">
        <v>88.217772577124236</v>
      </c>
    </row>
    <row r="41" spans="1:24" s="203" customFormat="1" ht="10.35" customHeight="1">
      <c r="A41" s="138"/>
      <c r="B41" s="141" t="s">
        <v>298</v>
      </c>
      <c r="C41" s="380">
        <v>34.935988624691241</v>
      </c>
      <c r="D41" s="380">
        <v>40.526572103318571</v>
      </c>
      <c r="E41" s="380">
        <v>32.554066148627456</v>
      </c>
      <c r="F41" s="380">
        <v>35.258966266665389</v>
      </c>
      <c r="G41" s="380">
        <v>40.348312244836968</v>
      </c>
      <c r="H41" s="380">
        <v>40.0042567415856</v>
      </c>
      <c r="I41" s="380">
        <v>46.426976864270209</v>
      </c>
      <c r="J41" s="380">
        <v>46.555333931761503</v>
      </c>
      <c r="K41" s="380">
        <v>47.716981702992257</v>
      </c>
      <c r="L41" s="380">
        <v>51.373880760302285</v>
      </c>
      <c r="M41" s="380">
        <v>56.827340817235502</v>
      </c>
      <c r="N41" s="380">
        <v>66.442687745552675</v>
      </c>
      <c r="O41" s="380">
        <v>96.099561667500922</v>
      </c>
      <c r="P41" s="380">
        <v>103.06641930286355</v>
      </c>
      <c r="Q41" s="380">
        <v>123.53757773030391</v>
      </c>
      <c r="R41" s="380">
        <v>132.54727182216195</v>
      </c>
      <c r="S41" s="380">
        <v>137.00025541078213</v>
      </c>
      <c r="T41" s="380">
        <v>163.14022036073925</v>
      </c>
      <c r="U41" s="380">
        <v>175.93515226501725</v>
      </c>
      <c r="V41" s="380">
        <v>176.60601114604165</v>
      </c>
      <c r="W41" s="380">
        <v>172.6410720734647</v>
      </c>
      <c r="X41" s="380">
        <v>211.7001349429039</v>
      </c>
    </row>
    <row r="42" spans="1:24" s="203" customFormat="1" ht="10.35" customHeight="1">
      <c r="A42" s="138"/>
      <c r="B42" s="141" t="s">
        <v>260</v>
      </c>
      <c r="C42" s="380">
        <v>54.417387672178101</v>
      </c>
      <c r="D42" s="380">
        <v>49.923883481840328</v>
      </c>
      <c r="E42" s="380">
        <v>54.449852867440747</v>
      </c>
      <c r="F42" s="380">
        <v>58.410186087763805</v>
      </c>
      <c r="G42" s="380">
        <v>53.501560572118166</v>
      </c>
      <c r="H42" s="380">
        <v>59.677211052267538</v>
      </c>
      <c r="I42" s="380">
        <v>64.710499260315487</v>
      </c>
      <c r="J42" s="380">
        <v>69.21042905627786</v>
      </c>
      <c r="K42" s="380">
        <v>71.487564482489333</v>
      </c>
      <c r="L42" s="380">
        <v>77.55194409184854</v>
      </c>
      <c r="M42" s="380">
        <v>75.159511219141521</v>
      </c>
      <c r="N42" s="380">
        <v>72.649002414120176</v>
      </c>
      <c r="O42" s="380">
        <v>83.254232480803765</v>
      </c>
      <c r="P42" s="380">
        <v>88.585608442629606</v>
      </c>
      <c r="Q42" s="380">
        <v>91.321807787434039</v>
      </c>
      <c r="R42" s="380">
        <v>90.39245399890612</v>
      </c>
      <c r="S42" s="380">
        <v>81.409391045234472</v>
      </c>
      <c r="T42" s="380">
        <v>82.331718041983692</v>
      </c>
      <c r="U42" s="380">
        <v>89.75143183295512</v>
      </c>
      <c r="V42" s="380">
        <v>94.172384512471481</v>
      </c>
      <c r="W42" s="380">
        <v>93.778311560195007</v>
      </c>
      <c r="X42" s="380">
        <v>96.950440586052849</v>
      </c>
    </row>
    <row r="43" spans="1:24" s="203" customFormat="1" ht="10.35" customHeight="1">
      <c r="A43" s="138"/>
      <c r="B43" s="141" t="s">
        <v>261</v>
      </c>
      <c r="C43" s="380">
        <v>45.263902995037292</v>
      </c>
      <c r="D43" s="380">
        <v>36.409892041782733</v>
      </c>
      <c r="E43" s="380">
        <v>38.169273113224591</v>
      </c>
      <c r="F43" s="380">
        <v>36.728660763186525</v>
      </c>
      <c r="G43" s="380">
        <v>35.34337926747591</v>
      </c>
      <c r="H43" s="380">
        <v>37.724082577252247</v>
      </c>
      <c r="I43" s="380">
        <v>43.364882277824741</v>
      </c>
      <c r="J43" s="380">
        <v>42.94989801708639</v>
      </c>
      <c r="K43" s="380">
        <v>46.83774223841715</v>
      </c>
      <c r="L43" s="380">
        <v>49.754785620413649</v>
      </c>
      <c r="M43" s="380">
        <v>52.148655402307043</v>
      </c>
      <c r="N43" s="380">
        <v>47.776308118656772</v>
      </c>
      <c r="O43" s="380">
        <v>52.170244764377408</v>
      </c>
      <c r="P43" s="380">
        <v>56.015769099601322</v>
      </c>
      <c r="Q43" s="380">
        <v>55.6169073116547</v>
      </c>
      <c r="R43" s="380">
        <v>56.649751352408302</v>
      </c>
      <c r="S43" s="380">
        <v>52.716484300246961</v>
      </c>
      <c r="T43" s="380">
        <v>53.159188200516638</v>
      </c>
      <c r="U43" s="380">
        <v>55.321548346559148</v>
      </c>
      <c r="V43" s="380">
        <v>56.750794645740491</v>
      </c>
      <c r="W43" s="380">
        <v>56.551870922732341</v>
      </c>
      <c r="X43" s="380">
        <v>59.337332328750868</v>
      </c>
    </row>
    <row r="44" spans="1:24" s="203" customFormat="1" ht="10.35" customHeight="1">
      <c r="A44" s="138"/>
      <c r="B44" s="141" t="s">
        <v>262</v>
      </c>
      <c r="C44" s="380">
        <v>31.744233822262704</v>
      </c>
      <c r="D44" s="380">
        <v>29.454642534105467</v>
      </c>
      <c r="E44" s="380">
        <v>33.053359354454479</v>
      </c>
      <c r="F44" s="380">
        <v>32.238919565677961</v>
      </c>
      <c r="G44" s="380">
        <v>31.072228314213199</v>
      </c>
      <c r="H44" s="380">
        <v>29.518517813036645</v>
      </c>
      <c r="I44" s="380">
        <v>36.290529528960278</v>
      </c>
      <c r="J44" s="380">
        <v>34.023848306017221</v>
      </c>
      <c r="K44" s="380">
        <v>36.49900133028369</v>
      </c>
      <c r="L44" s="380">
        <v>33.943511411458161</v>
      </c>
      <c r="M44" s="380">
        <v>34.793779854020059</v>
      </c>
      <c r="N44" s="380">
        <v>39.080515337833837</v>
      </c>
      <c r="O44" s="380">
        <v>37.777469854413589</v>
      </c>
      <c r="P44" s="380">
        <v>37.49623043968721</v>
      </c>
      <c r="Q44" s="380">
        <v>37.113809342482519</v>
      </c>
      <c r="R44" s="380">
        <v>37.088761276695713</v>
      </c>
      <c r="S44" s="380">
        <v>37.265247594291871</v>
      </c>
      <c r="T44" s="380">
        <v>38.155407944300904</v>
      </c>
      <c r="U44" s="380">
        <v>39.71133459167747</v>
      </c>
      <c r="V44" s="380">
        <v>41.048161313445874</v>
      </c>
      <c r="W44" s="380">
        <v>41.616532004240973</v>
      </c>
      <c r="X44" s="380">
        <v>40.953126342743666</v>
      </c>
    </row>
    <row r="45" spans="1:24" s="203" customFormat="1" ht="10.35" customHeight="1">
      <c r="A45" s="138"/>
      <c r="B45" s="141" t="s">
        <v>263</v>
      </c>
      <c r="C45" s="380">
        <v>29.000734851339736</v>
      </c>
      <c r="D45" s="380">
        <v>29.225664764458287</v>
      </c>
      <c r="E45" s="380">
        <v>25.384734817649043</v>
      </c>
      <c r="F45" s="380">
        <v>30.928360841067903</v>
      </c>
      <c r="G45" s="380">
        <v>27.081710896844925</v>
      </c>
      <c r="H45" s="380">
        <v>24.128012902169147</v>
      </c>
      <c r="I45" s="380">
        <v>42.25037012615995</v>
      </c>
      <c r="J45" s="380">
        <v>37.568696344905696</v>
      </c>
      <c r="K45" s="380">
        <v>44.028150069235799</v>
      </c>
      <c r="L45" s="380">
        <v>56.676247681834795</v>
      </c>
      <c r="M45" s="380">
        <v>50.959465435581173</v>
      </c>
      <c r="N45" s="380">
        <v>60.988672658495474</v>
      </c>
      <c r="O45" s="380">
        <v>66.349179084805556</v>
      </c>
      <c r="P45" s="380">
        <v>67.895982345119862</v>
      </c>
      <c r="Q45" s="380">
        <v>68.675410401123628</v>
      </c>
      <c r="R45" s="380">
        <v>78.125514507096881</v>
      </c>
      <c r="S45" s="380">
        <v>60.150063227353321</v>
      </c>
      <c r="T45" s="380">
        <v>57.678270776494138</v>
      </c>
      <c r="U45" s="380">
        <v>61.458889843637195</v>
      </c>
      <c r="V45" s="380">
        <v>63.324718585076596</v>
      </c>
      <c r="W45" s="380">
        <v>54.122365893462273</v>
      </c>
      <c r="X45" s="380">
        <v>65.136240409754592</v>
      </c>
    </row>
    <row r="46" spans="1:24" s="203" customFormat="1" ht="10.35" customHeight="1">
      <c r="A46" s="138"/>
      <c r="B46" s="141" t="s">
        <v>87</v>
      </c>
      <c r="C46" s="380">
        <v>28.743207852365863</v>
      </c>
      <c r="D46" s="380">
        <v>32.506930386177729</v>
      </c>
      <c r="E46" s="380">
        <v>38.006971489638921</v>
      </c>
      <c r="F46" s="380">
        <v>35.343124179109815</v>
      </c>
      <c r="G46" s="380">
        <v>39.098975028896469</v>
      </c>
      <c r="H46" s="380">
        <v>37.542281745657142</v>
      </c>
      <c r="I46" s="380">
        <v>37.207604981338548</v>
      </c>
      <c r="J46" s="380">
        <v>35.5566290867391</v>
      </c>
      <c r="K46" s="380">
        <v>42.137144616671819</v>
      </c>
      <c r="L46" s="380">
        <v>43.512881304090932</v>
      </c>
      <c r="M46" s="380">
        <v>42.336774262434105</v>
      </c>
      <c r="N46" s="380">
        <v>43.092276996596389</v>
      </c>
      <c r="O46" s="380">
        <v>43.15309794044375</v>
      </c>
      <c r="P46" s="380">
        <v>45.750069987300172</v>
      </c>
      <c r="Q46" s="380">
        <v>49.058120161731139</v>
      </c>
      <c r="R46" s="380">
        <v>47.253781963148796</v>
      </c>
      <c r="S46" s="380">
        <v>47.096994575277044</v>
      </c>
      <c r="T46" s="380">
        <v>43.850919057161256</v>
      </c>
      <c r="U46" s="380">
        <v>44.209015917513469</v>
      </c>
      <c r="V46" s="380">
        <v>44.016192374122092</v>
      </c>
      <c r="W46" s="380">
        <v>39.828640746230306</v>
      </c>
      <c r="X46" s="380">
        <v>40.703655540094047</v>
      </c>
    </row>
    <row r="47" spans="1:24" s="203" customFormat="1" ht="10.35" customHeight="1">
      <c r="A47" s="143"/>
      <c r="B47" s="144" t="s">
        <v>211</v>
      </c>
      <c r="C47" s="381">
        <v>38.98615666218177</v>
      </c>
      <c r="D47" s="381">
        <v>38.829618025921278</v>
      </c>
      <c r="E47" s="381">
        <v>28.200062305196798</v>
      </c>
      <c r="F47" s="381">
        <v>33.908352577498192</v>
      </c>
      <c r="G47" s="381">
        <v>29.520469486666066</v>
      </c>
      <c r="H47" s="381">
        <v>29.180932725727562</v>
      </c>
      <c r="I47" s="381">
        <v>25.586061623133556</v>
      </c>
      <c r="J47" s="381">
        <v>35.187581606194726</v>
      </c>
      <c r="K47" s="381">
        <v>42.409719303027288</v>
      </c>
      <c r="L47" s="381">
        <v>48.223892131011944</v>
      </c>
      <c r="M47" s="381">
        <v>36.472548552706733</v>
      </c>
      <c r="N47" s="381">
        <v>30.698323386660114</v>
      </c>
      <c r="O47" s="381">
        <v>47.831899467081307</v>
      </c>
      <c r="P47" s="381">
        <v>45.56742114961714</v>
      </c>
      <c r="Q47" s="381">
        <v>42.80214355702681</v>
      </c>
      <c r="R47" s="381">
        <v>38.333003469092155</v>
      </c>
      <c r="S47" s="381">
        <v>40.401538583459647</v>
      </c>
      <c r="T47" s="381">
        <v>43.400593692753482</v>
      </c>
      <c r="U47" s="381">
        <v>51.821356709491013</v>
      </c>
      <c r="V47" s="381">
        <v>45.945967618392636</v>
      </c>
      <c r="W47" s="381">
        <v>43.064297136891398</v>
      </c>
      <c r="X47" s="381">
        <v>48.409248915093762</v>
      </c>
    </row>
    <row r="48" spans="1:24" s="203" customFormat="1" ht="12.75">
      <c r="A48" s="38"/>
      <c r="B48" s="146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23"/>
      <c r="V48" s="123"/>
      <c r="W48" s="123"/>
      <c r="X48" s="123" t="s">
        <v>0</v>
      </c>
    </row>
    <row r="49" spans="1:24" s="203" customFormat="1" ht="12.75">
      <c r="B49" s="66" t="s">
        <v>246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s="203" customFormat="1" ht="14.1" customHeight="1">
      <c r="A50" s="368" t="s">
        <v>230</v>
      </c>
      <c r="B50" s="369"/>
      <c r="C50" s="370" t="s">
        <v>199</v>
      </c>
      <c r="D50" s="370" t="s">
        <v>200</v>
      </c>
      <c r="E50" s="370" t="s">
        <v>296</v>
      </c>
      <c r="F50" s="370" t="s">
        <v>266</v>
      </c>
      <c r="G50" s="370" t="s">
        <v>267</v>
      </c>
      <c r="H50" s="370" t="s">
        <v>268</v>
      </c>
      <c r="I50" s="370" t="s">
        <v>269</v>
      </c>
      <c r="J50" s="370" t="s">
        <v>270</v>
      </c>
      <c r="K50" s="370" t="s">
        <v>271</v>
      </c>
      <c r="L50" s="370" t="s">
        <v>226</v>
      </c>
      <c r="M50" s="370" t="s">
        <v>227</v>
      </c>
      <c r="N50" s="370" t="s">
        <v>228</v>
      </c>
      <c r="O50" s="370" t="s">
        <v>95</v>
      </c>
      <c r="P50" s="370" t="s">
        <v>96</v>
      </c>
      <c r="Q50" s="370" t="s">
        <v>97</v>
      </c>
      <c r="R50" s="370" t="s">
        <v>98</v>
      </c>
      <c r="S50" s="370" t="s">
        <v>99</v>
      </c>
      <c r="T50" s="387" t="s">
        <v>455</v>
      </c>
      <c r="U50" s="387" t="s">
        <v>456</v>
      </c>
      <c r="V50" s="387" t="s">
        <v>457</v>
      </c>
      <c r="W50" s="387" t="s">
        <v>458</v>
      </c>
      <c r="X50" s="387" t="s">
        <v>459</v>
      </c>
    </row>
    <row r="51" spans="1:24" s="203" customFormat="1" ht="10.35" customHeight="1">
      <c r="A51" s="149"/>
      <c r="B51" s="146" t="s">
        <v>264</v>
      </c>
      <c r="C51" s="380">
        <v>57.122716705365008</v>
      </c>
      <c r="D51" s="380">
        <v>55.692620559534397</v>
      </c>
      <c r="E51" s="380">
        <v>58.540125709078644</v>
      </c>
      <c r="F51" s="380">
        <v>54.225377880257305</v>
      </c>
      <c r="G51" s="380">
        <v>49.389709317330613</v>
      </c>
      <c r="H51" s="380">
        <v>53.054004510533936</v>
      </c>
      <c r="I51" s="380">
        <v>48.059957872643501</v>
      </c>
      <c r="J51" s="380">
        <v>45.259898269472117</v>
      </c>
      <c r="K51" s="380">
        <v>43.493417875454469</v>
      </c>
      <c r="L51" s="380">
        <v>47.029865604929526</v>
      </c>
      <c r="M51" s="380">
        <v>43.793385622990733</v>
      </c>
      <c r="N51" s="380">
        <v>42.021147283449814</v>
      </c>
      <c r="O51" s="380">
        <v>43.42599897046636</v>
      </c>
      <c r="P51" s="380">
        <v>44.180105444288252</v>
      </c>
      <c r="Q51" s="380">
        <v>42.442173001561585</v>
      </c>
      <c r="R51" s="380">
        <v>44.244594340072517</v>
      </c>
      <c r="S51" s="380">
        <v>43.42640961391394</v>
      </c>
      <c r="T51" s="380">
        <v>45.803835733447961</v>
      </c>
      <c r="U51" s="380">
        <v>47.173077624868249</v>
      </c>
      <c r="V51" s="380">
        <v>43.936185588336002</v>
      </c>
      <c r="W51" s="380">
        <v>46.193784726873361</v>
      </c>
      <c r="X51" s="380">
        <v>47.385463074490936</v>
      </c>
    </row>
    <row r="52" spans="1:24" s="203" customFormat="1" ht="10.35" customHeight="1">
      <c r="A52" s="149"/>
      <c r="B52" s="146" t="s">
        <v>61</v>
      </c>
      <c r="C52" s="380">
        <v>32.946438331361477</v>
      </c>
      <c r="D52" s="380">
        <v>33.050860936648682</v>
      </c>
      <c r="E52" s="380">
        <v>33.925809847092346</v>
      </c>
      <c r="F52" s="380">
        <v>37.339497994734494</v>
      </c>
      <c r="G52" s="380">
        <v>38.20560170431397</v>
      </c>
      <c r="H52" s="380">
        <v>34.777790844804436</v>
      </c>
      <c r="I52" s="380">
        <v>33.069936824077416</v>
      </c>
      <c r="J52" s="380">
        <v>30.926940739281353</v>
      </c>
      <c r="K52" s="380">
        <v>31.964620750182647</v>
      </c>
      <c r="L52" s="380">
        <v>33.938749604625905</v>
      </c>
      <c r="M52" s="380">
        <v>36.620593797098287</v>
      </c>
      <c r="N52" s="380">
        <v>24.522549776731335</v>
      </c>
      <c r="O52" s="380">
        <v>23.008709394928456</v>
      </c>
      <c r="P52" s="380">
        <v>28.917665846613307</v>
      </c>
      <c r="Q52" s="380">
        <v>28.429149065564875</v>
      </c>
      <c r="R52" s="380">
        <v>27.005110806428828</v>
      </c>
      <c r="S52" s="380">
        <v>33.1403840794895</v>
      </c>
      <c r="T52" s="380">
        <v>34.911787593693099</v>
      </c>
      <c r="U52" s="380">
        <v>34.555016610810313</v>
      </c>
      <c r="V52" s="380">
        <v>31.005576537521335</v>
      </c>
      <c r="W52" s="380">
        <v>34.938361420515363</v>
      </c>
      <c r="X52" s="380">
        <v>36.501787471210747</v>
      </c>
    </row>
    <row r="53" spans="1:24" s="203" customFormat="1" ht="10.35" customHeight="1">
      <c r="A53" s="149"/>
      <c r="B53" s="146" t="s">
        <v>62</v>
      </c>
      <c r="C53" s="380">
        <v>34.4023967529956</v>
      </c>
      <c r="D53" s="380">
        <v>27.152848177147948</v>
      </c>
      <c r="E53" s="380">
        <v>37.108676668806289</v>
      </c>
      <c r="F53" s="380">
        <v>36.742559048935</v>
      </c>
      <c r="G53" s="380">
        <v>32.965450146427777</v>
      </c>
      <c r="H53" s="380">
        <v>39.790852418467964</v>
      </c>
      <c r="I53" s="380">
        <v>37.171264146969008</v>
      </c>
      <c r="J53" s="380">
        <v>38.879234125796792</v>
      </c>
      <c r="K53" s="380">
        <v>36.437927707870358</v>
      </c>
      <c r="L53" s="380">
        <v>47.92421308659857</v>
      </c>
      <c r="M53" s="380">
        <v>50.140993388982061</v>
      </c>
      <c r="N53" s="380">
        <v>49.606774815245231</v>
      </c>
      <c r="O53" s="380">
        <v>53.515269878436946</v>
      </c>
      <c r="P53" s="380">
        <v>57.432014770322795</v>
      </c>
      <c r="Q53" s="380">
        <v>106.95351202300432</v>
      </c>
      <c r="R53" s="380">
        <v>116.86378312731833</v>
      </c>
      <c r="S53" s="380">
        <v>93.55195497002191</v>
      </c>
      <c r="T53" s="380">
        <v>93.873170300057041</v>
      </c>
      <c r="U53" s="380">
        <v>101.39254816184847</v>
      </c>
      <c r="V53" s="380">
        <v>103.23027755736196</v>
      </c>
      <c r="W53" s="380">
        <v>115.37136711700479</v>
      </c>
      <c r="X53" s="380">
        <v>123.13099954551913</v>
      </c>
    </row>
    <row r="54" spans="1:24" s="203" customFormat="1" ht="10.35" customHeight="1">
      <c r="A54" s="149"/>
      <c r="B54" s="146" t="s">
        <v>91</v>
      </c>
      <c r="C54" s="380">
        <v>10.710010914232956</v>
      </c>
      <c r="D54" s="380">
        <v>15.259532492744903</v>
      </c>
      <c r="E54" s="380">
        <v>15.093500460338239</v>
      </c>
      <c r="F54" s="380">
        <v>13.092534549979952</v>
      </c>
      <c r="G54" s="380">
        <v>13.376178274285358</v>
      </c>
      <c r="H54" s="380">
        <v>14.676926297631431</v>
      </c>
      <c r="I54" s="380">
        <v>16.178108025217615</v>
      </c>
      <c r="J54" s="380">
        <v>18.514100968462774</v>
      </c>
      <c r="K54" s="380">
        <v>28.257481845569068</v>
      </c>
      <c r="L54" s="380">
        <v>31.8637687409881</v>
      </c>
      <c r="M54" s="380">
        <v>31.321278513278475</v>
      </c>
      <c r="N54" s="380">
        <v>36.418132857456968</v>
      </c>
      <c r="O54" s="380">
        <v>32.599280213692623</v>
      </c>
      <c r="P54" s="380">
        <v>38.016004094218523</v>
      </c>
      <c r="Q54" s="380">
        <v>49.811700932459658</v>
      </c>
      <c r="R54" s="380">
        <v>47.110864830322285</v>
      </c>
      <c r="S54" s="380">
        <v>47.517466690618313</v>
      </c>
      <c r="T54" s="380">
        <v>50.448265396504219</v>
      </c>
      <c r="U54" s="380">
        <v>49.696014161996452</v>
      </c>
      <c r="V54" s="380">
        <v>47.031887621790624</v>
      </c>
      <c r="W54" s="380">
        <v>36.678213930891836</v>
      </c>
      <c r="X54" s="380">
        <v>36.025453923669772</v>
      </c>
    </row>
    <row r="55" spans="1:24" s="203" customFormat="1" ht="10.35" customHeight="1">
      <c r="A55" s="149"/>
      <c r="B55" s="146" t="s">
        <v>63</v>
      </c>
      <c r="C55" s="380">
        <v>37.956950849606471</v>
      </c>
      <c r="D55" s="380">
        <v>32.777482087138054</v>
      </c>
      <c r="E55" s="380">
        <v>30.350456346233617</v>
      </c>
      <c r="F55" s="380">
        <v>30.287971419708946</v>
      </c>
      <c r="G55" s="380">
        <v>29.459221305736463</v>
      </c>
      <c r="H55" s="380">
        <v>30.882597928661959</v>
      </c>
      <c r="I55" s="380">
        <v>32.229323199024847</v>
      </c>
      <c r="J55" s="380">
        <v>32.083048464344252</v>
      </c>
      <c r="K55" s="380">
        <v>33.006761070431097</v>
      </c>
      <c r="L55" s="380">
        <v>37.57252943141868</v>
      </c>
      <c r="M55" s="380">
        <v>39.003398265138358</v>
      </c>
      <c r="N55" s="380">
        <v>37.848770177845012</v>
      </c>
      <c r="O55" s="380">
        <v>37.13580292476427</v>
      </c>
      <c r="P55" s="380">
        <v>38.191458111770714</v>
      </c>
      <c r="Q55" s="380">
        <v>38.199064355401845</v>
      </c>
      <c r="R55" s="380">
        <v>41.404999751528159</v>
      </c>
      <c r="S55" s="380">
        <v>39.851308429782144</v>
      </c>
      <c r="T55" s="380">
        <v>41.477792232888241</v>
      </c>
      <c r="U55" s="380">
        <v>37.689090756477341</v>
      </c>
      <c r="V55" s="380">
        <v>39.379042195756348</v>
      </c>
      <c r="W55" s="380">
        <v>30.56540925751699</v>
      </c>
      <c r="X55" s="380">
        <v>25.054353277690876</v>
      </c>
    </row>
    <row r="56" spans="1:24" s="203" customFormat="1" ht="10.35" customHeight="1">
      <c r="A56" s="149"/>
      <c r="B56" s="146" t="s">
        <v>142</v>
      </c>
      <c r="C56" s="380">
        <v>14.106939756048856</v>
      </c>
      <c r="D56" s="380">
        <v>13.115588593212653</v>
      </c>
      <c r="E56" s="380">
        <v>14.573842700066477</v>
      </c>
      <c r="F56" s="380">
        <v>14.786229909524231</v>
      </c>
      <c r="G56" s="380">
        <v>15.087011779292741</v>
      </c>
      <c r="H56" s="380">
        <v>12.373548296934944</v>
      </c>
      <c r="I56" s="380">
        <v>27.613442242327913</v>
      </c>
      <c r="J56" s="380">
        <v>15.011913794811239</v>
      </c>
      <c r="K56" s="380">
        <v>24.140915772479268</v>
      </c>
      <c r="L56" s="380">
        <v>26.085890026101769</v>
      </c>
      <c r="M56" s="380">
        <v>33.633829585216574</v>
      </c>
      <c r="N56" s="380">
        <v>15.215900139351128</v>
      </c>
      <c r="O56" s="380">
        <v>35.286562920613328</v>
      </c>
      <c r="P56" s="380">
        <v>13.006250260383615</v>
      </c>
      <c r="Q56" s="380">
        <v>13.804323762428583</v>
      </c>
      <c r="R56" s="380">
        <v>10.63645826208532</v>
      </c>
      <c r="S56" s="380">
        <v>21.591968867048291</v>
      </c>
      <c r="T56" s="380">
        <v>16.414513074204223</v>
      </c>
      <c r="U56" s="380">
        <v>5.8440659404781439</v>
      </c>
      <c r="V56" s="380">
        <v>11.185505403397622</v>
      </c>
      <c r="W56" s="380">
        <v>8.2790530986504436</v>
      </c>
      <c r="X56" s="380">
        <v>12.60438794769501</v>
      </c>
    </row>
    <row r="57" spans="1:24" s="203" customFormat="1" ht="10.35" customHeight="1">
      <c r="A57" s="149"/>
      <c r="B57" s="146" t="s">
        <v>118</v>
      </c>
      <c r="C57" s="380">
        <v>30.418903163614146</v>
      </c>
      <c r="D57" s="380">
        <v>29.959231906925616</v>
      </c>
      <c r="E57" s="380">
        <v>30.119664305716359</v>
      </c>
      <c r="F57" s="380">
        <v>28.517124246294841</v>
      </c>
      <c r="G57" s="380">
        <v>25.885445706764191</v>
      </c>
      <c r="H57" s="380">
        <v>24.372309353815492</v>
      </c>
      <c r="I57" s="380">
        <v>25.461862577330582</v>
      </c>
      <c r="J57" s="380">
        <v>26.185458117710198</v>
      </c>
      <c r="K57" s="380">
        <v>27.770702632473231</v>
      </c>
      <c r="L57" s="380">
        <v>29.074268193873632</v>
      </c>
      <c r="M57" s="380">
        <v>26.955027242551107</v>
      </c>
      <c r="N57" s="380">
        <v>27.915746082079661</v>
      </c>
      <c r="O57" s="380">
        <v>28.772104354158589</v>
      </c>
      <c r="P57" s="380">
        <v>30.406472741913245</v>
      </c>
      <c r="Q57" s="380">
        <v>30.08404731983255</v>
      </c>
      <c r="R57" s="380">
        <v>31.29380417817881</v>
      </c>
      <c r="S57" s="380">
        <v>28.538282048696939</v>
      </c>
      <c r="T57" s="380">
        <v>32.03924295404984</v>
      </c>
      <c r="U57" s="380">
        <v>33.027067192523972</v>
      </c>
      <c r="V57" s="380">
        <v>31.678734188599599</v>
      </c>
      <c r="W57" s="380">
        <v>32.128914024488836</v>
      </c>
      <c r="X57" s="380">
        <v>33.871091674447847</v>
      </c>
    </row>
    <row r="58" spans="1:24" s="203" customFormat="1" ht="10.35" customHeight="1">
      <c r="A58" s="149"/>
      <c r="B58" s="146" t="s">
        <v>119</v>
      </c>
      <c r="C58" s="380">
        <v>12.268326250502215</v>
      </c>
      <c r="D58" s="380">
        <v>17.813054934063313</v>
      </c>
      <c r="E58" s="380">
        <v>19.51255331791296</v>
      </c>
      <c r="F58" s="380">
        <v>25.585404848532907</v>
      </c>
      <c r="G58" s="380">
        <v>33.891231506077268</v>
      </c>
      <c r="H58" s="380">
        <v>33.342615251925977</v>
      </c>
      <c r="I58" s="380">
        <v>32.545311581751612</v>
      </c>
      <c r="J58" s="380">
        <v>27.05818417964765</v>
      </c>
      <c r="K58" s="380">
        <v>31.977119881812975</v>
      </c>
      <c r="L58" s="380">
        <v>32.611696203641173</v>
      </c>
      <c r="M58" s="380">
        <v>34.72045567341349</v>
      </c>
      <c r="N58" s="380">
        <v>37.470983391473183</v>
      </c>
      <c r="O58" s="380">
        <v>39.007204282543547</v>
      </c>
      <c r="P58" s="380">
        <v>39.572167836124557</v>
      </c>
      <c r="Q58" s="380">
        <v>42.362266958457845</v>
      </c>
      <c r="R58" s="380">
        <v>45.381027501706626</v>
      </c>
      <c r="S58" s="380">
        <v>48.610328424906754</v>
      </c>
      <c r="T58" s="380">
        <v>51.41251386210434</v>
      </c>
      <c r="U58" s="380">
        <v>51.965492803767035</v>
      </c>
      <c r="V58" s="380">
        <v>42.842843941754033</v>
      </c>
      <c r="W58" s="380">
        <v>39.22988156535304</v>
      </c>
      <c r="X58" s="380">
        <v>39.101082952132984</v>
      </c>
    </row>
    <row r="59" spans="1:24" s="203" customFormat="1" ht="10.35" customHeight="1">
      <c r="A59" s="149"/>
      <c r="B59" s="146" t="s">
        <v>60</v>
      </c>
      <c r="C59" s="380">
        <v>12.382102566797879</v>
      </c>
      <c r="D59" s="380">
        <v>12.443552913234013</v>
      </c>
      <c r="E59" s="380">
        <v>13.849892075374708</v>
      </c>
      <c r="F59" s="380">
        <v>11.727595253476327</v>
      </c>
      <c r="G59" s="380">
        <v>14.38861934335897</v>
      </c>
      <c r="H59" s="380">
        <v>12.991502674946156</v>
      </c>
      <c r="I59" s="380">
        <v>15.145224220695196</v>
      </c>
      <c r="J59" s="380">
        <v>20.073660456852338</v>
      </c>
      <c r="K59" s="380">
        <v>23.709959594413839</v>
      </c>
      <c r="L59" s="380">
        <v>25.81340218328091</v>
      </c>
      <c r="M59" s="380">
        <v>21.0367205199694</v>
      </c>
      <c r="N59" s="380">
        <v>20.600911937746904</v>
      </c>
      <c r="O59" s="380">
        <v>21.260280968250218</v>
      </c>
      <c r="P59" s="380">
        <v>24.005310886152767</v>
      </c>
      <c r="Q59" s="380">
        <v>23.295361507627359</v>
      </c>
      <c r="R59" s="380">
        <v>20.005649404026844</v>
      </c>
      <c r="S59" s="380">
        <v>17.988556128403882</v>
      </c>
      <c r="T59" s="380">
        <v>19.569213236761946</v>
      </c>
      <c r="U59" s="380">
        <v>23.323352176317862</v>
      </c>
      <c r="V59" s="380">
        <v>24.921724469645248</v>
      </c>
      <c r="W59" s="380">
        <v>27.432699740279528</v>
      </c>
      <c r="X59" s="380">
        <v>25.541877702585897</v>
      </c>
    </row>
    <row r="60" spans="1:24" s="203" customFormat="1" ht="10.35" customHeight="1">
      <c r="A60" s="149"/>
      <c r="B60" s="146" t="s">
        <v>120</v>
      </c>
      <c r="C60" s="380">
        <v>7.4675847996869198</v>
      </c>
      <c r="D60" s="380">
        <v>4.3180578903966955</v>
      </c>
      <c r="E60" s="380">
        <v>4.5464475380217753</v>
      </c>
      <c r="F60" s="380">
        <v>6.4827784221805711</v>
      </c>
      <c r="G60" s="380">
        <v>4.2876933309768575</v>
      </c>
      <c r="H60" s="380">
        <v>4.6158279942176366</v>
      </c>
      <c r="I60" s="380">
        <v>16.642692729850733</v>
      </c>
      <c r="J60" s="380">
        <v>8.8629053082461251</v>
      </c>
      <c r="K60" s="380">
        <v>7.944360881609569</v>
      </c>
      <c r="L60" s="380">
        <v>12.845098288832688</v>
      </c>
      <c r="M60" s="380">
        <v>8.8870768681777044</v>
      </c>
      <c r="N60" s="380">
        <v>13.419594872832747</v>
      </c>
      <c r="O60" s="380">
        <v>10.06670494989004</v>
      </c>
      <c r="P60" s="380">
        <v>11.398636807849636</v>
      </c>
      <c r="Q60" s="380">
        <v>13.436759226744362</v>
      </c>
      <c r="R60" s="380">
        <v>10.979097244547649</v>
      </c>
      <c r="S60" s="380">
        <v>9.4619915582345833</v>
      </c>
      <c r="T60" s="380">
        <v>8.7289824802261915</v>
      </c>
      <c r="U60" s="380">
        <v>1.5779574076806804</v>
      </c>
      <c r="V60" s="380">
        <v>2.3042359212706147</v>
      </c>
      <c r="W60" s="380">
        <v>1.8485946289721031</v>
      </c>
      <c r="X60" s="380">
        <v>2.0189304077902523</v>
      </c>
    </row>
    <row r="61" spans="1:24" s="203" customFormat="1" ht="10.35" customHeight="1">
      <c r="A61" s="149"/>
      <c r="B61" s="146" t="s">
        <v>121</v>
      </c>
      <c r="C61" s="380">
        <v>14.705367753906646</v>
      </c>
      <c r="D61" s="380">
        <v>11.511582971847256</v>
      </c>
      <c r="E61" s="380">
        <v>11.986979046194552</v>
      </c>
      <c r="F61" s="380">
        <v>12.927903948578104</v>
      </c>
      <c r="G61" s="380">
        <v>14.871840220594251</v>
      </c>
      <c r="H61" s="380">
        <v>14.520539089427807</v>
      </c>
      <c r="I61" s="380">
        <v>15.680365449186841</v>
      </c>
      <c r="J61" s="380">
        <v>15.745068659597694</v>
      </c>
      <c r="K61" s="380">
        <v>18.65731688845597</v>
      </c>
      <c r="L61" s="380">
        <v>20.752975855452746</v>
      </c>
      <c r="M61" s="380">
        <v>22.554654620112071</v>
      </c>
      <c r="N61" s="380">
        <v>25.530764291025978</v>
      </c>
      <c r="O61" s="380">
        <v>28.442045696485827</v>
      </c>
      <c r="P61" s="380">
        <v>39.637298574889641</v>
      </c>
      <c r="Q61" s="380">
        <v>48.20389310076478</v>
      </c>
      <c r="R61" s="380">
        <v>44.903609830311439</v>
      </c>
      <c r="S61" s="380">
        <v>47.309382444895043</v>
      </c>
      <c r="T61" s="380">
        <v>52.63688730145109</v>
      </c>
      <c r="U61" s="380">
        <v>51.576791666297019</v>
      </c>
      <c r="V61" s="380">
        <v>47.256875462889901</v>
      </c>
      <c r="W61" s="380">
        <v>46.486548498941346</v>
      </c>
      <c r="X61" s="380">
        <v>51.892641709735969</v>
      </c>
    </row>
    <row r="62" spans="1:24" s="203" customFormat="1" ht="10.35" customHeight="1">
      <c r="A62" s="149"/>
      <c r="B62" s="146" t="s">
        <v>129</v>
      </c>
      <c r="C62" s="380">
        <v>7.3205957227745708</v>
      </c>
      <c r="D62" s="380">
        <v>6.4811814110150126</v>
      </c>
      <c r="E62" s="380">
        <v>9.1949349459878729</v>
      </c>
      <c r="F62" s="380">
        <v>10.091570236144802</v>
      </c>
      <c r="G62" s="380">
        <v>13.369550792571692</v>
      </c>
      <c r="H62" s="380">
        <v>14.224122290812945</v>
      </c>
      <c r="I62" s="380">
        <v>15.42906998163018</v>
      </c>
      <c r="J62" s="380">
        <v>17.283586462620242</v>
      </c>
      <c r="K62" s="380">
        <v>17.334615768912013</v>
      </c>
      <c r="L62" s="380">
        <v>19.170718230476421</v>
      </c>
      <c r="M62" s="380">
        <v>19.99537449388027</v>
      </c>
      <c r="N62" s="380">
        <v>20.980370244465121</v>
      </c>
      <c r="O62" s="380">
        <v>22.381011333530036</v>
      </c>
      <c r="P62" s="380">
        <v>23.492438278147695</v>
      </c>
      <c r="Q62" s="380">
        <v>25.281752695271653</v>
      </c>
      <c r="R62" s="380">
        <v>24.091720695599385</v>
      </c>
      <c r="S62" s="380">
        <v>24.588375980195657</v>
      </c>
      <c r="T62" s="380">
        <v>22.803648297418615</v>
      </c>
      <c r="U62" s="380">
        <v>21.762080587153854</v>
      </c>
      <c r="V62" s="380">
        <v>21.583286831324411</v>
      </c>
      <c r="W62" s="380">
        <v>19.322427613471234</v>
      </c>
      <c r="X62" s="380">
        <v>21.216252491666925</v>
      </c>
    </row>
    <row r="63" spans="1:24" s="203" customFormat="1" ht="10.35" customHeight="1">
      <c r="A63" s="149"/>
      <c r="B63" s="146" t="s">
        <v>139</v>
      </c>
      <c r="C63" s="380">
        <v>15.180364351368228</v>
      </c>
      <c r="D63" s="380">
        <v>14.773113556341917</v>
      </c>
      <c r="E63" s="380">
        <v>20.552812878469954</v>
      </c>
      <c r="F63" s="380">
        <v>17.553006733976428</v>
      </c>
      <c r="G63" s="380">
        <v>15.711652158209082</v>
      </c>
      <c r="H63" s="380">
        <v>16.875564352315468</v>
      </c>
      <c r="I63" s="380">
        <v>15.933342546186097</v>
      </c>
      <c r="J63" s="380">
        <v>16.860387507441288</v>
      </c>
      <c r="K63" s="380">
        <v>17.820891733589121</v>
      </c>
      <c r="L63" s="380">
        <v>21.725964518830114</v>
      </c>
      <c r="M63" s="380">
        <v>22.868110180778125</v>
      </c>
      <c r="N63" s="380">
        <v>22.505979947780443</v>
      </c>
      <c r="O63" s="380">
        <v>19.594072975274191</v>
      </c>
      <c r="P63" s="380">
        <v>28.284327539183518</v>
      </c>
      <c r="Q63" s="380">
        <v>21.256337637966379</v>
      </c>
      <c r="R63" s="380">
        <v>23.781684988181059</v>
      </c>
      <c r="S63" s="380">
        <v>30.780407037606235</v>
      </c>
      <c r="T63" s="380">
        <v>31.596637585562881</v>
      </c>
      <c r="U63" s="380">
        <v>25.497091529723278</v>
      </c>
      <c r="V63" s="380">
        <v>27.288416350867848</v>
      </c>
      <c r="W63" s="380">
        <v>27.338658295778849</v>
      </c>
      <c r="X63" s="380">
        <v>25.284382554131039</v>
      </c>
    </row>
    <row r="64" spans="1:24" s="203" customFormat="1" ht="10.35" customHeight="1">
      <c r="A64" s="149"/>
      <c r="B64" s="146" t="s">
        <v>167</v>
      </c>
      <c r="C64" s="380">
        <v>9.2238480655718273</v>
      </c>
      <c r="D64" s="380">
        <v>6.9195984073121553</v>
      </c>
      <c r="E64" s="380">
        <v>7.4379874899350922</v>
      </c>
      <c r="F64" s="380">
        <v>10.219332445092137</v>
      </c>
      <c r="G64" s="380">
        <v>9.0900262164137615</v>
      </c>
      <c r="H64" s="380">
        <v>8.8564076781836363</v>
      </c>
      <c r="I64" s="380">
        <v>9.7402841784419874</v>
      </c>
      <c r="J64" s="380">
        <v>12.908012870525022</v>
      </c>
      <c r="K64" s="380">
        <v>14.387681611672201</v>
      </c>
      <c r="L64" s="380">
        <v>18.808049412648646</v>
      </c>
      <c r="M64" s="380">
        <v>19.069791760036789</v>
      </c>
      <c r="N64" s="380">
        <v>32.520136691407622</v>
      </c>
      <c r="O64" s="380">
        <v>23.818482440905882</v>
      </c>
      <c r="P64" s="380">
        <v>19.468947174784361</v>
      </c>
      <c r="Q64" s="380">
        <v>20.287586258145517</v>
      </c>
      <c r="R64" s="380">
        <v>29.392642049206355</v>
      </c>
      <c r="S64" s="380">
        <v>28.243087879359933</v>
      </c>
      <c r="T64" s="380">
        <v>27.715804328675372</v>
      </c>
      <c r="U64" s="380">
        <v>28.809100433025534</v>
      </c>
      <c r="V64" s="380">
        <v>26.935787817646727</v>
      </c>
      <c r="W64" s="380">
        <v>35.550083400079636</v>
      </c>
      <c r="X64" s="380">
        <v>40.483651299852433</v>
      </c>
    </row>
    <row r="65" spans="1:24" s="203" customFormat="1" ht="10.35" customHeight="1">
      <c r="A65" s="149"/>
      <c r="B65" s="146" t="s">
        <v>140</v>
      </c>
      <c r="C65" s="380">
        <v>8.7522403039342525</v>
      </c>
      <c r="D65" s="380">
        <v>9.3350073632870032</v>
      </c>
      <c r="E65" s="380">
        <v>11.300682957994045</v>
      </c>
      <c r="F65" s="380">
        <v>11.747744743647225</v>
      </c>
      <c r="G65" s="380">
        <v>12.131757836013378</v>
      </c>
      <c r="H65" s="380">
        <v>11.876882875825771</v>
      </c>
      <c r="I65" s="380">
        <v>12.156725728245908</v>
      </c>
      <c r="J65" s="380">
        <v>12.308486895594845</v>
      </c>
      <c r="K65" s="380">
        <v>11.956902699858144</v>
      </c>
      <c r="L65" s="380">
        <v>12.038627205541342</v>
      </c>
      <c r="M65" s="380">
        <v>11.875357947861866</v>
      </c>
      <c r="N65" s="380">
        <v>11.927157844635749</v>
      </c>
      <c r="O65" s="380">
        <v>12.162341892171796</v>
      </c>
      <c r="P65" s="380">
        <v>12.329376866953313</v>
      </c>
      <c r="Q65" s="380">
        <v>13.358061665589267</v>
      </c>
      <c r="R65" s="380">
        <v>13.446858935737403</v>
      </c>
      <c r="S65" s="380">
        <v>12.16508585147449</v>
      </c>
      <c r="T65" s="380">
        <v>13.381077495853294</v>
      </c>
      <c r="U65" s="380">
        <v>13.102585073665901</v>
      </c>
      <c r="V65" s="380">
        <v>12.244611265268567</v>
      </c>
      <c r="W65" s="380">
        <v>11.579097592036224</v>
      </c>
      <c r="X65" s="380">
        <v>13.069045418386265</v>
      </c>
    </row>
    <row r="66" spans="1:24" s="203" customFormat="1" ht="10.35" customHeight="1">
      <c r="A66" s="149"/>
      <c r="B66" s="146" t="s">
        <v>45</v>
      </c>
      <c r="C66" s="380">
        <v>15.167097677876637</v>
      </c>
      <c r="D66" s="380">
        <v>15.646553221818019</v>
      </c>
      <c r="E66" s="380">
        <v>15.392730357606908</v>
      </c>
      <c r="F66" s="380">
        <v>14.388770576496578</v>
      </c>
      <c r="G66" s="380">
        <v>14.993719703028207</v>
      </c>
      <c r="H66" s="380">
        <v>15.285006043569693</v>
      </c>
      <c r="I66" s="380">
        <v>16.437602047476613</v>
      </c>
      <c r="J66" s="380">
        <v>16.401776604350982</v>
      </c>
      <c r="K66" s="380">
        <v>20.346538654580183</v>
      </c>
      <c r="L66" s="380">
        <v>17.791135684693053</v>
      </c>
      <c r="M66" s="380">
        <v>17.723658280191561</v>
      </c>
      <c r="N66" s="380">
        <v>17.28633232753446</v>
      </c>
      <c r="O66" s="380">
        <v>17.187618864181598</v>
      </c>
      <c r="P66" s="380">
        <v>22.521810053199502</v>
      </c>
      <c r="Q66" s="380">
        <v>25.675296421847666</v>
      </c>
      <c r="R66" s="380">
        <v>27.965095588100013</v>
      </c>
      <c r="S66" s="380">
        <v>30.059843142599334</v>
      </c>
      <c r="T66" s="380">
        <v>27.70449039903097</v>
      </c>
      <c r="U66" s="380">
        <v>28.612157625333392</v>
      </c>
      <c r="V66" s="380">
        <v>37.1244423783522</v>
      </c>
      <c r="W66" s="380">
        <v>29.643117709370536</v>
      </c>
      <c r="X66" s="380">
        <v>48.337868350849327</v>
      </c>
    </row>
    <row r="67" spans="1:24" s="203" customFormat="1" ht="10.35" customHeight="1">
      <c r="A67" s="149"/>
      <c r="B67" s="146" t="s">
        <v>43</v>
      </c>
      <c r="C67" s="380">
        <v>9.7864174542741136</v>
      </c>
      <c r="D67" s="380">
        <v>10.60208704740884</v>
      </c>
      <c r="E67" s="380">
        <v>8.8168217271158511</v>
      </c>
      <c r="F67" s="380">
        <v>9.0137939667938021</v>
      </c>
      <c r="G67" s="380">
        <v>8.0745189138997429</v>
      </c>
      <c r="H67" s="380">
        <v>8.83834337815507</v>
      </c>
      <c r="I67" s="380">
        <v>8.052307583168524</v>
      </c>
      <c r="J67" s="380">
        <v>8.1336757689447499</v>
      </c>
      <c r="K67" s="380">
        <v>7.2033273019829327</v>
      </c>
      <c r="L67" s="380">
        <v>9.0756815048469761</v>
      </c>
      <c r="M67" s="380">
        <v>8.7081312915900408</v>
      </c>
      <c r="N67" s="380">
        <v>9.7127548970892086</v>
      </c>
      <c r="O67" s="380">
        <v>10.019939914052143</v>
      </c>
      <c r="P67" s="380">
        <v>10.569055315168359</v>
      </c>
      <c r="Q67" s="380">
        <v>10.838861655328015</v>
      </c>
      <c r="R67" s="380">
        <v>11.250971905270591</v>
      </c>
      <c r="S67" s="380">
        <v>13.439754515115975</v>
      </c>
      <c r="T67" s="380">
        <v>12.315885010512199</v>
      </c>
      <c r="U67" s="380">
        <v>14.030941779232256</v>
      </c>
      <c r="V67" s="380">
        <v>13.878331924133093</v>
      </c>
      <c r="W67" s="380">
        <v>12.899939977325833</v>
      </c>
      <c r="X67" s="380">
        <v>13.489714239146306</v>
      </c>
    </row>
    <row r="68" spans="1:24" s="203" customFormat="1" ht="10.35" customHeight="1">
      <c r="A68" s="149"/>
      <c r="B68" s="146" t="s">
        <v>44</v>
      </c>
      <c r="C68" s="380">
        <v>5.2876532286032925</v>
      </c>
      <c r="D68" s="380">
        <v>3.9702639231880985</v>
      </c>
      <c r="E68" s="380">
        <v>8.6643681240768533</v>
      </c>
      <c r="F68" s="380">
        <v>13.552551999424095</v>
      </c>
      <c r="G68" s="380">
        <v>8.7064413402182037</v>
      </c>
      <c r="H68" s="380">
        <v>8.0996813226352806</v>
      </c>
      <c r="I68" s="380">
        <v>8.1421716517366569</v>
      </c>
      <c r="J68" s="380">
        <v>7.258199808601673</v>
      </c>
      <c r="K68" s="380">
        <v>8.7794768242382002</v>
      </c>
      <c r="L68" s="380">
        <v>7.0642558541952534</v>
      </c>
      <c r="M68" s="380">
        <v>6.5848926302879933</v>
      </c>
      <c r="N68" s="380">
        <v>6.7671827562234332</v>
      </c>
      <c r="O68" s="380">
        <v>9.4440345831951724</v>
      </c>
      <c r="P68" s="380">
        <v>11.018151939103845</v>
      </c>
      <c r="Q68" s="380">
        <v>9.5662278700745134</v>
      </c>
      <c r="R68" s="380">
        <v>7.1589151617112101</v>
      </c>
      <c r="S68" s="380">
        <v>9.9551192024723143</v>
      </c>
      <c r="T68" s="380">
        <v>9.2925076690620099</v>
      </c>
      <c r="U68" s="380">
        <v>9.7284305235034125</v>
      </c>
      <c r="V68" s="380">
        <v>11.684835978876565</v>
      </c>
      <c r="W68" s="380">
        <v>5.7084116292268643</v>
      </c>
      <c r="X68" s="380">
        <v>9.6875697398272109</v>
      </c>
    </row>
    <row r="69" spans="1:24" s="203" customFormat="1" ht="10.35" customHeight="1">
      <c r="A69" s="149"/>
      <c r="B69" s="146" t="s">
        <v>168</v>
      </c>
      <c r="C69" s="380">
        <v>0</v>
      </c>
      <c r="D69" s="380">
        <v>0</v>
      </c>
      <c r="E69" s="380">
        <v>0</v>
      </c>
      <c r="F69" s="380">
        <v>0</v>
      </c>
      <c r="G69" s="380">
        <v>0</v>
      </c>
      <c r="H69" s="380">
        <v>0</v>
      </c>
      <c r="I69" s="380">
        <v>0</v>
      </c>
      <c r="J69" s="380">
        <v>0</v>
      </c>
      <c r="K69" s="380">
        <v>0</v>
      </c>
      <c r="L69" s="380">
        <v>0</v>
      </c>
      <c r="M69" s="380">
        <v>0</v>
      </c>
      <c r="N69" s="380">
        <v>0</v>
      </c>
      <c r="O69" s="380">
        <v>0</v>
      </c>
      <c r="P69" s="380">
        <v>8.1631485000000001</v>
      </c>
      <c r="Q69" s="380">
        <v>11.600004</v>
      </c>
      <c r="R69" s="380">
        <v>43.242567030000004</v>
      </c>
      <c r="S69" s="380">
        <v>46.522617960000005</v>
      </c>
      <c r="T69" s="380">
        <v>84.370456559999994</v>
      </c>
      <c r="U69" s="380">
        <v>165.38132520000002</v>
      </c>
      <c r="V69" s="380">
        <v>319.05733860000004</v>
      </c>
      <c r="W69" s="380">
        <v>345.61534683000002</v>
      </c>
      <c r="X69" s="380">
        <v>430.39709583000001</v>
      </c>
    </row>
    <row r="70" spans="1:24" s="203" customFormat="1" ht="10.35" customHeight="1">
      <c r="A70" s="149"/>
      <c r="B70" s="146" t="s">
        <v>181</v>
      </c>
      <c r="C70" s="380">
        <v>9.7958879896717406</v>
      </c>
      <c r="D70" s="380">
        <v>9.3428845606177688</v>
      </c>
      <c r="E70" s="380">
        <v>8.2796012752836852</v>
      </c>
      <c r="F70" s="380">
        <v>8.542103622788165</v>
      </c>
      <c r="G70" s="380">
        <v>8.414720675500396</v>
      </c>
      <c r="H70" s="380">
        <v>8.4959461737937367</v>
      </c>
      <c r="I70" s="380">
        <v>10.118634517066591</v>
      </c>
      <c r="J70" s="380">
        <v>10.930889499999999</v>
      </c>
      <c r="K70" s="380">
        <v>10.733348681732805</v>
      </c>
      <c r="L70" s="380">
        <v>11.284044787031116</v>
      </c>
      <c r="M70" s="380">
        <v>13.397852742081016</v>
      </c>
      <c r="N70" s="380">
        <v>13.257638604569639</v>
      </c>
      <c r="O70" s="380">
        <v>17.051105968082052</v>
      </c>
      <c r="P70" s="380">
        <v>16.679146600808082</v>
      </c>
      <c r="Q70" s="380">
        <v>16.666750858216492</v>
      </c>
      <c r="R70" s="380">
        <v>17.797013246816231</v>
      </c>
      <c r="S70" s="380">
        <v>16.885628610452812</v>
      </c>
      <c r="T70" s="380">
        <v>20.298609090564135</v>
      </c>
      <c r="U70" s="380">
        <v>23.330122930102327</v>
      </c>
      <c r="V70" s="380">
        <v>32.472150012988998</v>
      </c>
      <c r="W70" s="380">
        <v>37.188882475758533</v>
      </c>
      <c r="X70" s="380">
        <v>40.721313498794274</v>
      </c>
    </row>
    <row r="71" spans="1:24" s="203" customFormat="1" ht="10.35" customHeight="1">
      <c r="A71" s="149"/>
      <c r="B71" s="146" t="s">
        <v>182</v>
      </c>
      <c r="C71" s="380">
        <v>12.533939760989416</v>
      </c>
      <c r="D71" s="380">
        <v>12.752915897813866</v>
      </c>
      <c r="E71" s="380">
        <v>12.872550933457909</v>
      </c>
      <c r="F71" s="380">
        <v>13.113805619676903</v>
      </c>
      <c r="G71" s="380">
        <v>12.547226883515577</v>
      </c>
      <c r="H71" s="380">
        <v>11.877175467665936</v>
      </c>
      <c r="I71" s="380">
        <v>11.370966022502927</v>
      </c>
      <c r="J71" s="380">
        <v>10.766233586003604</v>
      </c>
      <c r="K71" s="380">
        <v>10.25487036715352</v>
      </c>
      <c r="L71" s="380">
        <v>11.544568719197974</v>
      </c>
      <c r="M71" s="380">
        <v>10.307447984241154</v>
      </c>
      <c r="N71" s="380">
        <v>10.281190655064446</v>
      </c>
      <c r="O71" s="380">
        <v>11.098654995276449</v>
      </c>
      <c r="P71" s="380">
        <v>10.952899158946755</v>
      </c>
      <c r="Q71" s="380">
        <v>10.291673638012602</v>
      </c>
      <c r="R71" s="380">
        <v>10.678257597451923</v>
      </c>
      <c r="S71" s="380">
        <v>11.706861480581924</v>
      </c>
      <c r="T71" s="380">
        <v>12.337523011958213</v>
      </c>
      <c r="U71" s="380">
        <v>15.862661769828067</v>
      </c>
      <c r="V71" s="380">
        <v>14.701622067064656</v>
      </c>
      <c r="W71" s="380">
        <v>15.103987800448365</v>
      </c>
      <c r="X71" s="380">
        <v>17.085967660733697</v>
      </c>
    </row>
    <row r="72" spans="1:24" s="203" customFormat="1" ht="10.35" customHeight="1">
      <c r="A72" s="149"/>
      <c r="B72" s="146" t="s">
        <v>59</v>
      </c>
      <c r="C72" s="380">
        <v>7.0103121113003626</v>
      </c>
      <c r="D72" s="380">
        <v>7.6623090922237465</v>
      </c>
      <c r="E72" s="380">
        <v>6.7801227583919923</v>
      </c>
      <c r="F72" s="380">
        <v>4.3904105550547898</v>
      </c>
      <c r="G72" s="380">
        <v>4.4320682628159709</v>
      </c>
      <c r="H72" s="380">
        <v>6.3081525209894034</v>
      </c>
      <c r="I72" s="380">
        <v>2.5446489228705365</v>
      </c>
      <c r="J72" s="380">
        <v>7.1764403007099462</v>
      </c>
      <c r="K72" s="380">
        <v>11.819011802924196</v>
      </c>
      <c r="L72" s="380">
        <v>11.974626575765338</v>
      </c>
      <c r="M72" s="380">
        <v>13.384885134075935</v>
      </c>
      <c r="N72" s="380">
        <v>29.65854406722638</v>
      </c>
      <c r="O72" s="380">
        <v>18.258077850685076</v>
      </c>
      <c r="P72" s="380">
        <v>16.541782342522946</v>
      </c>
      <c r="Q72" s="380">
        <v>14.258948163604298</v>
      </c>
      <c r="R72" s="380">
        <v>11.58824800243281</v>
      </c>
      <c r="S72" s="380">
        <v>11.316309645629532</v>
      </c>
      <c r="T72" s="380">
        <v>7.8661364300679795</v>
      </c>
      <c r="U72" s="380">
        <v>16.41736930563285</v>
      </c>
      <c r="V72" s="380">
        <v>27.938822389551273</v>
      </c>
      <c r="W72" s="380">
        <v>26.893061080656587</v>
      </c>
      <c r="X72" s="380">
        <v>25.833163232223445</v>
      </c>
    </row>
    <row r="73" spans="1:24" s="203" customFormat="1" ht="10.35" customHeight="1">
      <c r="A73" s="149"/>
      <c r="B73" s="146" t="s">
        <v>183</v>
      </c>
      <c r="C73" s="380">
        <v>9.6435175920488483</v>
      </c>
      <c r="D73" s="380">
        <v>5.6439744003722669</v>
      </c>
      <c r="E73" s="380">
        <v>1.7937348776124056</v>
      </c>
      <c r="F73" s="380">
        <v>3.579197542524164</v>
      </c>
      <c r="G73" s="380">
        <v>6.3259629723375221</v>
      </c>
      <c r="H73" s="380">
        <v>13.194960883929348</v>
      </c>
      <c r="I73" s="380">
        <v>10.800513552523871</v>
      </c>
      <c r="J73" s="380">
        <v>8.2757300194333965</v>
      </c>
      <c r="K73" s="380">
        <v>2.9180067462700641</v>
      </c>
      <c r="L73" s="380">
        <v>3.8646865839961095</v>
      </c>
      <c r="M73" s="380">
        <v>4.8368995506879324</v>
      </c>
      <c r="N73" s="380">
        <v>9.7061714613146197</v>
      </c>
      <c r="O73" s="380">
        <v>12.042257355084031</v>
      </c>
      <c r="P73" s="380">
        <v>14.467800389979967</v>
      </c>
      <c r="Q73" s="380">
        <v>13.810100858298741</v>
      </c>
      <c r="R73" s="380">
        <v>34.742888851058233</v>
      </c>
      <c r="S73" s="380">
        <v>35.346610566479406</v>
      </c>
      <c r="T73" s="380">
        <v>10.580472043331323</v>
      </c>
      <c r="U73" s="380">
        <v>5.9631385124444849</v>
      </c>
      <c r="V73" s="380">
        <v>5.0832812181010691</v>
      </c>
      <c r="W73" s="380">
        <v>6.5672640681707337</v>
      </c>
      <c r="X73" s="380">
        <v>7.9893675104629018</v>
      </c>
    </row>
    <row r="74" spans="1:24" s="203" customFormat="1" ht="10.35" customHeight="1">
      <c r="A74" s="149"/>
      <c r="B74" s="146" t="s">
        <v>184</v>
      </c>
      <c r="C74" s="380">
        <v>8.9589173857215592</v>
      </c>
      <c r="D74" s="380">
        <v>7.9617188917886752</v>
      </c>
      <c r="E74" s="380">
        <v>9.7009507058563003</v>
      </c>
      <c r="F74" s="380">
        <v>9.4307121608732238</v>
      </c>
      <c r="G74" s="380">
        <v>8.7521406812634481</v>
      </c>
      <c r="H74" s="380">
        <v>8.6124261182955433</v>
      </c>
      <c r="I74" s="380">
        <v>8.6179353138369645</v>
      </c>
      <c r="J74" s="380">
        <v>8.9716681043157802</v>
      </c>
      <c r="K74" s="380">
        <v>8.3826782660455237</v>
      </c>
      <c r="L74" s="380">
        <v>9.1668535219786218</v>
      </c>
      <c r="M74" s="380">
        <v>8.5101604446352077</v>
      </c>
      <c r="N74" s="380">
        <v>9.0741732423215176</v>
      </c>
      <c r="O74" s="380">
        <v>10.155513899520145</v>
      </c>
      <c r="P74" s="380">
        <v>10.029577629995728</v>
      </c>
      <c r="Q74" s="380">
        <v>11.114334443109174</v>
      </c>
      <c r="R74" s="380">
        <v>12.041652542701982</v>
      </c>
      <c r="S74" s="380">
        <v>15.794696143778605</v>
      </c>
      <c r="T74" s="380">
        <v>15.378256280141986</v>
      </c>
      <c r="U74" s="380">
        <v>15.88176037829713</v>
      </c>
      <c r="V74" s="380">
        <v>15.840952925765404</v>
      </c>
      <c r="W74" s="380">
        <v>17.700704265240514</v>
      </c>
      <c r="X74" s="380">
        <v>15.415186835233559</v>
      </c>
    </row>
    <row r="75" spans="1:24" s="203" customFormat="1" ht="10.35" customHeight="1">
      <c r="A75" s="149"/>
      <c r="B75" s="146" t="s">
        <v>130</v>
      </c>
      <c r="C75" s="380">
        <v>4.840932002588973</v>
      </c>
      <c r="D75" s="380">
        <v>4.511426027934565</v>
      </c>
      <c r="E75" s="380">
        <v>3.3655209947585099</v>
      </c>
      <c r="F75" s="380">
        <v>3.3403285611247511</v>
      </c>
      <c r="G75" s="380">
        <v>4.8562562307256432</v>
      </c>
      <c r="H75" s="380">
        <v>6.0605420264168792</v>
      </c>
      <c r="I75" s="380">
        <v>6.1561792048693089</v>
      </c>
      <c r="J75" s="380">
        <v>6.5574089375140971</v>
      </c>
      <c r="K75" s="380">
        <v>8.5863446644391974</v>
      </c>
      <c r="L75" s="380">
        <v>8.3403953825379649</v>
      </c>
      <c r="M75" s="380">
        <v>9.7313989475636173</v>
      </c>
      <c r="N75" s="380">
        <v>10.869268477342178</v>
      </c>
      <c r="O75" s="380">
        <v>10.811771471670159</v>
      </c>
      <c r="P75" s="380">
        <v>12.101326187425087</v>
      </c>
      <c r="Q75" s="380">
        <v>11.061452171353633</v>
      </c>
      <c r="R75" s="380">
        <v>12.74749519415035</v>
      </c>
      <c r="S75" s="380">
        <v>13.102758843743436</v>
      </c>
      <c r="T75" s="380">
        <v>14.897384308629865</v>
      </c>
      <c r="U75" s="380">
        <v>14.986093361540568</v>
      </c>
      <c r="V75" s="380">
        <v>15.193093804268951</v>
      </c>
      <c r="W75" s="380">
        <v>16.950297819260498</v>
      </c>
      <c r="X75" s="380">
        <v>12.720651595770404</v>
      </c>
    </row>
    <row r="76" spans="1:24" s="203" customFormat="1" ht="10.35" customHeight="1">
      <c r="A76" s="149"/>
      <c r="B76" s="146" t="s">
        <v>185</v>
      </c>
      <c r="C76" s="380">
        <v>2.9146635517996744</v>
      </c>
      <c r="D76" s="380">
        <v>1.5349607569631318</v>
      </c>
      <c r="E76" s="380">
        <v>3.3664748194011636</v>
      </c>
      <c r="F76" s="380">
        <v>4.6859224230489014</v>
      </c>
      <c r="G76" s="380">
        <v>4.0103946324181194</v>
      </c>
      <c r="H76" s="380">
        <v>4.6516484330734729</v>
      </c>
      <c r="I76" s="380">
        <v>5.7445611577667952</v>
      </c>
      <c r="J76" s="380">
        <v>4.3494468243902347</v>
      </c>
      <c r="K76" s="380">
        <v>3.4399292556423475</v>
      </c>
      <c r="L76" s="380">
        <v>3.6849987161889439</v>
      </c>
      <c r="M76" s="380">
        <v>3.5966543525219676</v>
      </c>
      <c r="N76" s="380">
        <v>3.3014737950270474</v>
      </c>
      <c r="O76" s="380">
        <v>4.5630854895110122</v>
      </c>
      <c r="P76" s="380">
        <v>6.2479672161526327</v>
      </c>
      <c r="Q76" s="380">
        <v>6.0091256267190705</v>
      </c>
      <c r="R76" s="380">
        <v>4.4926729568153334</v>
      </c>
      <c r="S76" s="380">
        <v>4.900203580589741</v>
      </c>
      <c r="T76" s="380">
        <v>3.7849857711071144</v>
      </c>
      <c r="U76" s="380">
        <v>5.1311150251787616</v>
      </c>
      <c r="V76" s="380">
        <v>6.0013759758791334</v>
      </c>
      <c r="W76" s="380">
        <v>6.3373829524891452</v>
      </c>
      <c r="X76" s="380">
        <v>5.5701559279773472</v>
      </c>
    </row>
    <row r="77" spans="1:24" s="203" customFormat="1" ht="10.35" customHeight="1">
      <c r="A77" s="149"/>
      <c r="B77" s="146" t="s">
        <v>186</v>
      </c>
      <c r="C77" s="380">
        <v>1.6150628850903836</v>
      </c>
      <c r="D77" s="380">
        <v>1.821327250211896</v>
      </c>
      <c r="E77" s="380">
        <v>1.3316840410291026</v>
      </c>
      <c r="F77" s="380">
        <v>1.0442280145514549</v>
      </c>
      <c r="G77" s="380">
        <v>0.93129886129237904</v>
      </c>
      <c r="H77" s="380">
        <v>0.59661791617911775</v>
      </c>
      <c r="I77" s="380">
        <v>1.70470223375525</v>
      </c>
      <c r="J77" s="380">
        <v>0.38304982140526544</v>
      </c>
      <c r="K77" s="380">
        <v>0.28343750855648059</v>
      </c>
      <c r="L77" s="380">
        <v>0.99521089558749598</v>
      </c>
      <c r="M77" s="380">
        <v>0.18532114033528346</v>
      </c>
      <c r="N77" s="380">
        <v>0.6710044960921091</v>
      </c>
      <c r="O77" s="380">
        <v>0.23436465832208217</v>
      </c>
      <c r="P77" s="380">
        <v>0.48222215054005391</v>
      </c>
      <c r="Q77" s="380">
        <v>0.42872013091809169</v>
      </c>
      <c r="R77" s="380">
        <v>0.15971408818069305</v>
      </c>
      <c r="S77" s="380">
        <v>0.10046294802917789</v>
      </c>
      <c r="T77" s="380">
        <v>0.45743640131825669</v>
      </c>
      <c r="U77" s="380">
        <v>1.1709433241824179</v>
      </c>
      <c r="V77" s="380">
        <v>0.12647771842540501</v>
      </c>
      <c r="W77" s="380">
        <v>4.2238436543654355E-2</v>
      </c>
      <c r="X77" s="380">
        <v>0.34353928388838872</v>
      </c>
    </row>
    <row r="78" spans="1:24" s="203" customFormat="1" ht="10.35" customHeight="1">
      <c r="A78" s="149"/>
      <c r="B78" s="146" t="s">
        <v>51</v>
      </c>
      <c r="C78" s="380">
        <v>5.968203338259146</v>
      </c>
      <c r="D78" s="380">
        <v>6.3165223368942387</v>
      </c>
      <c r="E78" s="380">
        <v>4.1092955516842959</v>
      </c>
      <c r="F78" s="380">
        <v>3.6674027585213098</v>
      </c>
      <c r="G78" s="380">
        <v>4.9678868340319609</v>
      </c>
      <c r="H78" s="380">
        <v>4.8630961519392431</v>
      </c>
      <c r="I78" s="380">
        <v>4.3033507565963971</v>
      </c>
      <c r="J78" s="380">
        <v>4.5848888732856024</v>
      </c>
      <c r="K78" s="380">
        <v>5.8299348291083941</v>
      </c>
      <c r="L78" s="380">
        <v>4.9399039214657376</v>
      </c>
      <c r="M78" s="380">
        <v>5.5240012286092925</v>
      </c>
      <c r="N78" s="380">
        <v>5.9160616831329378</v>
      </c>
      <c r="O78" s="380">
        <v>5.9202140956083786</v>
      </c>
      <c r="P78" s="380">
        <v>6.3882709120207837</v>
      </c>
      <c r="Q78" s="380">
        <v>6.8023918747953829</v>
      </c>
      <c r="R78" s="380">
        <v>6.2399905234259228</v>
      </c>
      <c r="S78" s="380">
        <v>6.2541853157519043</v>
      </c>
      <c r="T78" s="380">
        <v>5.5673258456099646</v>
      </c>
      <c r="U78" s="380">
        <v>5.8912876069765572</v>
      </c>
      <c r="V78" s="380">
        <v>5.0520776384483321</v>
      </c>
      <c r="W78" s="380">
        <v>6.0108893832585224</v>
      </c>
      <c r="X78" s="380">
        <v>7.0873014967287267</v>
      </c>
    </row>
    <row r="79" spans="1:24" s="203" customFormat="1" ht="10.35" customHeight="1">
      <c r="A79" s="149"/>
      <c r="B79" s="146" t="s">
        <v>204</v>
      </c>
      <c r="C79" s="380">
        <v>2.6083161564192934</v>
      </c>
      <c r="D79" s="380">
        <v>2.0761357178239077</v>
      </c>
      <c r="E79" s="380">
        <v>2.1213284614158798</v>
      </c>
      <c r="F79" s="380">
        <v>1.1600262931632379</v>
      </c>
      <c r="G79" s="380">
        <v>0.82757182551135133</v>
      </c>
      <c r="H79" s="380">
        <v>3.2547636196484588</v>
      </c>
      <c r="I79" s="380">
        <v>3.7949858093281108</v>
      </c>
      <c r="J79" s="380">
        <v>4.2983503358771999</v>
      </c>
      <c r="K79" s="380">
        <v>5.8621440814670827</v>
      </c>
      <c r="L79" s="380">
        <v>7.384580125707366</v>
      </c>
      <c r="M79" s="380">
        <v>7.2787030175906624</v>
      </c>
      <c r="N79" s="380">
        <v>7.2889342940404953</v>
      </c>
      <c r="O79" s="380">
        <v>6.6383528015035331</v>
      </c>
      <c r="P79" s="380">
        <v>6.7734318500901614</v>
      </c>
      <c r="Q79" s="380">
        <v>6.5593832236545522</v>
      </c>
      <c r="R79" s="380">
        <v>6.2323392468284906</v>
      </c>
      <c r="S79" s="380">
        <v>5.7966837576178154</v>
      </c>
      <c r="T79" s="380">
        <v>4.929414109457773</v>
      </c>
      <c r="U79" s="380">
        <v>8.2817628422338387</v>
      </c>
      <c r="V79" s="380">
        <v>7.9982869820489144</v>
      </c>
      <c r="W79" s="380">
        <v>8.3266857576153832</v>
      </c>
      <c r="X79" s="380">
        <v>7.8188094422639063</v>
      </c>
    </row>
    <row r="80" spans="1:24" s="203" customFormat="1" ht="10.35" customHeight="1">
      <c r="A80" s="149"/>
      <c r="B80" s="146" t="s">
        <v>205</v>
      </c>
      <c r="C80" s="380">
        <v>8.8649144059361351</v>
      </c>
      <c r="D80" s="380">
        <v>9.7770550060153418</v>
      </c>
      <c r="E80" s="380">
        <v>8.8803541926186629</v>
      </c>
      <c r="F80" s="380">
        <v>7.6367661781949643</v>
      </c>
      <c r="G80" s="380">
        <v>6.0232321285985551</v>
      </c>
      <c r="H80" s="380">
        <v>5.2331075011413413</v>
      </c>
      <c r="I80" s="380">
        <v>5.158031043593005</v>
      </c>
      <c r="J80" s="380">
        <v>5.6196695440794642</v>
      </c>
      <c r="K80" s="380">
        <v>5.796600338508572</v>
      </c>
      <c r="L80" s="380">
        <v>6.2955536988616325</v>
      </c>
      <c r="M80" s="380">
        <v>6.7370776878489753</v>
      </c>
      <c r="N80" s="380">
        <v>4.0903276654237377</v>
      </c>
      <c r="O80" s="380">
        <v>6.8937469431436078</v>
      </c>
      <c r="P80" s="380">
        <v>7.3786384296532228</v>
      </c>
      <c r="Q80" s="380">
        <v>6.111673021207217</v>
      </c>
      <c r="R80" s="380">
        <v>5.5867994427279895</v>
      </c>
      <c r="S80" s="380">
        <v>4.2427972082621777</v>
      </c>
      <c r="T80" s="380">
        <v>4.7946465878906741</v>
      </c>
      <c r="U80" s="380">
        <v>4.875049969766299</v>
      </c>
      <c r="V80" s="380">
        <v>5.1835422232977217</v>
      </c>
      <c r="W80" s="380">
        <v>4.6671887077906629</v>
      </c>
      <c r="X80" s="380">
        <v>4.5746121916950688</v>
      </c>
    </row>
    <row r="81" spans="1:24" s="203" customFormat="1" ht="10.35" customHeight="1">
      <c r="A81" s="149"/>
      <c r="B81" s="146" t="s">
        <v>206</v>
      </c>
      <c r="C81" s="380">
        <v>2.0943991539220725</v>
      </c>
      <c r="D81" s="380">
        <v>2.0718105450173057</v>
      </c>
      <c r="E81" s="380">
        <v>2.0704681891602603</v>
      </c>
      <c r="F81" s="380">
        <v>2.0760227651204493</v>
      </c>
      <c r="G81" s="380">
        <v>0.46612149932581765</v>
      </c>
      <c r="H81" s="380">
        <v>1.2247839992215626</v>
      </c>
      <c r="I81" s="380">
        <v>1.8547654893729406</v>
      </c>
      <c r="J81" s="380">
        <v>1.2586437685122116</v>
      </c>
      <c r="K81" s="380">
        <v>1.3526086785054003</v>
      </c>
      <c r="L81" s="380">
        <v>0.99538834392971798</v>
      </c>
      <c r="M81" s="380">
        <v>1.0803506749354312</v>
      </c>
      <c r="N81" s="380">
        <v>1.1129652934483381</v>
      </c>
      <c r="O81" s="380">
        <v>1.226954912659336</v>
      </c>
      <c r="P81" s="380">
        <v>1.6681872828702093</v>
      </c>
      <c r="Q81" s="380">
        <v>1.4538681353783065</v>
      </c>
      <c r="R81" s="380">
        <v>1.4272538475463932</v>
      </c>
      <c r="S81" s="380">
        <v>1.2192710825810755</v>
      </c>
      <c r="T81" s="380">
        <v>0.856441552048263</v>
      </c>
      <c r="U81" s="380">
        <v>0.35512718520135106</v>
      </c>
      <c r="V81" s="380">
        <v>0.58659516020767588</v>
      </c>
      <c r="W81" s="380">
        <v>0.59503580126051225</v>
      </c>
      <c r="X81" s="380">
        <v>0.6118018259150112</v>
      </c>
    </row>
    <row r="82" spans="1:24" s="203" customFormat="1" ht="10.35" customHeight="1">
      <c r="A82" s="149"/>
      <c r="B82" s="146" t="s">
        <v>207</v>
      </c>
      <c r="C82" s="380">
        <v>563.25931114303546</v>
      </c>
      <c r="D82" s="380">
        <v>555.42076762417162</v>
      </c>
      <c r="E82" s="380">
        <v>621.71072527485489</v>
      </c>
      <c r="F82" s="380">
        <v>623.59260569654737</v>
      </c>
      <c r="G82" s="380">
        <v>620.65643399875398</v>
      </c>
      <c r="H82" s="380">
        <v>652.44323155361724</v>
      </c>
      <c r="I82" s="380">
        <v>694.27128636789882</v>
      </c>
      <c r="J82" s="380">
        <v>762.90661132883213</v>
      </c>
      <c r="K82" s="380">
        <v>774.84851515147682</v>
      </c>
      <c r="L82" s="380">
        <v>900.61211150028646</v>
      </c>
      <c r="M82" s="380">
        <v>976.70881795636046</v>
      </c>
      <c r="N82" s="380">
        <v>1034.1302063921287</v>
      </c>
      <c r="O82" s="380">
        <v>1061.1796096607802</v>
      </c>
      <c r="P82" s="380">
        <v>1126.9371497738759</v>
      </c>
      <c r="Q82" s="380">
        <v>1130.2831355580331</v>
      </c>
      <c r="R82" s="380">
        <v>1200.5039272058891</v>
      </c>
      <c r="S82" s="380">
        <v>1184.6745741970622</v>
      </c>
      <c r="T82" s="380">
        <v>1220.1730935546923</v>
      </c>
      <c r="U82" s="380">
        <v>1285.1862815987706</v>
      </c>
      <c r="V82" s="380">
        <v>1393.4950124575239</v>
      </c>
      <c r="W82" s="380">
        <v>1379.6726539861436</v>
      </c>
      <c r="X82" s="380">
        <v>1428.7127159038143</v>
      </c>
    </row>
    <row r="83" spans="1:24" s="203" customFormat="1" ht="13.5" customHeight="1">
      <c r="A83" s="377" t="s">
        <v>208</v>
      </c>
      <c r="B83" s="374"/>
      <c r="C83" s="382">
        <v>3927.6550523197529</v>
      </c>
      <c r="D83" s="382">
        <v>4041.1239383331558</v>
      </c>
      <c r="E83" s="382">
        <v>4210.9171658049027</v>
      </c>
      <c r="F83" s="382">
        <v>4373.8401970393525</v>
      </c>
      <c r="G83" s="382">
        <v>4452.9670473089109</v>
      </c>
      <c r="H83" s="382">
        <v>4764.1987357357175</v>
      </c>
      <c r="I83" s="382">
        <v>5145.2631944040868</v>
      </c>
      <c r="J83" s="382">
        <v>5517.3007806478872</v>
      </c>
      <c r="K83" s="382">
        <v>5863.275987160916</v>
      </c>
      <c r="L83" s="382">
        <v>6231.3010338363219</v>
      </c>
      <c r="M83" s="382">
        <v>6469.5669797974497</v>
      </c>
      <c r="N83" s="382">
        <v>7001.8828884816994</v>
      </c>
      <c r="O83" s="382">
        <v>7387.5997579548675</v>
      </c>
      <c r="P83" s="382">
        <v>7616.4869705133324</v>
      </c>
      <c r="Q83" s="382">
        <v>7878.3130316690995</v>
      </c>
      <c r="R83" s="382">
        <v>8291.1337874311266</v>
      </c>
      <c r="S83" s="382">
        <v>8648.9647727611391</v>
      </c>
      <c r="T83" s="382">
        <v>8851.2059866427262</v>
      </c>
      <c r="U83" s="382">
        <v>9340.2144728727471</v>
      </c>
      <c r="V83" s="382">
        <v>9746.4303914350803</v>
      </c>
      <c r="W83" s="382">
        <v>9635.0620727439527</v>
      </c>
      <c r="X83" s="382">
        <v>9733.7136659614298</v>
      </c>
    </row>
    <row r="84" spans="1:24" s="203" customFormat="1" ht="10.35" customHeight="1">
      <c r="A84" s="149"/>
      <c r="B84" s="146" t="s">
        <v>299</v>
      </c>
      <c r="C84" s="380">
        <v>1513.6125696924387</v>
      </c>
      <c r="D84" s="380">
        <v>1548.2098012255642</v>
      </c>
      <c r="E84" s="380">
        <v>1651.6176068575746</v>
      </c>
      <c r="F84" s="380">
        <v>1757.7442998368365</v>
      </c>
      <c r="G84" s="380">
        <v>1720.8282371769185</v>
      </c>
      <c r="H84" s="380">
        <v>1925.258940600879</v>
      </c>
      <c r="I84" s="380">
        <v>2083.8323329833411</v>
      </c>
      <c r="J84" s="380">
        <v>2321.2495936662913</v>
      </c>
      <c r="K84" s="380">
        <v>2588.0901438380815</v>
      </c>
      <c r="L84" s="380">
        <v>2881.6969877746787</v>
      </c>
      <c r="M84" s="380">
        <v>3016.3313648623166</v>
      </c>
      <c r="N84" s="380">
        <v>3367.1005128024185</v>
      </c>
      <c r="O84" s="380">
        <v>3657.6625500001296</v>
      </c>
      <c r="P84" s="380">
        <v>3767.1956610346606</v>
      </c>
      <c r="Q84" s="380">
        <v>3965.2915421587086</v>
      </c>
      <c r="R84" s="380">
        <v>4294.4558752994444</v>
      </c>
      <c r="S84" s="380">
        <v>4584.6224421945599</v>
      </c>
      <c r="T84" s="380">
        <v>4707.2974260110577</v>
      </c>
      <c r="U84" s="380">
        <v>5090.0974288060625</v>
      </c>
      <c r="V84" s="380">
        <v>5329.8521358942671</v>
      </c>
      <c r="W84" s="380">
        <v>5280.0564825186393</v>
      </c>
      <c r="X84" s="380">
        <v>5298.7322399022478</v>
      </c>
    </row>
    <row r="85" spans="1:24" s="203" customFormat="1" ht="10.35" customHeight="1">
      <c r="A85" s="149"/>
      <c r="B85" s="375" t="s">
        <v>301</v>
      </c>
      <c r="C85" s="383">
        <v>271.54331306509249</v>
      </c>
      <c r="D85" s="383">
        <v>274.82882143393175</v>
      </c>
      <c r="E85" s="383">
        <v>269.99174213238638</v>
      </c>
      <c r="F85" s="383">
        <v>272.11395116595185</v>
      </c>
      <c r="G85" s="383">
        <v>290.20928771156053</v>
      </c>
      <c r="H85" s="383">
        <v>286.75027831120696</v>
      </c>
      <c r="I85" s="383">
        <v>291.11309391879092</v>
      </c>
      <c r="J85" s="383">
        <v>289.61208677015776</v>
      </c>
      <c r="K85" s="383">
        <v>284.76201545596655</v>
      </c>
      <c r="L85" s="383">
        <v>283.88326192296825</v>
      </c>
      <c r="M85" s="383">
        <v>287.67349802597539</v>
      </c>
      <c r="N85" s="383">
        <v>290.36275029852726</v>
      </c>
      <c r="O85" s="383">
        <v>300.41221725263023</v>
      </c>
      <c r="P85" s="383">
        <v>296.82155048639106</v>
      </c>
      <c r="Q85" s="383">
        <v>289.89514677133604</v>
      </c>
      <c r="R85" s="383">
        <v>277.70766505275145</v>
      </c>
      <c r="S85" s="383">
        <v>285.7006041976428</v>
      </c>
      <c r="T85" s="383">
        <v>280.56197469315146</v>
      </c>
      <c r="U85" s="383">
        <v>282.36827539399093</v>
      </c>
      <c r="V85" s="383">
        <v>282.66910160611241</v>
      </c>
      <c r="W85" s="383">
        <v>269.11423142193223</v>
      </c>
      <c r="X85" s="383">
        <v>273.85147079155576</v>
      </c>
    </row>
    <row r="86" spans="1:24" s="203" customFormat="1" ht="10.35" customHeight="1">
      <c r="A86" s="148"/>
      <c r="B86" s="146" t="s">
        <v>291</v>
      </c>
      <c r="C86" s="383">
        <v>288.07314549058071</v>
      </c>
      <c r="D86" s="383">
        <v>291.01507302434521</v>
      </c>
      <c r="E86" s="383">
        <v>288.85788251647813</v>
      </c>
      <c r="F86" s="383">
        <v>292.22429256637258</v>
      </c>
      <c r="G86" s="383">
        <v>305.46520552011407</v>
      </c>
      <c r="H86" s="383">
        <v>321.25717875164861</v>
      </c>
      <c r="I86" s="383">
        <v>336.76560730931845</v>
      </c>
      <c r="J86" s="383">
        <v>351.92630367974931</v>
      </c>
      <c r="K86" s="383">
        <v>352.61790196718744</v>
      </c>
      <c r="L86" s="383">
        <v>348.65425634511564</v>
      </c>
      <c r="M86" s="383">
        <v>356.27895089807464</v>
      </c>
      <c r="N86" s="383">
        <v>366.42919110226779</v>
      </c>
      <c r="O86" s="383">
        <v>380.30979303695642</v>
      </c>
      <c r="P86" s="383">
        <v>397.58790072898961</v>
      </c>
      <c r="Q86" s="383">
        <v>421.07178695244761</v>
      </c>
      <c r="R86" s="383">
        <v>447.77116068233158</v>
      </c>
      <c r="S86" s="383">
        <v>463.72108900246121</v>
      </c>
      <c r="T86" s="383">
        <v>494.89756341517517</v>
      </c>
      <c r="U86" s="383">
        <v>515.26520763593601</v>
      </c>
      <c r="V86" s="383">
        <v>541.24013545377841</v>
      </c>
      <c r="W86" s="383">
        <v>528.25755358077345</v>
      </c>
      <c r="X86" s="383">
        <v>543.98773319962743</v>
      </c>
    </row>
    <row r="87" spans="1:24" s="203" customFormat="1" ht="10.35" customHeight="1">
      <c r="A87" s="149"/>
      <c r="B87" s="146" t="s">
        <v>104</v>
      </c>
      <c r="C87" s="383">
        <v>755.14077448072351</v>
      </c>
      <c r="D87" s="383">
        <v>745.95942394990152</v>
      </c>
      <c r="E87" s="383">
        <v>779.32756106608667</v>
      </c>
      <c r="F87" s="383">
        <v>795.03439490643439</v>
      </c>
      <c r="G87" s="383">
        <v>818.4961906864786</v>
      </c>
      <c r="H87" s="383">
        <v>866.7334252664424</v>
      </c>
      <c r="I87" s="383">
        <v>930.6046430189956</v>
      </c>
      <c r="J87" s="383">
        <v>938.05240304769109</v>
      </c>
      <c r="K87" s="383">
        <v>946.50398783467233</v>
      </c>
      <c r="L87" s="383">
        <v>954.80381859200543</v>
      </c>
      <c r="M87" s="383">
        <v>994.39245316536608</v>
      </c>
      <c r="N87" s="383">
        <v>1034.6611354145064</v>
      </c>
      <c r="O87" s="383">
        <v>1084.5996398338571</v>
      </c>
      <c r="P87" s="383">
        <v>1110.9159962436545</v>
      </c>
      <c r="Q87" s="383">
        <v>1124.570816334782</v>
      </c>
      <c r="R87" s="383">
        <v>1125.5044928167842</v>
      </c>
      <c r="S87" s="383">
        <v>1102.0663598651322</v>
      </c>
      <c r="T87" s="383">
        <v>1090.9839327381997</v>
      </c>
      <c r="U87" s="383">
        <v>1091.8633188671038</v>
      </c>
      <c r="V87" s="383">
        <v>1111.6469014637287</v>
      </c>
      <c r="W87" s="383">
        <v>1056.8926079589639</v>
      </c>
      <c r="X87" s="383">
        <v>1072.1455863006263</v>
      </c>
    </row>
    <row r="88" spans="1:24" s="203" customFormat="1" ht="10.35" customHeight="1">
      <c r="A88" s="149"/>
      <c r="B88" s="146" t="s">
        <v>106</v>
      </c>
      <c r="C88" s="383">
        <v>38.211057731513534</v>
      </c>
      <c r="D88" s="383">
        <v>36.936427458095359</v>
      </c>
      <c r="E88" s="383">
        <v>35.671858682007624</v>
      </c>
      <c r="F88" s="383">
        <v>38.907382306060683</v>
      </c>
      <c r="G88" s="383">
        <v>39.637445331760652</v>
      </c>
      <c r="H88" s="383">
        <v>40.643435940367162</v>
      </c>
      <c r="I88" s="383">
        <v>40.965464467516952</v>
      </c>
      <c r="J88" s="383">
        <v>41.635389473524071</v>
      </c>
      <c r="K88" s="383">
        <v>39.195271482344921</v>
      </c>
      <c r="L88" s="383">
        <v>37.883268593239308</v>
      </c>
      <c r="M88" s="383">
        <v>38.050581561151219</v>
      </c>
      <c r="N88" s="383">
        <v>38.906278905313769</v>
      </c>
      <c r="O88" s="383">
        <v>39.81802331665331</v>
      </c>
      <c r="P88" s="383">
        <v>41.216574366515403</v>
      </c>
      <c r="Q88" s="383">
        <v>39.326595540229341</v>
      </c>
      <c r="R88" s="383">
        <v>37.26737204078163</v>
      </c>
      <c r="S88" s="383">
        <v>36.657398478242094</v>
      </c>
      <c r="T88" s="383">
        <v>33.603670892756604</v>
      </c>
      <c r="U88" s="383">
        <v>30.433607774946037</v>
      </c>
      <c r="V88" s="383">
        <v>31.800272850604973</v>
      </c>
      <c r="W88" s="383">
        <v>30.947251078498645</v>
      </c>
      <c r="X88" s="383">
        <v>30.851671939403765</v>
      </c>
    </row>
    <row r="89" spans="1:24" s="203" customFormat="1" ht="10.35" customHeight="1">
      <c r="A89" s="149"/>
      <c r="B89" s="146" t="s">
        <v>108</v>
      </c>
      <c r="C89" s="383">
        <v>98.232948129643887</v>
      </c>
      <c r="D89" s="383">
        <v>102.82009434889834</v>
      </c>
      <c r="E89" s="383">
        <v>109.04747844968618</v>
      </c>
      <c r="F89" s="383">
        <v>106.82817549000715</v>
      </c>
      <c r="G89" s="383">
        <v>108.60978093379413</v>
      </c>
      <c r="H89" s="383">
        <v>113.48901164740991</v>
      </c>
      <c r="I89" s="383">
        <v>116.8743069336481</v>
      </c>
      <c r="J89" s="383">
        <v>121.56950611883529</v>
      </c>
      <c r="K89" s="383">
        <v>122.2627377378669</v>
      </c>
      <c r="L89" s="383">
        <v>131.87249548715866</v>
      </c>
      <c r="M89" s="383">
        <v>137.959742420282</v>
      </c>
      <c r="N89" s="383">
        <v>145.90623546040717</v>
      </c>
      <c r="O89" s="383">
        <v>153.26533847420382</v>
      </c>
      <c r="P89" s="383">
        <v>155.71309549873172</v>
      </c>
      <c r="Q89" s="383">
        <v>160.37476502220667</v>
      </c>
      <c r="R89" s="383">
        <v>151.29038668381489</v>
      </c>
      <c r="S89" s="383">
        <v>158.4145433670227</v>
      </c>
      <c r="T89" s="383">
        <v>163.34101588335105</v>
      </c>
      <c r="U89" s="383">
        <v>162.54395647054429</v>
      </c>
      <c r="V89" s="383">
        <v>161.71354951781939</v>
      </c>
      <c r="W89" s="383">
        <v>159.05010088003979</v>
      </c>
      <c r="X89" s="383">
        <v>163.1428272676213</v>
      </c>
    </row>
    <row r="90" spans="1:24" s="203" customFormat="1" ht="10.35" customHeight="1">
      <c r="A90" s="149"/>
      <c r="B90" s="146" t="s">
        <v>110</v>
      </c>
      <c r="C90" s="383">
        <v>18.242649841660494</v>
      </c>
      <c r="D90" s="383">
        <v>18.185364540773353</v>
      </c>
      <c r="E90" s="383">
        <v>17.856069404845694</v>
      </c>
      <c r="F90" s="383">
        <v>19.423357605267551</v>
      </c>
      <c r="G90" s="383">
        <v>20.614683830670177</v>
      </c>
      <c r="H90" s="383">
        <v>21.571886790035716</v>
      </c>
      <c r="I90" s="383">
        <v>21.554149724342725</v>
      </c>
      <c r="J90" s="383">
        <v>22.764766391547074</v>
      </c>
      <c r="K90" s="383">
        <v>21.945002748508568</v>
      </c>
      <c r="L90" s="383">
        <v>23.059261312608168</v>
      </c>
      <c r="M90" s="383">
        <v>22.61856809711885</v>
      </c>
      <c r="N90" s="383">
        <v>23.224323680205053</v>
      </c>
      <c r="O90" s="383">
        <v>24.412458602849654</v>
      </c>
      <c r="P90" s="383">
        <v>23.466758669374332</v>
      </c>
      <c r="Q90" s="383">
        <v>22.902228887714912</v>
      </c>
      <c r="R90" s="383">
        <v>21.548469977376133</v>
      </c>
      <c r="S90" s="383">
        <v>22.017387622790064</v>
      </c>
      <c r="T90" s="383">
        <v>22.048203141730799</v>
      </c>
      <c r="U90" s="383">
        <v>22.060508459162303</v>
      </c>
      <c r="V90" s="383">
        <v>21.180999903009194</v>
      </c>
      <c r="W90" s="383">
        <v>20.881492670599666</v>
      </c>
      <c r="X90" s="383">
        <v>21.750920193681065</v>
      </c>
    </row>
    <row r="91" spans="1:24" s="203" customFormat="1" ht="10.35" customHeight="1">
      <c r="A91" s="149"/>
      <c r="B91" s="146" t="s">
        <v>132</v>
      </c>
      <c r="C91" s="383">
        <v>368.45158096020594</v>
      </c>
      <c r="D91" s="383">
        <v>383.54590913691169</v>
      </c>
      <c r="E91" s="383">
        <v>398.86824871243766</v>
      </c>
      <c r="F91" s="383">
        <v>395.96785041669114</v>
      </c>
      <c r="G91" s="383">
        <v>422.8513946792138</v>
      </c>
      <c r="H91" s="383">
        <v>418.36025520102896</v>
      </c>
      <c r="I91" s="383">
        <v>491.05979084605337</v>
      </c>
      <c r="J91" s="383">
        <v>534.66604675828319</v>
      </c>
      <c r="K91" s="383">
        <v>545.22839035950233</v>
      </c>
      <c r="L91" s="383">
        <v>548.28854633806338</v>
      </c>
      <c r="M91" s="383">
        <v>578.82073204436233</v>
      </c>
      <c r="N91" s="383">
        <v>651.08496068166244</v>
      </c>
      <c r="O91" s="383">
        <v>639.21095087942058</v>
      </c>
      <c r="P91" s="383">
        <v>718.27541780129275</v>
      </c>
      <c r="Q91" s="383">
        <v>730.82272528343083</v>
      </c>
      <c r="R91" s="383">
        <v>793.60305676582414</v>
      </c>
      <c r="S91" s="383">
        <v>819.17848368916896</v>
      </c>
      <c r="T91" s="383">
        <v>853.54366753755198</v>
      </c>
      <c r="U91" s="383">
        <v>905.26291590975313</v>
      </c>
      <c r="V91" s="383">
        <v>997.43444819454703</v>
      </c>
      <c r="W91" s="383">
        <v>1016.4859675857623</v>
      </c>
      <c r="X91" s="383">
        <v>1029.7848122416908</v>
      </c>
    </row>
    <row r="92" spans="1:24" s="203" customFormat="1" ht="10.35" customHeight="1">
      <c r="A92" s="149"/>
      <c r="B92" s="146" t="s">
        <v>133</v>
      </c>
      <c r="C92" s="383">
        <v>501.48639252119443</v>
      </c>
      <c r="D92" s="383">
        <v>558.16452600286448</v>
      </c>
      <c r="E92" s="383">
        <v>586.24438102195722</v>
      </c>
      <c r="F92" s="383">
        <v>621.64317115066513</v>
      </c>
      <c r="G92" s="383">
        <v>654.91376310271596</v>
      </c>
      <c r="H92" s="383">
        <v>699.97396927512523</v>
      </c>
      <c r="I92" s="383">
        <v>765.28662180950823</v>
      </c>
      <c r="J92" s="383">
        <v>823.05570760819921</v>
      </c>
      <c r="K92" s="383">
        <v>889.13733014205354</v>
      </c>
      <c r="L92" s="383">
        <v>943.08949235037619</v>
      </c>
      <c r="M92" s="383">
        <v>961.35530210332206</v>
      </c>
      <c r="N92" s="383">
        <v>1005.8717108073729</v>
      </c>
      <c r="O92" s="383">
        <v>1027.8327223134752</v>
      </c>
      <c r="P92" s="383">
        <v>1034.1305168950216</v>
      </c>
      <c r="Q92" s="383">
        <v>1056.9157850404804</v>
      </c>
      <c r="R92" s="383">
        <v>1080.1170854152178</v>
      </c>
      <c r="S92" s="383">
        <v>1112.3344648407444</v>
      </c>
      <c r="T92" s="383">
        <v>1140.5737469518631</v>
      </c>
      <c r="U92" s="383">
        <v>1174.8663916643688</v>
      </c>
      <c r="V92" s="383">
        <v>1205.4376174745382</v>
      </c>
      <c r="W92" s="383">
        <v>1212.6796593947554</v>
      </c>
      <c r="X92" s="383">
        <v>1236.9975557027794</v>
      </c>
    </row>
    <row r="93" spans="1:24" s="203" customFormat="1" ht="10.35" customHeight="1">
      <c r="A93" s="149"/>
      <c r="B93" s="146" t="s">
        <v>134</v>
      </c>
      <c r="C93" s="383">
        <v>27.705785774699997</v>
      </c>
      <c r="D93" s="383">
        <v>32.027578123799998</v>
      </c>
      <c r="E93" s="383">
        <v>28.49232798205313</v>
      </c>
      <c r="F93" s="383">
        <v>28.843272427910748</v>
      </c>
      <c r="G93" s="383">
        <v>27.261819896723178</v>
      </c>
      <c r="H93" s="383">
        <v>27.48023745939517</v>
      </c>
      <c r="I93" s="383">
        <v>26.735309499220687</v>
      </c>
      <c r="J93" s="383">
        <v>30.2572125712929</v>
      </c>
      <c r="K93" s="383">
        <v>33.825261480154424</v>
      </c>
      <c r="L93" s="383">
        <v>37.99045368602458</v>
      </c>
      <c r="M93" s="383">
        <v>36.363531797022929</v>
      </c>
      <c r="N93" s="383">
        <v>38.883423830733228</v>
      </c>
      <c r="O93" s="383">
        <v>38.339143307435549</v>
      </c>
      <c r="P93" s="383">
        <v>31.730201597228032</v>
      </c>
      <c r="Q93" s="383">
        <v>30.517041922194466</v>
      </c>
      <c r="R93" s="383">
        <v>29.627683687226796</v>
      </c>
      <c r="S93" s="383">
        <v>29.875945955384349</v>
      </c>
      <c r="T93" s="383">
        <v>32.761385190597132</v>
      </c>
      <c r="U93" s="383">
        <v>34.065655437669413</v>
      </c>
      <c r="V93" s="383">
        <v>33.376208793112824</v>
      </c>
      <c r="W93" s="383">
        <v>31.646263599720502</v>
      </c>
      <c r="X93" s="383">
        <v>31.509458058841211</v>
      </c>
    </row>
    <row r="94" spans="1:24" s="203" customFormat="1" ht="10.35" customHeight="1">
      <c r="A94" s="149"/>
      <c r="B94" s="146" t="s">
        <v>135</v>
      </c>
      <c r="C94" s="383">
        <v>2.1525645039999999</v>
      </c>
      <c r="D94" s="383">
        <v>2.4429094160699996</v>
      </c>
      <c r="E94" s="383">
        <v>2.0741540321900001</v>
      </c>
      <c r="F94" s="383">
        <v>2.0315220999213999</v>
      </c>
      <c r="G94" s="383">
        <v>1.8295605608809702</v>
      </c>
      <c r="H94" s="383">
        <v>1.6415193659652503</v>
      </c>
      <c r="I94" s="383">
        <v>1.5335174268828402</v>
      </c>
      <c r="J94" s="383">
        <v>1.9645589951949411</v>
      </c>
      <c r="K94" s="383">
        <v>2.0763847537376248</v>
      </c>
      <c r="L94" s="383">
        <v>2.1357645700198158</v>
      </c>
      <c r="M94" s="383">
        <v>1.9400347356890217</v>
      </c>
      <c r="N94" s="383">
        <v>1.9720831499456799</v>
      </c>
      <c r="O94" s="383">
        <v>2.0367228955740062</v>
      </c>
      <c r="P94" s="383">
        <v>1.9296195891335022</v>
      </c>
      <c r="Q94" s="383">
        <v>1.9963449030553717</v>
      </c>
      <c r="R94" s="383">
        <v>1.5542044364695837</v>
      </c>
      <c r="S94" s="383">
        <v>1.6296013579459792</v>
      </c>
      <c r="T94" s="383">
        <v>1.7862277469903642</v>
      </c>
      <c r="U94" s="383">
        <v>1.6514644462447563</v>
      </c>
      <c r="V94" s="383">
        <v>1.6076256710868182</v>
      </c>
      <c r="W94" s="383">
        <v>1.6578093955378741</v>
      </c>
      <c r="X94" s="383">
        <v>1.6925662715656364</v>
      </c>
    </row>
    <row r="95" spans="1:24" s="203" customFormat="1" ht="10.35" customHeight="1">
      <c r="A95" s="143"/>
      <c r="B95" s="160" t="s">
        <v>196</v>
      </c>
      <c r="C95" s="381">
        <v>44.802270128000004</v>
      </c>
      <c r="D95" s="381">
        <v>46.988009671999997</v>
      </c>
      <c r="E95" s="381">
        <v>42.867854947200009</v>
      </c>
      <c r="F95" s="381">
        <v>43.078527067233672</v>
      </c>
      <c r="G95" s="381">
        <v>42.249677878080007</v>
      </c>
      <c r="H95" s="381">
        <v>41.038597126213226</v>
      </c>
      <c r="I95" s="381">
        <v>38.938356466467205</v>
      </c>
      <c r="J95" s="381">
        <v>40.547205567120798</v>
      </c>
      <c r="K95" s="381">
        <v>37.631559360841223</v>
      </c>
      <c r="L95" s="381">
        <v>37.943426864062118</v>
      </c>
      <c r="M95" s="381">
        <v>37.782220086769833</v>
      </c>
      <c r="N95" s="381">
        <v>37.480282348338427</v>
      </c>
      <c r="O95" s="381">
        <v>39.700198041683628</v>
      </c>
      <c r="P95" s="381">
        <v>37.503677602339984</v>
      </c>
      <c r="Q95" s="381">
        <v>34.628252852513057</v>
      </c>
      <c r="R95" s="381">
        <v>30.686334573101945</v>
      </c>
      <c r="S95" s="381">
        <v>32.746452190043065</v>
      </c>
      <c r="T95" s="381">
        <v>29.807172440300842</v>
      </c>
      <c r="U95" s="381">
        <v>29.735742006965058</v>
      </c>
      <c r="V95" s="381">
        <v>28.471394612474676</v>
      </c>
      <c r="W95" s="381">
        <v>27.392652658728547</v>
      </c>
      <c r="X95" s="381">
        <v>29.266824091790003</v>
      </c>
    </row>
    <row r="96" spans="1:24" s="203" customFormat="1" ht="9" customHeight="1">
      <c r="A96" s="132" t="s">
        <v>100</v>
      </c>
      <c r="B96" s="206"/>
      <c r="C96" s="137"/>
      <c r="D96" s="13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s="203" customFormat="1" ht="9" customHeight="1">
      <c r="A97" s="206" t="s">
        <v>348</v>
      </c>
      <c r="B97" s="206"/>
      <c r="C97" s="137"/>
      <c r="D97" s="13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202"/>
      <c r="Q97" s="10"/>
      <c r="R97" s="10"/>
      <c r="S97" s="10"/>
      <c r="T97" s="10"/>
      <c r="U97" s="10"/>
      <c r="V97" s="10"/>
      <c r="W97" s="10"/>
      <c r="X97" s="10"/>
    </row>
    <row r="98" spans="1:24" s="203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</sheetData>
  <phoneticPr fontId="10" type="noConversion"/>
  <pageMargins left="0" right="0" top="0" bottom="0" header="0" footer="0"/>
  <pageSetup paperSize="9" orientation="landscape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Y101"/>
  <sheetViews>
    <sheetView showGridLines="0" topLeftCell="A25" zoomScaleNormal="100" workbookViewId="0">
      <selection activeCell="B96" sqref="B96"/>
    </sheetView>
  </sheetViews>
  <sheetFormatPr baseColWidth="10" defaultColWidth="6.42578125" defaultRowHeight="17.25" customHeight="1"/>
  <cols>
    <col min="1" max="2" width="1" style="203" customWidth="1"/>
    <col min="3" max="3" width="15" style="203" customWidth="1"/>
    <col min="4" max="25" width="5.7109375" style="203" customWidth="1"/>
    <col min="26" max="43" width="6.42578125" style="203"/>
    <col min="44" max="44" width="1.42578125" style="203" customWidth="1"/>
    <col min="45" max="45" width="1.28515625" style="203" customWidth="1"/>
    <col min="46" max="46" width="14" style="203" customWidth="1"/>
    <col min="47" max="56" width="0" style="203" hidden="1" customWidth="1"/>
    <col min="57" max="57" width="8.28515625" style="203" customWidth="1"/>
    <col min="58" max="58" width="8" style="203" customWidth="1"/>
    <col min="59" max="65" width="8.28515625" style="203" customWidth="1"/>
    <col min="66" max="66" width="8.7109375" style="203" customWidth="1"/>
    <col min="67" max="75" width="8.42578125" style="203" customWidth="1"/>
    <col min="76" max="76" width="5.140625" style="203" customWidth="1"/>
    <col min="77" max="77" width="6.42578125" style="203"/>
    <col min="78" max="78" width="14" style="203" customWidth="1"/>
    <col min="79" max="88" width="0" style="203" hidden="1" customWidth="1"/>
    <col min="89" max="89" width="7.140625" style="203" bestFit="1" customWidth="1"/>
    <col min="90" max="90" width="7.140625" style="203" customWidth="1"/>
    <col min="91" max="91" width="6.7109375" style="203" bestFit="1" customWidth="1"/>
    <col min="92" max="93" width="6.42578125" style="203"/>
    <col min="94" max="94" width="6.140625" style="203" customWidth="1"/>
    <col min="95" max="16384" width="6.42578125" style="203"/>
  </cols>
  <sheetData>
    <row r="1" spans="1:25" ht="17.100000000000001" customHeight="1">
      <c r="A1" s="334" t="s">
        <v>435</v>
      </c>
      <c r="B1" s="252"/>
      <c r="C1" s="252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13.5">
      <c r="A2" s="252" t="s">
        <v>81</v>
      </c>
      <c r="B2" s="252"/>
      <c r="C2" s="252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1:25" ht="3.95" customHeight="1">
      <c r="A3" s="35"/>
      <c r="B3" s="35"/>
      <c r="C3" s="35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5.95" customHeight="1">
      <c r="A4" s="513" t="s">
        <v>230</v>
      </c>
      <c r="B4" s="514"/>
      <c r="C4" s="515"/>
      <c r="D4" s="370" t="s">
        <v>199</v>
      </c>
      <c r="E4" s="370" t="s">
        <v>200</v>
      </c>
      <c r="F4" s="370" t="s">
        <v>296</v>
      </c>
      <c r="G4" s="370" t="s">
        <v>266</v>
      </c>
      <c r="H4" s="370" t="s">
        <v>267</v>
      </c>
      <c r="I4" s="370" t="s">
        <v>268</v>
      </c>
      <c r="J4" s="370" t="s">
        <v>269</v>
      </c>
      <c r="K4" s="370" t="s">
        <v>270</v>
      </c>
      <c r="L4" s="370" t="s">
        <v>271</v>
      </c>
      <c r="M4" s="370" t="s">
        <v>226</v>
      </c>
      <c r="N4" s="370" t="s">
        <v>227</v>
      </c>
      <c r="O4" s="370" t="s">
        <v>228</v>
      </c>
      <c r="P4" s="370" t="s">
        <v>95</v>
      </c>
      <c r="Q4" s="370" t="s">
        <v>96</v>
      </c>
      <c r="R4" s="370" t="s">
        <v>97</v>
      </c>
      <c r="S4" s="370" t="s">
        <v>98</v>
      </c>
      <c r="T4" s="370" t="s">
        <v>99</v>
      </c>
      <c r="U4" s="387" t="s">
        <v>455</v>
      </c>
      <c r="V4" s="387" t="s">
        <v>456</v>
      </c>
      <c r="W4" s="387" t="s">
        <v>457</v>
      </c>
      <c r="X4" s="387" t="s">
        <v>458</v>
      </c>
      <c r="Y4" s="387" t="s">
        <v>459</v>
      </c>
    </row>
    <row r="5" spans="1:25" ht="9.9499999999999993" customHeight="1">
      <c r="A5" s="31" t="s">
        <v>58</v>
      </c>
      <c r="B5" s="150"/>
      <c r="C5" s="151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 spans="1:25" ht="9.9499999999999993" customHeight="1">
      <c r="A6" s="152"/>
      <c r="B6" s="150" t="s">
        <v>82</v>
      </c>
      <c r="C6" s="153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</row>
    <row r="7" spans="1:25" ht="9.9499999999999993" customHeight="1">
      <c r="A7" s="140"/>
      <c r="B7" s="141"/>
      <c r="C7" s="141" t="s">
        <v>277</v>
      </c>
      <c r="D7" s="263">
        <v>1569.0587729999997</v>
      </c>
      <c r="E7" s="263">
        <v>1723.2696320000002</v>
      </c>
      <c r="F7" s="263">
        <v>1808.1725750000001</v>
      </c>
      <c r="G7" s="263">
        <v>1798.2310669999997</v>
      </c>
      <c r="H7" s="263">
        <v>1467.9546290000001</v>
      </c>
      <c r="I7" s="263">
        <v>2003.7597270000001</v>
      </c>
      <c r="J7" s="263">
        <v>1932.6131449999998</v>
      </c>
      <c r="K7" s="263">
        <v>1943.2897899999998</v>
      </c>
      <c r="L7" s="263">
        <v>2149.9871499999999</v>
      </c>
      <c r="M7" s="263">
        <v>2371.9473840000001</v>
      </c>
      <c r="N7" s="263">
        <v>2253.0088179999998</v>
      </c>
      <c r="O7" s="263">
        <v>2091.1423909999999</v>
      </c>
      <c r="P7" s="263">
        <v>2406.9945269999998</v>
      </c>
      <c r="Q7" s="263">
        <v>2472.3312690000002</v>
      </c>
      <c r="R7" s="263">
        <v>2281.835169</v>
      </c>
      <c r="S7" s="263">
        <v>2511.3592370000001</v>
      </c>
      <c r="T7" s="263">
        <v>2448.075065</v>
      </c>
      <c r="U7" s="263">
        <v>2324.8937050000004</v>
      </c>
      <c r="V7" s="263">
        <v>2775.741583</v>
      </c>
      <c r="W7" s="263">
        <v>2467.4544289999999</v>
      </c>
      <c r="X7" s="263">
        <v>2724.0729569999999</v>
      </c>
      <c r="Y7" s="263">
        <v>2699.9137570000003</v>
      </c>
    </row>
    <row r="8" spans="1:25" ht="9.9499999999999993" customHeight="1">
      <c r="A8" s="142"/>
      <c r="B8" s="142"/>
      <c r="C8" s="141" t="s">
        <v>278</v>
      </c>
      <c r="D8" s="263">
        <v>2769.8390300000001</v>
      </c>
      <c r="E8" s="263">
        <v>2164.2352529999998</v>
      </c>
      <c r="F8" s="263">
        <v>2645.0204280000003</v>
      </c>
      <c r="G8" s="263">
        <v>2615.7409070000003</v>
      </c>
      <c r="H8" s="263">
        <v>2378.4665570000002</v>
      </c>
      <c r="I8" s="263">
        <v>2688.0686040000005</v>
      </c>
      <c r="J8" s="263">
        <v>2585.9498829999998</v>
      </c>
      <c r="K8" s="263">
        <v>2615.9704139999999</v>
      </c>
      <c r="L8" s="263">
        <v>2836.0316080000002</v>
      </c>
      <c r="M8" s="263">
        <v>2993.3811069999997</v>
      </c>
      <c r="N8" s="263">
        <v>2937.5276830000003</v>
      </c>
      <c r="O8" s="263">
        <v>3205.6114639999996</v>
      </c>
      <c r="P8" s="263">
        <v>3580.2801090000007</v>
      </c>
      <c r="Q8" s="263">
        <v>3610.0854860000009</v>
      </c>
      <c r="R8" s="263">
        <v>3716.5334980000002</v>
      </c>
      <c r="S8" s="263">
        <v>3831.7150690000003</v>
      </c>
      <c r="T8" s="263">
        <v>3647.894569999999</v>
      </c>
      <c r="U8" s="263">
        <v>3802.0165929999998</v>
      </c>
      <c r="V8" s="263">
        <v>4209.8988489999992</v>
      </c>
      <c r="W8" s="263">
        <v>4401.484211</v>
      </c>
      <c r="X8" s="263">
        <v>4464.0990229999998</v>
      </c>
      <c r="Y8" s="263">
        <v>4639.1277630000004</v>
      </c>
    </row>
    <row r="9" spans="1:25" ht="9.9499999999999993" customHeight="1">
      <c r="A9" s="138"/>
      <c r="B9" s="138"/>
      <c r="C9" s="141" t="s">
        <v>84</v>
      </c>
      <c r="D9" s="263">
        <v>186.56701960000001</v>
      </c>
      <c r="E9" s="263">
        <v>191.17686429999998</v>
      </c>
      <c r="F9" s="263">
        <v>208.02678600000002</v>
      </c>
      <c r="G9" s="263">
        <v>197.63158099999998</v>
      </c>
      <c r="H9" s="263">
        <v>226.27016570000001</v>
      </c>
      <c r="I9" s="263">
        <v>182.85517900000002</v>
      </c>
      <c r="J9" s="263">
        <v>264.09096</v>
      </c>
      <c r="K9" s="263">
        <v>213.59547599999999</v>
      </c>
      <c r="L9" s="263">
        <v>267.226428</v>
      </c>
      <c r="M9" s="263">
        <v>248.264341</v>
      </c>
      <c r="N9" s="263">
        <v>270.71105900000009</v>
      </c>
      <c r="O9" s="263">
        <v>320.84055900000004</v>
      </c>
      <c r="P9" s="263">
        <v>307.09632099999999</v>
      </c>
      <c r="Q9" s="263">
        <v>249.16633800000002</v>
      </c>
      <c r="R9" s="263">
        <v>214.66195499999998</v>
      </c>
      <c r="S9" s="263">
        <v>249.63742000000002</v>
      </c>
      <c r="T9" s="263">
        <v>271.08502000000004</v>
      </c>
      <c r="U9" s="263">
        <v>323.91476999999998</v>
      </c>
      <c r="V9" s="263">
        <v>355.333145</v>
      </c>
      <c r="W9" s="263">
        <v>347.94330199999996</v>
      </c>
      <c r="X9" s="263">
        <v>362.05248499999999</v>
      </c>
      <c r="Y9" s="263">
        <v>364.23977000000002</v>
      </c>
    </row>
    <row r="10" spans="1:25" ht="9.9499999999999993" customHeight="1">
      <c r="A10" s="138"/>
      <c r="B10" s="138"/>
      <c r="C10" s="141" t="s">
        <v>279</v>
      </c>
      <c r="D10" s="263">
        <v>89.795369999999991</v>
      </c>
      <c r="E10" s="263">
        <v>104.71420999999999</v>
      </c>
      <c r="F10" s="263">
        <v>104.69663</v>
      </c>
      <c r="G10" s="263">
        <v>111.69705900000001</v>
      </c>
      <c r="H10" s="263">
        <v>115.59709000000001</v>
      </c>
      <c r="I10" s="263">
        <v>115.80494999999999</v>
      </c>
      <c r="J10" s="263">
        <v>139.65771900000001</v>
      </c>
      <c r="K10" s="263">
        <v>154.37595000000002</v>
      </c>
      <c r="L10" s="263">
        <v>197.02318</v>
      </c>
      <c r="M10" s="263">
        <v>178.18930900000001</v>
      </c>
      <c r="N10" s="263">
        <v>185.83863799999997</v>
      </c>
      <c r="O10" s="263">
        <v>224.72411600000004</v>
      </c>
      <c r="P10" s="263">
        <v>206.17664899999997</v>
      </c>
      <c r="Q10" s="263">
        <v>205.46446899999998</v>
      </c>
      <c r="R10" s="263">
        <v>216.23627900000002</v>
      </c>
      <c r="S10" s="263">
        <v>224.06652899999997</v>
      </c>
      <c r="T10" s="263">
        <v>233.38316800000001</v>
      </c>
      <c r="U10" s="263">
        <v>234.81907000000001</v>
      </c>
      <c r="V10" s="263">
        <v>221.21820999999997</v>
      </c>
      <c r="W10" s="263">
        <v>225.38389000000001</v>
      </c>
      <c r="X10" s="263">
        <v>239.46795899999998</v>
      </c>
      <c r="Y10" s="263">
        <v>224.45919000000001</v>
      </c>
    </row>
    <row r="11" spans="1:25" ht="9.9499999999999993" customHeight="1">
      <c r="A11" s="138"/>
      <c r="B11" s="138"/>
      <c r="C11" s="141" t="s">
        <v>225</v>
      </c>
      <c r="D11" s="263">
        <v>627.45058400000005</v>
      </c>
      <c r="E11" s="263">
        <v>732.96234500000003</v>
      </c>
      <c r="F11" s="263">
        <v>700.92522399999984</v>
      </c>
      <c r="G11" s="263">
        <v>827.23272900000006</v>
      </c>
      <c r="H11" s="263">
        <v>712.36924199999987</v>
      </c>
      <c r="I11" s="263">
        <v>719.99333000000001</v>
      </c>
      <c r="J11" s="263">
        <v>712.55445699999996</v>
      </c>
      <c r="K11" s="263">
        <v>749.92929500000002</v>
      </c>
      <c r="L11" s="263">
        <v>827.45730999999989</v>
      </c>
      <c r="M11" s="263">
        <v>904.58280599999989</v>
      </c>
      <c r="N11" s="263">
        <v>870.85320400000012</v>
      </c>
      <c r="O11" s="263">
        <v>801.5370549999999</v>
      </c>
      <c r="P11" s="263">
        <v>919.03282699999988</v>
      </c>
      <c r="Q11" s="263">
        <v>912.15151000000003</v>
      </c>
      <c r="R11" s="263">
        <v>851.88234199999988</v>
      </c>
      <c r="S11" s="263">
        <v>930.093388</v>
      </c>
      <c r="T11" s="263">
        <v>865.27519999999981</v>
      </c>
      <c r="U11" s="263">
        <v>845.9668089999999</v>
      </c>
      <c r="V11" s="263">
        <v>888.63330200000007</v>
      </c>
      <c r="W11" s="263">
        <v>892.5982939999999</v>
      </c>
      <c r="X11" s="263">
        <v>789.66843200000005</v>
      </c>
      <c r="Y11" s="263">
        <v>898.71493599999997</v>
      </c>
    </row>
    <row r="12" spans="1:25" ht="9.9499999999999993" customHeight="1">
      <c r="A12" s="138"/>
      <c r="B12" s="138"/>
      <c r="C12" s="141" t="s">
        <v>280</v>
      </c>
      <c r="D12" s="263">
        <v>3649.9082933333334</v>
      </c>
      <c r="E12" s="263">
        <v>3683.7246820000005</v>
      </c>
      <c r="F12" s="263">
        <v>3668.9817163333332</v>
      </c>
      <c r="G12" s="263">
        <v>3824.9461350000001</v>
      </c>
      <c r="H12" s="263">
        <v>3801.3490649999999</v>
      </c>
      <c r="I12" s="263">
        <v>3882.7625900000003</v>
      </c>
      <c r="J12" s="263">
        <v>3762.7468180000001</v>
      </c>
      <c r="K12" s="263">
        <v>3892.9046230000008</v>
      </c>
      <c r="L12" s="263">
        <v>3924.9155779999996</v>
      </c>
      <c r="M12" s="263">
        <v>4146.8263390000002</v>
      </c>
      <c r="N12" s="263">
        <v>4292.2823920000001</v>
      </c>
      <c r="O12" s="263">
        <v>4450.6738430000005</v>
      </c>
      <c r="P12" s="263">
        <v>4618.8174589999999</v>
      </c>
      <c r="Q12" s="263">
        <v>4893.4831759999997</v>
      </c>
      <c r="R12" s="263">
        <v>4681.5765419999998</v>
      </c>
      <c r="S12" s="263">
        <v>4868.4686520000005</v>
      </c>
      <c r="T12" s="263">
        <v>4794.3095829999993</v>
      </c>
      <c r="U12" s="263">
        <v>4783.50479</v>
      </c>
      <c r="V12" s="263">
        <v>4804.1732399999992</v>
      </c>
      <c r="W12" s="263">
        <v>5016.4676660000014</v>
      </c>
      <c r="X12" s="263">
        <v>5262.2520660000009</v>
      </c>
      <c r="Y12" s="263">
        <v>5285.5428010000005</v>
      </c>
    </row>
    <row r="13" spans="1:25" ht="9.9499999999999993" customHeight="1">
      <c r="A13" s="138"/>
      <c r="B13" s="138"/>
      <c r="C13" s="141" t="s">
        <v>281</v>
      </c>
      <c r="D13" s="263">
        <v>964.08282099999997</v>
      </c>
      <c r="E13" s="263">
        <v>1042.990264</v>
      </c>
      <c r="F13" s="263">
        <v>1032.5599260000001</v>
      </c>
      <c r="G13" s="263">
        <v>1082.9055650000003</v>
      </c>
      <c r="H13" s="263">
        <v>1118.6562429999999</v>
      </c>
      <c r="I13" s="263">
        <v>1136.744205</v>
      </c>
      <c r="J13" s="263">
        <v>1185.8181099999999</v>
      </c>
      <c r="K13" s="263">
        <v>1233.0411060000001</v>
      </c>
      <c r="L13" s="263">
        <v>1188.9675980000002</v>
      </c>
      <c r="M13" s="263">
        <v>1235.4814470000001</v>
      </c>
      <c r="N13" s="263">
        <v>1313.6261000000004</v>
      </c>
      <c r="O13" s="263">
        <v>1305.1304409999996</v>
      </c>
      <c r="P13" s="263">
        <v>1382.0185760000002</v>
      </c>
      <c r="Q13" s="263">
        <v>1406.5101339999999</v>
      </c>
      <c r="R13" s="263">
        <v>1412.576767</v>
      </c>
      <c r="S13" s="263">
        <v>1369.7347349999998</v>
      </c>
      <c r="T13" s="263">
        <v>1363.0101799999998</v>
      </c>
      <c r="U13" s="263">
        <v>1293.5299580000001</v>
      </c>
      <c r="V13" s="263">
        <v>1444.9131669999999</v>
      </c>
      <c r="W13" s="263">
        <v>1501.1712669999999</v>
      </c>
      <c r="X13" s="263">
        <v>1524.4643700000001</v>
      </c>
      <c r="Y13" s="263">
        <v>1516.157132</v>
      </c>
    </row>
    <row r="14" spans="1:25" ht="9.9499999999999993" customHeight="1">
      <c r="A14" s="138"/>
      <c r="B14" s="138"/>
      <c r="C14" s="141" t="s">
        <v>282</v>
      </c>
      <c r="D14" s="263">
        <v>143.124754</v>
      </c>
      <c r="E14" s="263">
        <v>133.94091299999999</v>
      </c>
      <c r="F14" s="263">
        <v>133.537848</v>
      </c>
      <c r="G14" s="263">
        <v>125.56093999999999</v>
      </c>
      <c r="H14" s="263">
        <v>173.69039799999999</v>
      </c>
      <c r="I14" s="263">
        <v>194.11080899999999</v>
      </c>
      <c r="J14" s="263">
        <v>197.997467</v>
      </c>
      <c r="K14" s="263">
        <v>202.51651599999997</v>
      </c>
      <c r="L14" s="263">
        <v>158.86544499999999</v>
      </c>
      <c r="M14" s="263">
        <v>92.049408999999997</v>
      </c>
      <c r="N14" s="263">
        <v>61.632244</v>
      </c>
      <c r="O14" s="263">
        <v>111.32316899999999</v>
      </c>
      <c r="P14" s="263">
        <v>105.95841899999999</v>
      </c>
      <c r="Q14" s="263">
        <v>80.267813000000004</v>
      </c>
      <c r="R14" s="263">
        <v>90.339426999999986</v>
      </c>
      <c r="S14" s="263">
        <v>69.610656999999989</v>
      </c>
      <c r="T14" s="263">
        <v>44.164139000000006</v>
      </c>
      <c r="U14" s="263">
        <v>21.223058000000002</v>
      </c>
      <c r="V14" s="263">
        <v>37.021990000000002</v>
      </c>
      <c r="W14" s="263">
        <v>46.425125000000008</v>
      </c>
      <c r="X14" s="263">
        <v>16.500259</v>
      </c>
      <c r="Y14" s="263">
        <v>10.222937</v>
      </c>
    </row>
    <row r="15" spans="1:25" ht="9.9499999999999993" customHeight="1">
      <c r="A15" s="138"/>
      <c r="B15" s="138"/>
      <c r="C15" s="141" t="s">
        <v>283</v>
      </c>
      <c r="D15" s="263">
        <v>4419.3145869999998</v>
      </c>
      <c r="E15" s="263">
        <v>4481.1009179999992</v>
      </c>
      <c r="F15" s="263">
        <v>5339.8793159999996</v>
      </c>
      <c r="G15" s="263">
        <v>5740.5581241500004</v>
      </c>
      <c r="H15" s="263">
        <v>4558.5748701439998</v>
      </c>
      <c r="I15" s="263">
        <v>3809.8590589999999</v>
      </c>
      <c r="J15" s="263">
        <v>4329.8203099999992</v>
      </c>
      <c r="K15" s="263">
        <v>5039.9592982955164</v>
      </c>
      <c r="L15" s="263">
        <v>5785.7785629999998</v>
      </c>
      <c r="M15" s="263">
        <v>6303.2257798419996</v>
      </c>
      <c r="N15" s="263">
        <v>6240.3435640000007</v>
      </c>
      <c r="O15" s="263">
        <v>6178.4588599100007</v>
      </c>
      <c r="P15" s="263">
        <v>6274.7934257000006</v>
      </c>
      <c r="Q15" s="263">
        <v>6839.3772663999998</v>
      </c>
      <c r="R15" s="263">
        <v>7202.5189484000002</v>
      </c>
      <c r="S15" s="263">
        <v>6284.9501805000009</v>
      </c>
      <c r="T15" s="263">
        <v>6078.1032184999995</v>
      </c>
      <c r="U15" s="263">
        <v>5519.3170759999994</v>
      </c>
      <c r="V15" s="263">
        <v>6117.4799117960983</v>
      </c>
      <c r="W15" s="263">
        <v>6902.2211520000001</v>
      </c>
      <c r="X15" s="263">
        <v>6478.8789659999993</v>
      </c>
      <c r="Y15" s="263">
        <v>6021.4134652284874</v>
      </c>
    </row>
    <row r="16" spans="1:25" ht="9.9499999999999993" customHeight="1">
      <c r="A16" s="138"/>
      <c r="B16" s="138"/>
      <c r="C16" s="141" t="s">
        <v>284</v>
      </c>
      <c r="D16" s="263">
        <v>577.89439500000003</v>
      </c>
      <c r="E16" s="263">
        <v>593.13757900000007</v>
      </c>
      <c r="F16" s="263">
        <v>581.85557400000016</v>
      </c>
      <c r="G16" s="263">
        <v>595.569615</v>
      </c>
      <c r="H16" s="263">
        <v>622.75936700000011</v>
      </c>
      <c r="I16" s="263">
        <v>650.90262800000005</v>
      </c>
      <c r="J16" s="263">
        <v>685.22659300000009</v>
      </c>
      <c r="K16" s="263">
        <v>703.20220299999994</v>
      </c>
      <c r="L16" s="263">
        <v>688.40147899999988</v>
      </c>
      <c r="M16" s="263">
        <v>733.64164800000003</v>
      </c>
      <c r="N16" s="263">
        <v>778.04358799999989</v>
      </c>
      <c r="O16" s="263">
        <v>715.12080999999989</v>
      </c>
      <c r="P16" s="263">
        <v>733.01352500000019</v>
      </c>
      <c r="Q16" s="263">
        <v>764.19241499999998</v>
      </c>
      <c r="R16" s="263">
        <v>755.29803700000014</v>
      </c>
      <c r="S16" s="263">
        <v>803.89583600000003</v>
      </c>
      <c r="T16" s="263">
        <v>772.975236</v>
      </c>
      <c r="U16" s="263">
        <v>754.42504000000008</v>
      </c>
      <c r="V16" s="263">
        <v>799.57133299999998</v>
      </c>
      <c r="W16" s="263">
        <v>820.87713699999995</v>
      </c>
      <c r="X16" s="263">
        <v>870.52835700000003</v>
      </c>
      <c r="Y16" s="263">
        <v>829.98298900000009</v>
      </c>
    </row>
    <row r="17" spans="1:25" ht="9.9499999999999993" customHeight="1">
      <c r="A17" s="138"/>
      <c r="B17" s="138"/>
      <c r="C17" s="141" t="s">
        <v>285</v>
      </c>
      <c r="D17" s="263">
        <v>242.08072299999998</v>
      </c>
      <c r="E17" s="263">
        <v>265.78996000000001</v>
      </c>
      <c r="F17" s="263">
        <v>299.47090599999996</v>
      </c>
      <c r="G17" s="263">
        <v>315.73457999999999</v>
      </c>
      <c r="H17" s="263">
        <v>325.73307999999997</v>
      </c>
      <c r="I17" s="263">
        <v>322.47865599999994</v>
      </c>
      <c r="J17" s="263">
        <v>364.85556799999995</v>
      </c>
      <c r="K17" s="263">
        <v>390.12657200000007</v>
      </c>
      <c r="L17" s="263">
        <v>406.133261</v>
      </c>
      <c r="M17" s="263">
        <v>399.83601199999998</v>
      </c>
      <c r="N17" s="263">
        <v>452.07271200000008</v>
      </c>
      <c r="O17" s="263">
        <v>442.76076600000005</v>
      </c>
      <c r="P17" s="263">
        <v>493.26507799999996</v>
      </c>
      <c r="Q17" s="263">
        <v>463.69686999999999</v>
      </c>
      <c r="R17" s="263">
        <v>414.985433</v>
      </c>
      <c r="S17" s="263">
        <v>409.66595599999999</v>
      </c>
      <c r="T17" s="263">
        <v>451.29359099999994</v>
      </c>
      <c r="U17" s="263">
        <v>419.35610800000001</v>
      </c>
      <c r="V17" s="263">
        <v>370.84464100000002</v>
      </c>
      <c r="W17" s="263">
        <v>386.72819900000007</v>
      </c>
      <c r="X17" s="263">
        <v>382.41646300000002</v>
      </c>
      <c r="Y17" s="263">
        <v>422.45635600000008</v>
      </c>
    </row>
    <row r="18" spans="1:25" ht="9.9499999999999993" customHeight="1">
      <c r="A18" s="138"/>
      <c r="B18" s="138"/>
      <c r="C18" s="141" t="s">
        <v>193</v>
      </c>
      <c r="D18" s="263">
        <v>272.36924800000003</v>
      </c>
      <c r="E18" s="263">
        <v>246.47419400000001</v>
      </c>
      <c r="F18" s="263">
        <v>245.372749</v>
      </c>
      <c r="G18" s="263">
        <v>253.04568399999997</v>
      </c>
      <c r="H18" s="263">
        <v>210.40784599999998</v>
      </c>
      <c r="I18" s="263">
        <v>236.40814200000003</v>
      </c>
      <c r="J18" s="263">
        <v>245.47934300000003</v>
      </c>
      <c r="K18" s="263">
        <v>241.18846200000002</v>
      </c>
      <c r="L18" s="263">
        <v>242.12024100000002</v>
      </c>
      <c r="M18" s="263">
        <v>279.42517000000004</v>
      </c>
      <c r="N18" s="263">
        <v>252.81393600000004</v>
      </c>
      <c r="O18" s="263">
        <v>246.73511999999997</v>
      </c>
      <c r="P18" s="263">
        <v>274.88297600000004</v>
      </c>
      <c r="Q18" s="263">
        <v>299.73580999999996</v>
      </c>
      <c r="R18" s="263">
        <v>292.42972599999996</v>
      </c>
      <c r="S18" s="263">
        <v>294.10447599999992</v>
      </c>
      <c r="T18" s="263">
        <v>266.18147499999998</v>
      </c>
      <c r="U18" s="263">
        <v>267.0422630000001</v>
      </c>
      <c r="V18" s="263">
        <v>299.09496200000007</v>
      </c>
      <c r="W18" s="263">
        <v>296.97719300000006</v>
      </c>
      <c r="X18" s="263">
        <v>314.54589999999996</v>
      </c>
      <c r="Y18" s="263">
        <v>303.34740200000005</v>
      </c>
    </row>
    <row r="19" spans="1:25" ht="9.9499999999999993" customHeight="1">
      <c r="A19" s="138"/>
      <c r="B19" s="138"/>
      <c r="C19" s="141" t="s">
        <v>287</v>
      </c>
      <c r="D19" s="263">
        <v>92.208756999999991</v>
      </c>
      <c r="E19" s="263">
        <v>109.772927</v>
      </c>
      <c r="F19" s="263">
        <v>111.84941333333333</v>
      </c>
      <c r="G19" s="263">
        <v>118.61662999999999</v>
      </c>
      <c r="H19" s="263">
        <v>119.34661299999999</v>
      </c>
      <c r="I19" s="263">
        <v>127.99191</v>
      </c>
      <c r="J19" s="263">
        <v>138.48970100000003</v>
      </c>
      <c r="K19" s="263">
        <v>144.95283900000001</v>
      </c>
      <c r="L19" s="263">
        <v>156.34780900000001</v>
      </c>
      <c r="M19" s="263">
        <v>182.85677900000002</v>
      </c>
      <c r="N19" s="263">
        <v>178.71796699999999</v>
      </c>
      <c r="O19" s="263">
        <v>187.56792900000002</v>
      </c>
      <c r="P19" s="263">
        <v>206.86478000000002</v>
      </c>
      <c r="Q19" s="263">
        <v>214.70735399999998</v>
      </c>
      <c r="R19" s="263">
        <v>242.14487599999998</v>
      </c>
      <c r="S19" s="263">
        <v>271.18875600000001</v>
      </c>
      <c r="T19" s="263">
        <v>286.801108</v>
      </c>
      <c r="U19" s="263">
        <v>331.71724399999994</v>
      </c>
      <c r="V19" s="263">
        <v>326.35764900000004</v>
      </c>
      <c r="W19" s="263">
        <v>335.11912900000004</v>
      </c>
      <c r="X19" s="263">
        <v>363.12101300000006</v>
      </c>
      <c r="Y19" s="263">
        <v>425.05944800000003</v>
      </c>
    </row>
    <row r="20" spans="1:25" ht="9.9499999999999993" customHeight="1">
      <c r="A20" s="138"/>
      <c r="B20" s="138"/>
      <c r="C20" s="141" t="s">
        <v>46</v>
      </c>
      <c r="D20" s="263">
        <v>0</v>
      </c>
      <c r="E20" s="263">
        <v>5.1163500000000006</v>
      </c>
      <c r="F20" s="263">
        <v>18.565200000000001</v>
      </c>
      <c r="G20" s="263">
        <v>15.039800000000001</v>
      </c>
      <c r="H20" s="263">
        <v>19.796749999999999</v>
      </c>
      <c r="I20" s="263">
        <v>46.261780000000002</v>
      </c>
      <c r="J20" s="263">
        <v>44.898364000000001</v>
      </c>
      <c r="K20" s="263">
        <v>31.592678000000003</v>
      </c>
      <c r="L20" s="263">
        <v>43.827228000000005</v>
      </c>
      <c r="M20" s="263">
        <v>42.304988999999992</v>
      </c>
      <c r="N20" s="263">
        <v>33.921709999999997</v>
      </c>
      <c r="O20" s="263">
        <v>35.306445999999994</v>
      </c>
      <c r="P20" s="263">
        <v>40.133420000000008</v>
      </c>
      <c r="Q20" s="263">
        <v>28.802647</v>
      </c>
      <c r="R20" s="263">
        <v>21.959868999999998</v>
      </c>
      <c r="S20" s="263">
        <v>25.332820999999999</v>
      </c>
      <c r="T20" s="263">
        <v>24.686186000000003</v>
      </c>
      <c r="U20" s="263">
        <v>20.258185000000001</v>
      </c>
      <c r="V20" s="263">
        <v>21.799379999999996</v>
      </c>
      <c r="W20" s="263">
        <v>24.149870000000004</v>
      </c>
      <c r="X20" s="263">
        <v>28.386050000000001</v>
      </c>
      <c r="Y20" s="263">
        <v>25.094957000000001</v>
      </c>
    </row>
    <row r="21" spans="1:25" ht="9.9499999999999993" customHeight="1">
      <c r="A21" s="138"/>
      <c r="B21" s="138"/>
      <c r="C21" s="141" t="s">
        <v>288</v>
      </c>
      <c r="D21" s="263">
        <v>3.22342</v>
      </c>
      <c r="E21" s="263">
        <v>4.3526890000000007</v>
      </c>
      <c r="F21" s="263">
        <v>4.5863999999999994</v>
      </c>
      <c r="G21" s="263">
        <v>5.5463199999999997</v>
      </c>
      <c r="H21" s="263">
        <v>14.26098</v>
      </c>
      <c r="I21" s="263">
        <v>21.809229999999999</v>
      </c>
      <c r="J21" s="263">
        <v>29.704199999999997</v>
      </c>
      <c r="K21" s="263">
        <v>37.913980000000002</v>
      </c>
      <c r="L21" s="263">
        <v>41.612764000000006</v>
      </c>
      <c r="M21" s="263">
        <v>36.383245000000009</v>
      </c>
      <c r="N21" s="263">
        <v>35.433248999999996</v>
      </c>
      <c r="O21" s="263">
        <v>40.064809999999994</v>
      </c>
      <c r="P21" s="263">
        <v>42.225149999999999</v>
      </c>
      <c r="Q21" s="263">
        <v>37.582548000000003</v>
      </c>
      <c r="R21" s="263">
        <v>35.053419999999996</v>
      </c>
      <c r="S21" s="263">
        <v>27.43036</v>
      </c>
      <c r="T21" s="263">
        <v>35.077100000000002</v>
      </c>
      <c r="U21" s="263">
        <v>53.255338999999999</v>
      </c>
      <c r="V21" s="263">
        <v>64.323700000000002</v>
      </c>
      <c r="W21" s="263">
        <v>57.692159999999994</v>
      </c>
      <c r="X21" s="263">
        <v>26.727460000000001</v>
      </c>
      <c r="Y21" s="263">
        <v>35.371662000000001</v>
      </c>
    </row>
    <row r="22" spans="1:25" ht="9.9499999999999993" customHeight="1">
      <c r="A22" s="138"/>
      <c r="B22" s="138"/>
      <c r="C22" s="141" t="s">
        <v>249</v>
      </c>
      <c r="D22" s="263">
        <v>305.68649699999997</v>
      </c>
      <c r="E22" s="263">
        <v>312.47212999999994</v>
      </c>
      <c r="F22" s="263">
        <v>333.67444499999993</v>
      </c>
      <c r="G22" s="263">
        <v>353.42096800000013</v>
      </c>
      <c r="H22" s="263">
        <v>295.44437600000003</v>
      </c>
      <c r="I22" s="263">
        <v>267.62833000000001</v>
      </c>
      <c r="J22" s="263">
        <v>265.31610000000006</v>
      </c>
      <c r="K22" s="263">
        <v>255.43291600000003</v>
      </c>
      <c r="L22" s="263">
        <v>279.28267900000003</v>
      </c>
      <c r="M22" s="263">
        <v>297.95961700000004</v>
      </c>
      <c r="N22" s="263">
        <v>294.95683999999994</v>
      </c>
      <c r="O22" s="263">
        <v>281.46257900000001</v>
      </c>
      <c r="P22" s="263">
        <v>277.37178299999999</v>
      </c>
      <c r="Q22" s="263">
        <v>314.84335400000003</v>
      </c>
      <c r="R22" s="263">
        <v>313.10771199999999</v>
      </c>
      <c r="S22" s="263">
        <v>317.18406699999997</v>
      </c>
      <c r="T22" s="263">
        <v>303.03402799999998</v>
      </c>
      <c r="U22" s="263">
        <v>281.81570300000004</v>
      </c>
      <c r="V22" s="263">
        <v>314.07762099999991</v>
      </c>
      <c r="W22" s="263">
        <v>306.53852000000001</v>
      </c>
      <c r="X22" s="263">
        <v>313.01686099999995</v>
      </c>
      <c r="Y22" s="263">
        <v>317.36107699999991</v>
      </c>
    </row>
    <row r="23" spans="1:25" ht="9.9499999999999993" customHeight="1">
      <c r="A23" s="138"/>
      <c r="B23" s="138"/>
      <c r="C23" s="141" t="s">
        <v>250</v>
      </c>
      <c r="D23" s="263">
        <v>49.626307999999987</v>
      </c>
      <c r="E23" s="263">
        <v>45.605907999999992</v>
      </c>
      <c r="F23" s="263">
        <v>46.430662999999996</v>
      </c>
      <c r="G23" s="263">
        <v>45.058840000000004</v>
      </c>
      <c r="H23" s="263">
        <v>41.580115000000006</v>
      </c>
      <c r="I23" s="263">
        <v>51.942200000000007</v>
      </c>
      <c r="J23" s="263">
        <v>63.192632999999994</v>
      </c>
      <c r="K23" s="263">
        <v>63.28096900000002</v>
      </c>
      <c r="L23" s="263">
        <v>64.532523999999995</v>
      </c>
      <c r="M23" s="263">
        <v>75.582188000000002</v>
      </c>
      <c r="N23" s="263">
        <v>69.921189000000012</v>
      </c>
      <c r="O23" s="263">
        <v>66.425986999999992</v>
      </c>
      <c r="P23" s="263">
        <v>73.302285000000012</v>
      </c>
      <c r="Q23" s="263">
        <v>73.830552000000012</v>
      </c>
      <c r="R23" s="263">
        <v>70.454835000000003</v>
      </c>
      <c r="S23" s="263">
        <v>69.354171000000008</v>
      </c>
      <c r="T23" s="263">
        <v>63.468048999999986</v>
      </c>
      <c r="U23" s="263">
        <v>58.559311000000015</v>
      </c>
      <c r="V23" s="263">
        <v>68.989863000000014</v>
      </c>
      <c r="W23" s="263">
        <v>68.477415999999991</v>
      </c>
      <c r="X23" s="263">
        <v>70.750436999999991</v>
      </c>
      <c r="Y23" s="263">
        <v>70.879107999999988</v>
      </c>
    </row>
    <row r="24" spans="1:25" ht="9.9499999999999993" customHeight="1">
      <c r="A24" s="138"/>
      <c r="B24" s="138"/>
      <c r="C24" s="141" t="s">
        <v>251</v>
      </c>
      <c r="D24" s="263">
        <v>87.610468999999995</v>
      </c>
      <c r="E24" s="263">
        <v>83.291907999999992</v>
      </c>
      <c r="F24" s="263">
        <v>116.40419799999999</v>
      </c>
      <c r="G24" s="263">
        <v>123.51785700000001</v>
      </c>
      <c r="H24" s="263">
        <v>167.566596</v>
      </c>
      <c r="I24" s="263">
        <v>183.03836599999997</v>
      </c>
      <c r="J24" s="263">
        <v>206.614169</v>
      </c>
      <c r="K24" s="263">
        <v>113.022417</v>
      </c>
      <c r="L24" s="263">
        <v>256.06011699999999</v>
      </c>
      <c r="M24" s="263">
        <v>72.764062999999979</v>
      </c>
      <c r="N24" s="263">
        <v>300.71471399999996</v>
      </c>
      <c r="O24" s="263">
        <v>314.99642600000004</v>
      </c>
      <c r="P24" s="263">
        <v>130.24758599999998</v>
      </c>
      <c r="Q24" s="263">
        <v>386.62109900000002</v>
      </c>
      <c r="R24" s="263">
        <v>339.07538400000004</v>
      </c>
      <c r="S24" s="263">
        <v>200.99243899999999</v>
      </c>
      <c r="T24" s="263">
        <v>220.22275399999998</v>
      </c>
      <c r="U24" s="263">
        <v>253.79813899999999</v>
      </c>
      <c r="V24" s="263">
        <v>255.57182600000004</v>
      </c>
      <c r="W24" s="263">
        <v>272.263666</v>
      </c>
      <c r="X24" s="263">
        <v>386.38923899999998</v>
      </c>
      <c r="Y24" s="263">
        <v>353.01018399999992</v>
      </c>
    </row>
    <row r="25" spans="1:25" ht="9.9499999999999993" customHeight="1">
      <c r="A25" s="138"/>
      <c r="B25" s="138"/>
      <c r="C25" s="141" t="s">
        <v>252</v>
      </c>
      <c r="D25" s="263">
        <v>21.541836000000004</v>
      </c>
      <c r="E25" s="263">
        <v>21.047267000000005</v>
      </c>
      <c r="F25" s="263">
        <v>19.937985000000001</v>
      </c>
      <c r="G25" s="263">
        <v>20.413372000000003</v>
      </c>
      <c r="H25" s="263">
        <v>22.169346999999998</v>
      </c>
      <c r="I25" s="263">
        <v>20.686837000000001</v>
      </c>
      <c r="J25" s="263">
        <v>26.205532000000002</v>
      </c>
      <c r="K25" s="263">
        <v>26.504380999999999</v>
      </c>
      <c r="L25" s="263">
        <v>27.167304000000001</v>
      </c>
      <c r="M25" s="263">
        <v>28.960802000000005</v>
      </c>
      <c r="N25" s="263">
        <v>34.263796999999997</v>
      </c>
      <c r="O25" s="263">
        <v>41.484203000000001</v>
      </c>
      <c r="P25" s="263">
        <v>44.858272000000007</v>
      </c>
      <c r="Q25" s="263">
        <v>51.435056999999993</v>
      </c>
      <c r="R25" s="263">
        <v>59.788088999999992</v>
      </c>
      <c r="S25" s="263">
        <v>67.423173000000006</v>
      </c>
      <c r="T25" s="263">
        <v>79.847853999999998</v>
      </c>
      <c r="U25" s="263">
        <v>85.850145999999995</v>
      </c>
      <c r="V25" s="263">
        <v>97.839781000000016</v>
      </c>
      <c r="W25" s="263">
        <v>104.639842</v>
      </c>
      <c r="X25" s="263">
        <v>117.84820200000001</v>
      </c>
      <c r="Y25" s="263">
        <v>114.639348</v>
      </c>
    </row>
    <row r="26" spans="1:25" ht="9.9499999999999993" customHeight="1">
      <c r="A26" s="138"/>
      <c r="B26" s="138"/>
      <c r="C26" s="141" t="s">
        <v>253</v>
      </c>
      <c r="D26" s="263">
        <v>147.46885</v>
      </c>
      <c r="E26" s="263">
        <v>146.67072300000001</v>
      </c>
      <c r="F26" s="263">
        <v>150.81446700000001</v>
      </c>
      <c r="G26" s="263">
        <v>155.43159500000004</v>
      </c>
      <c r="H26" s="263">
        <v>131.73809399999999</v>
      </c>
      <c r="I26" s="263">
        <v>140.91437200000001</v>
      </c>
      <c r="J26" s="263">
        <v>151.885977</v>
      </c>
      <c r="K26" s="263">
        <v>151.198263</v>
      </c>
      <c r="L26" s="263">
        <v>161.86838699999998</v>
      </c>
      <c r="M26" s="263">
        <v>180.13391099999998</v>
      </c>
      <c r="N26" s="263">
        <v>184.647209</v>
      </c>
      <c r="O26" s="263">
        <v>171.30956800000001</v>
      </c>
      <c r="P26" s="263">
        <v>184.18945100000002</v>
      </c>
      <c r="Q26" s="263">
        <v>190.66676899999999</v>
      </c>
      <c r="R26" s="263">
        <v>182.99811100000005</v>
      </c>
      <c r="S26" s="263">
        <v>183.63663700000001</v>
      </c>
      <c r="T26" s="263">
        <v>167.96370300000001</v>
      </c>
      <c r="U26" s="263">
        <v>162.51842299999998</v>
      </c>
      <c r="V26" s="263">
        <v>160.896861</v>
      </c>
      <c r="W26" s="263">
        <v>158.67869600000003</v>
      </c>
      <c r="X26" s="263">
        <v>163.72859400000002</v>
      </c>
      <c r="Y26" s="263">
        <v>168.034188</v>
      </c>
    </row>
    <row r="27" spans="1:25" ht="9.9499999999999993" customHeight="1">
      <c r="A27" s="138"/>
      <c r="B27" s="138"/>
      <c r="C27" s="141" t="s">
        <v>254</v>
      </c>
      <c r="D27" s="263">
        <v>203.289625</v>
      </c>
      <c r="E27" s="263">
        <v>218.41133199999999</v>
      </c>
      <c r="F27" s="263">
        <v>226.29752999999999</v>
      </c>
      <c r="G27" s="263">
        <v>236.87166699999997</v>
      </c>
      <c r="H27" s="263">
        <v>257.64273200000002</v>
      </c>
      <c r="I27" s="263">
        <v>251.84614800000003</v>
      </c>
      <c r="J27" s="263">
        <v>256.95925399999993</v>
      </c>
      <c r="K27" s="263">
        <v>261.16469500000005</v>
      </c>
      <c r="L27" s="263">
        <v>272.09756999999996</v>
      </c>
      <c r="M27" s="263">
        <v>281.86191600000001</v>
      </c>
      <c r="N27" s="263">
        <v>286.90022299999998</v>
      </c>
      <c r="O27" s="263">
        <v>305.59614900000003</v>
      </c>
      <c r="P27" s="263">
        <v>313.34386000000001</v>
      </c>
      <c r="Q27" s="263">
        <v>327.31673799999993</v>
      </c>
      <c r="R27" s="263">
        <v>327.37596599999995</v>
      </c>
      <c r="S27" s="263">
        <v>342.37973199999999</v>
      </c>
      <c r="T27" s="263">
        <v>376.65686699999998</v>
      </c>
      <c r="U27" s="263">
        <v>376.5232749999999</v>
      </c>
      <c r="V27" s="263">
        <v>375.16358500000007</v>
      </c>
      <c r="W27" s="263">
        <v>373.71330999999998</v>
      </c>
      <c r="X27" s="263">
        <v>410.99348799999996</v>
      </c>
      <c r="Y27" s="263">
        <v>418.89382899999998</v>
      </c>
    </row>
    <row r="28" spans="1:25" ht="9.9499999999999993" customHeight="1">
      <c r="A28" s="138"/>
      <c r="B28" s="138"/>
      <c r="C28" s="141" t="s">
        <v>255</v>
      </c>
      <c r="D28" s="263">
        <v>61.702794999999995</v>
      </c>
      <c r="E28" s="263">
        <v>70.374354000000011</v>
      </c>
      <c r="F28" s="263">
        <v>71.101040000000012</v>
      </c>
      <c r="G28" s="263">
        <v>78.09226799999999</v>
      </c>
      <c r="H28" s="263">
        <v>84.685818999999995</v>
      </c>
      <c r="I28" s="263">
        <v>81.843364000000008</v>
      </c>
      <c r="J28" s="263">
        <v>88.368984999999995</v>
      </c>
      <c r="K28" s="263">
        <v>95.228248000000008</v>
      </c>
      <c r="L28" s="263">
        <v>108.33169999999998</v>
      </c>
      <c r="M28" s="263">
        <v>121.96642200000001</v>
      </c>
      <c r="N28" s="263">
        <v>144.73650800000004</v>
      </c>
      <c r="O28" s="263">
        <v>166.82682099999997</v>
      </c>
      <c r="P28" s="263">
        <v>217.84692700000002</v>
      </c>
      <c r="Q28" s="263">
        <v>236.97964199999998</v>
      </c>
      <c r="R28" s="263">
        <v>297.96327800000006</v>
      </c>
      <c r="S28" s="263">
        <v>326.93954399999996</v>
      </c>
      <c r="T28" s="263">
        <v>400.28445799999997</v>
      </c>
      <c r="U28" s="263">
        <v>409.08686399999999</v>
      </c>
      <c r="V28" s="263">
        <v>446.07407900000004</v>
      </c>
      <c r="W28" s="263">
        <v>500.66133499999995</v>
      </c>
      <c r="X28" s="263">
        <v>584.5003109999999</v>
      </c>
      <c r="Y28" s="263">
        <v>649.99584499999992</v>
      </c>
    </row>
    <row r="29" spans="1:25" ht="9.9499999999999993" customHeight="1">
      <c r="A29" s="138" t="s">
        <v>229</v>
      </c>
      <c r="B29" s="138"/>
      <c r="C29" s="141" t="s">
        <v>146</v>
      </c>
      <c r="D29" s="263">
        <v>118.11190999999999</v>
      </c>
      <c r="E29" s="263">
        <v>118.57205</v>
      </c>
      <c r="F29" s="263">
        <v>118.09671699999998</v>
      </c>
      <c r="G29" s="263">
        <v>143.54993699999997</v>
      </c>
      <c r="H29" s="263">
        <v>158.270308</v>
      </c>
      <c r="I29" s="263">
        <v>151.66418000000002</v>
      </c>
      <c r="J29" s="263">
        <v>164.47458700000004</v>
      </c>
      <c r="K29" s="263">
        <v>161.589057</v>
      </c>
      <c r="L29" s="263">
        <v>160.09001499999999</v>
      </c>
      <c r="M29" s="263">
        <v>141.26009600000003</v>
      </c>
      <c r="N29" s="263">
        <v>173.06589600000001</v>
      </c>
      <c r="O29" s="263">
        <v>183.73650100000003</v>
      </c>
      <c r="P29" s="263">
        <v>210.19433900000004</v>
      </c>
      <c r="Q29" s="263">
        <v>236.67254800000001</v>
      </c>
      <c r="R29" s="263">
        <v>261.392584</v>
      </c>
      <c r="S29" s="263">
        <v>277.50654800000007</v>
      </c>
      <c r="T29" s="263">
        <v>310.34355099999999</v>
      </c>
      <c r="U29" s="263">
        <v>330.60841700000009</v>
      </c>
      <c r="V29" s="263">
        <v>395.85137899999989</v>
      </c>
      <c r="W29" s="263">
        <v>395.11444699999993</v>
      </c>
      <c r="X29" s="263">
        <v>411.19078599999995</v>
      </c>
      <c r="Y29" s="263">
        <v>451.77965399999999</v>
      </c>
    </row>
    <row r="30" spans="1:25" ht="9.9499999999999993" customHeight="1">
      <c r="A30" s="138"/>
      <c r="B30" s="138"/>
      <c r="C30" s="141" t="s">
        <v>147</v>
      </c>
      <c r="D30" s="263">
        <v>168.43989899999994</v>
      </c>
      <c r="E30" s="263">
        <v>130.816495</v>
      </c>
      <c r="F30" s="263">
        <v>79.935403000000008</v>
      </c>
      <c r="G30" s="263">
        <v>89.94264800000002</v>
      </c>
      <c r="H30" s="263">
        <v>109.438666</v>
      </c>
      <c r="I30" s="263">
        <v>82.878686000000016</v>
      </c>
      <c r="J30" s="263">
        <v>92.521267000000009</v>
      </c>
      <c r="K30" s="263">
        <v>107.35734300000001</v>
      </c>
      <c r="L30" s="263">
        <v>132.14369600000001</v>
      </c>
      <c r="M30" s="263">
        <v>142.520419</v>
      </c>
      <c r="N30" s="263">
        <v>126.60341500000001</v>
      </c>
      <c r="O30" s="263">
        <v>109.04719400000002</v>
      </c>
      <c r="P30" s="263">
        <v>142.89167600000002</v>
      </c>
      <c r="Q30" s="263">
        <v>186.18390700000003</v>
      </c>
      <c r="R30" s="263">
        <v>178.05686899999998</v>
      </c>
      <c r="S30" s="263">
        <v>150.48554000000001</v>
      </c>
      <c r="T30" s="263">
        <v>140.57667599999996</v>
      </c>
      <c r="U30" s="263">
        <v>135.659209</v>
      </c>
      <c r="V30" s="263">
        <v>147.362335</v>
      </c>
      <c r="W30" s="263">
        <v>120.02144199999999</v>
      </c>
      <c r="X30" s="263">
        <v>120.77032000000001</v>
      </c>
      <c r="Y30" s="263">
        <v>145.35918099999998</v>
      </c>
    </row>
    <row r="31" spans="1:25" ht="9.9499999999999993" customHeight="1">
      <c r="A31" s="138"/>
      <c r="B31" s="138"/>
      <c r="C31" s="141" t="s">
        <v>141</v>
      </c>
      <c r="D31" s="263">
        <v>170.67977299999998</v>
      </c>
      <c r="E31" s="263">
        <v>151.64250599999997</v>
      </c>
      <c r="F31" s="263">
        <v>193.64976000000001</v>
      </c>
      <c r="G31" s="263">
        <v>181.39898000000002</v>
      </c>
      <c r="H31" s="263">
        <v>151.45756399999999</v>
      </c>
      <c r="I31" s="263">
        <v>158.93792999999999</v>
      </c>
      <c r="J31" s="263">
        <v>174.88412000000002</v>
      </c>
      <c r="K31" s="263">
        <v>200.75299299999998</v>
      </c>
      <c r="L31" s="263">
        <v>178.11334499999998</v>
      </c>
      <c r="M31" s="263">
        <v>150.20473100000001</v>
      </c>
      <c r="N31" s="263">
        <v>162.77364999999998</v>
      </c>
      <c r="O31" s="263">
        <v>156.585295</v>
      </c>
      <c r="P31" s="263">
        <v>170.780068</v>
      </c>
      <c r="Q31" s="263">
        <v>168.67690099999999</v>
      </c>
      <c r="R31" s="263">
        <v>189.45529399999998</v>
      </c>
      <c r="S31" s="263">
        <v>193.52527000000001</v>
      </c>
      <c r="T31" s="263">
        <v>193.68244100000001</v>
      </c>
      <c r="U31" s="263">
        <v>121.15525500000001</v>
      </c>
      <c r="V31" s="263">
        <v>199.23898800000001</v>
      </c>
      <c r="W31" s="263">
        <v>211.59543800000003</v>
      </c>
      <c r="X31" s="263">
        <v>211.30883499999999</v>
      </c>
      <c r="Y31" s="263">
        <v>226.20381399999999</v>
      </c>
    </row>
    <row r="32" spans="1:25" ht="9.9499999999999993" customHeight="1">
      <c r="A32" s="138"/>
      <c r="B32" s="138"/>
      <c r="C32" s="141" t="s">
        <v>148</v>
      </c>
      <c r="D32" s="263">
        <v>29.9682</v>
      </c>
      <c r="E32" s="263">
        <v>32.382069999999999</v>
      </c>
      <c r="F32" s="263">
        <v>32.393230000000003</v>
      </c>
      <c r="G32" s="263">
        <v>38.010239999999996</v>
      </c>
      <c r="H32" s="263">
        <v>42.113949999999996</v>
      </c>
      <c r="I32" s="263">
        <v>54.203380000000003</v>
      </c>
      <c r="J32" s="263">
        <v>52.468167000000001</v>
      </c>
      <c r="K32" s="263">
        <v>52.412351999999998</v>
      </c>
      <c r="L32" s="263">
        <v>109.15713599999999</v>
      </c>
      <c r="M32" s="263">
        <v>7.1348890000000003</v>
      </c>
      <c r="N32" s="263">
        <v>74.854568</v>
      </c>
      <c r="O32" s="263">
        <v>71.950197000000003</v>
      </c>
      <c r="P32" s="263">
        <v>92.468525999999997</v>
      </c>
      <c r="Q32" s="263">
        <v>57.112915999999998</v>
      </c>
      <c r="R32" s="263">
        <v>144.65864000000002</v>
      </c>
      <c r="S32" s="263">
        <v>36.903849999999998</v>
      </c>
      <c r="T32" s="263">
        <v>55.246420000000001</v>
      </c>
      <c r="U32" s="263">
        <v>78.546969000000004</v>
      </c>
      <c r="V32" s="263">
        <v>179.57801900000001</v>
      </c>
      <c r="W32" s="263">
        <v>190.88283999999999</v>
      </c>
      <c r="X32" s="263">
        <v>174.10012</v>
      </c>
      <c r="Y32" s="263">
        <v>135.90732699999998</v>
      </c>
    </row>
    <row r="33" spans="1:25" ht="9.9499999999999993" customHeight="1">
      <c r="A33" s="138"/>
      <c r="B33" s="138"/>
      <c r="C33" s="141" t="s">
        <v>149</v>
      </c>
      <c r="D33" s="263">
        <v>173.96337800000001</v>
      </c>
      <c r="E33" s="263">
        <v>171.39798000000002</v>
      </c>
      <c r="F33" s="263">
        <v>189.66550699999999</v>
      </c>
      <c r="G33" s="263">
        <v>184.96498600000001</v>
      </c>
      <c r="H33" s="263">
        <v>169.24768299999999</v>
      </c>
      <c r="I33" s="263">
        <v>185.036475</v>
      </c>
      <c r="J33" s="263">
        <v>180.83350900000002</v>
      </c>
      <c r="K33" s="263">
        <v>168.26208099999999</v>
      </c>
      <c r="L33" s="263">
        <v>175.24377399999997</v>
      </c>
      <c r="M33" s="263">
        <v>203.24511900000005</v>
      </c>
      <c r="N33" s="263">
        <v>209.38523999999998</v>
      </c>
      <c r="O33" s="263">
        <v>192.83787799999999</v>
      </c>
      <c r="P33" s="263">
        <v>206.09534800000003</v>
      </c>
      <c r="Q33" s="263">
        <v>215.22550800000005</v>
      </c>
      <c r="R33" s="263">
        <v>216.913241</v>
      </c>
      <c r="S33" s="263">
        <v>219.78625199999999</v>
      </c>
      <c r="T33" s="263">
        <v>197.44027899999998</v>
      </c>
      <c r="U33" s="263">
        <v>192.781781</v>
      </c>
      <c r="V33" s="263">
        <v>195.76647400000002</v>
      </c>
      <c r="W33" s="263">
        <v>197.20543600000002</v>
      </c>
      <c r="X33" s="263">
        <v>196.29761999999994</v>
      </c>
      <c r="Y33" s="263">
        <v>209.39226399999998</v>
      </c>
    </row>
    <row r="34" spans="1:25" ht="9.9499999999999993" customHeight="1">
      <c r="A34" s="138"/>
      <c r="B34" s="138"/>
      <c r="C34" s="141" t="s">
        <v>258</v>
      </c>
      <c r="D34" s="263">
        <v>113.665085</v>
      </c>
      <c r="E34" s="263">
        <v>93.898173333333318</v>
      </c>
      <c r="F34" s="263">
        <v>89.983789000000002</v>
      </c>
      <c r="G34" s="263">
        <v>99.825598999999997</v>
      </c>
      <c r="H34" s="263">
        <v>113.62450699999999</v>
      </c>
      <c r="I34" s="263">
        <v>111.82034</v>
      </c>
      <c r="J34" s="263">
        <v>106.323671</v>
      </c>
      <c r="K34" s="263">
        <v>113.08815800000001</v>
      </c>
      <c r="L34" s="263">
        <v>94.827231999999981</v>
      </c>
      <c r="M34" s="263">
        <v>97.454965000000001</v>
      </c>
      <c r="N34" s="263">
        <v>105.689153</v>
      </c>
      <c r="O34" s="263">
        <v>112.66744800000001</v>
      </c>
      <c r="P34" s="263">
        <v>109.152084</v>
      </c>
      <c r="Q34" s="263">
        <v>115.733943</v>
      </c>
      <c r="R34" s="263">
        <v>118.87626899999999</v>
      </c>
      <c r="S34" s="263">
        <v>122.03258799999999</v>
      </c>
      <c r="T34" s="263">
        <v>121.538625</v>
      </c>
      <c r="U34" s="263">
        <v>115.99828699999999</v>
      </c>
      <c r="V34" s="263">
        <v>111.021418</v>
      </c>
      <c r="W34" s="263">
        <v>109.483772</v>
      </c>
      <c r="X34" s="263">
        <v>104.03780500000001</v>
      </c>
      <c r="Y34" s="263">
        <v>106.74216499999999</v>
      </c>
    </row>
    <row r="35" spans="1:25" ht="9.9499999999999993" customHeight="1">
      <c r="A35" s="138"/>
      <c r="B35" s="138"/>
      <c r="C35" s="141" t="s">
        <v>259</v>
      </c>
      <c r="D35" s="263">
        <v>27.162603000000001</v>
      </c>
      <c r="E35" s="263">
        <v>29.753833000000004</v>
      </c>
      <c r="F35" s="263">
        <v>23.892557</v>
      </c>
      <c r="G35" s="263">
        <v>25.52441</v>
      </c>
      <c r="H35" s="263">
        <v>18.990693999999998</v>
      </c>
      <c r="I35" s="263">
        <v>17.338729000000001</v>
      </c>
      <c r="J35" s="263">
        <v>27.940537000000003</v>
      </c>
      <c r="K35" s="263">
        <v>29.966334</v>
      </c>
      <c r="L35" s="263">
        <v>30.322564</v>
      </c>
      <c r="M35" s="263">
        <v>25.914013000000004</v>
      </c>
      <c r="N35" s="263">
        <v>17.432680000000005</v>
      </c>
      <c r="O35" s="263">
        <v>22.889982000000003</v>
      </c>
      <c r="P35" s="263">
        <v>26.058796000000001</v>
      </c>
      <c r="Q35" s="263">
        <v>25.778247</v>
      </c>
      <c r="R35" s="263">
        <v>26.922377000000001</v>
      </c>
      <c r="S35" s="263">
        <v>29.484174000000003</v>
      </c>
      <c r="T35" s="263">
        <v>27.530503000000003</v>
      </c>
      <c r="U35" s="263">
        <v>33.944589999999998</v>
      </c>
      <c r="V35" s="263">
        <v>30.043955</v>
      </c>
      <c r="W35" s="263">
        <v>24.424720000000001</v>
      </c>
      <c r="X35" s="263">
        <v>25.412022999999998</v>
      </c>
      <c r="Y35" s="263">
        <v>30.501775000000002</v>
      </c>
    </row>
    <row r="36" spans="1:25" ht="9.9499999999999993" customHeight="1">
      <c r="A36" s="138"/>
      <c r="B36" s="138"/>
      <c r="C36" s="141" t="s">
        <v>201</v>
      </c>
      <c r="D36" s="263">
        <v>57.709523999999995</v>
      </c>
      <c r="E36" s="263">
        <v>69.684119999999993</v>
      </c>
      <c r="F36" s="263">
        <v>68.153636999999989</v>
      </c>
      <c r="G36" s="263">
        <v>71.461494000000002</v>
      </c>
      <c r="H36" s="263">
        <v>56.461228000000006</v>
      </c>
      <c r="I36" s="263">
        <v>68.257156000000009</v>
      </c>
      <c r="J36" s="263">
        <v>70.952337999999997</v>
      </c>
      <c r="K36" s="263">
        <v>77.225960999999998</v>
      </c>
      <c r="L36" s="263">
        <v>79.343069</v>
      </c>
      <c r="M36" s="263">
        <v>89.068022999999997</v>
      </c>
      <c r="N36" s="263">
        <v>80.251556999999991</v>
      </c>
      <c r="O36" s="263">
        <v>79.050482000000017</v>
      </c>
      <c r="P36" s="263">
        <v>94.642507000000023</v>
      </c>
      <c r="Q36" s="263">
        <v>99.800157999999996</v>
      </c>
      <c r="R36" s="263">
        <v>100.794388</v>
      </c>
      <c r="S36" s="263">
        <v>102.66580799999998</v>
      </c>
      <c r="T36" s="263">
        <v>93.649554000000023</v>
      </c>
      <c r="U36" s="263">
        <v>96.266889000000006</v>
      </c>
      <c r="V36" s="263">
        <v>103.49456599999999</v>
      </c>
      <c r="W36" s="263">
        <v>100.41032300000002</v>
      </c>
      <c r="X36" s="263">
        <v>105.81077599999999</v>
      </c>
      <c r="Y36" s="263">
        <v>105.71206100000002</v>
      </c>
    </row>
    <row r="37" spans="1:25" ht="9.9499999999999993" customHeight="1">
      <c r="A37" s="138"/>
      <c r="B37" s="138"/>
      <c r="C37" s="141" t="s">
        <v>202</v>
      </c>
      <c r="D37" s="263">
        <v>158.40964700000001</v>
      </c>
      <c r="E37" s="263">
        <v>155.139377</v>
      </c>
      <c r="F37" s="263">
        <v>145.52880000000002</v>
      </c>
      <c r="G37" s="263">
        <v>127.18686</v>
      </c>
      <c r="H37" s="263">
        <v>128.54039900000001</v>
      </c>
      <c r="I37" s="263">
        <v>122.530209</v>
      </c>
      <c r="J37" s="263">
        <v>128.04366900000002</v>
      </c>
      <c r="K37" s="263">
        <v>128.93202599999998</v>
      </c>
      <c r="L37" s="263">
        <v>107.80843300000001</v>
      </c>
      <c r="M37" s="263">
        <v>168.94816400000002</v>
      </c>
      <c r="N37" s="263">
        <v>158.33259000000001</v>
      </c>
      <c r="O37" s="263">
        <v>178.13112000000004</v>
      </c>
      <c r="P37" s="263">
        <v>172.05965499999999</v>
      </c>
      <c r="Q37" s="263">
        <v>176.42757699999999</v>
      </c>
      <c r="R37" s="263">
        <v>168.04795599999997</v>
      </c>
      <c r="S37" s="263">
        <v>170.921694</v>
      </c>
      <c r="T37" s="263">
        <v>158.79322399999998</v>
      </c>
      <c r="U37" s="263">
        <v>165.12268700000001</v>
      </c>
      <c r="V37" s="263">
        <v>171.716533</v>
      </c>
      <c r="W37" s="263">
        <v>192.35909000000001</v>
      </c>
      <c r="X37" s="263">
        <v>163.12722400000004</v>
      </c>
      <c r="Y37" s="263">
        <v>119.33503599999999</v>
      </c>
    </row>
    <row r="38" spans="1:25" ht="9.9499999999999993" customHeight="1">
      <c r="A38" s="138"/>
      <c r="B38" s="138"/>
      <c r="C38" s="141" t="s">
        <v>203</v>
      </c>
      <c r="D38" s="263">
        <v>64.400190000000009</v>
      </c>
      <c r="E38" s="263">
        <v>72.309549000000004</v>
      </c>
      <c r="F38" s="263">
        <v>72.632437999999993</v>
      </c>
      <c r="G38" s="263">
        <v>75.204689999999985</v>
      </c>
      <c r="H38" s="263">
        <v>81.250690000000006</v>
      </c>
      <c r="I38" s="263">
        <v>96.814757999999998</v>
      </c>
      <c r="J38" s="263">
        <v>104.51874899999999</v>
      </c>
      <c r="K38" s="263">
        <v>108.01144899999998</v>
      </c>
      <c r="L38" s="263">
        <v>117.320054</v>
      </c>
      <c r="M38" s="263">
        <v>139.14608200000001</v>
      </c>
      <c r="N38" s="263">
        <v>159.17860299999998</v>
      </c>
      <c r="O38" s="263">
        <v>230.28508599999998</v>
      </c>
      <c r="P38" s="263">
        <v>263.39991900000001</v>
      </c>
      <c r="Q38" s="263">
        <v>277.55358799999999</v>
      </c>
      <c r="R38" s="263">
        <v>285.2921859999999</v>
      </c>
      <c r="S38" s="263">
        <v>293.75015599999995</v>
      </c>
      <c r="T38" s="263">
        <v>295.03879599999999</v>
      </c>
      <c r="U38" s="263">
        <v>306.62564600000002</v>
      </c>
      <c r="V38" s="263">
        <v>339.53017700000004</v>
      </c>
      <c r="W38" s="263">
        <v>359.28291599999994</v>
      </c>
      <c r="X38" s="263">
        <v>369.68592999999998</v>
      </c>
      <c r="Y38" s="263">
        <v>373.84287999999992</v>
      </c>
    </row>
    <row r="39" spans="1:25" ht="9.9499999999999993" customHeight="1">
      <c r="A39" s="138"/>
      <c r="B39" s="138"/>
      <c r="C39" s="141" t="s">
        <v>265</v>
      </c>
      <c r="D39" s="263">
        <v>0</v>
      </c>
      <c r="E39" s="263">
        <v>0</v>
      </c>
      <c r="F39" s="263">
        <v>1.0329999999999999</v>
      </c>
      <c r="G39" s="263">
        <v>4.8179999999999996</v>
      </c>
      <c r="H39" s="263">
        <v>15.243</v>
      </c>
      <c r="I39" s="263">
        <v>34.341000000000001</v>
      </c>
      <c r="J39" s="263">
        <v>17.109000000000002</v>
      </c>
      <c r="K39" s="263">
        <v>25.134</v>
      </c>
      <c r="L39" s="263">
        <v>30.26</v>
      </c>
      <c r="M39" s="263">
        <v>19.965</v>
      </c>
      <c r="N39" s="263">
        <v>11.512</v>
      </c>
      <c r="O39" s="263">
        <v>22.763999999999999</v>
      </c>
      <c r="P39" s="263">
        <v>14.531000000000001</v>
      </c>
      <c r="Q39" s="263">
        <v>19.321999999999999</v>
      </c>
      <c r="R39" s="263">
        <v>5.4619999999999997</v>
      </c>
      <c r="S39" s="263">
        <v>13.084</v>
      </c>
      <c r="T39" s="263">
        <v>14.391500000000001</v>
      </c>
      <c r="U39" s="263">
        <v>11.714</v>
      </c>
      <c r="V39" s="263">
        <v>22.785</v>
      </c>
      <c r="W39" s="263">
        <v>10.342000000000001</v>
      </c>
      <c r="X39" s="263">
        <v>11.42</v>
      </c>
      <c r="Y39" s="263">
        <v>13.808680000000001</v>
      </c>
    </row>
    <row r="40" spans="1:25" ht="9.9499999999999993" customHeight="1">
      <c r="A40" s="138"/>
      <c r="B40" s="138"/>
      <c r="C40" s="141" t="s">
        <v>297</v>
      </c>
      <c r="D40" s="263">
        <v>139.59962999999999</v>
      </c>
      <c r="E40" s="263">
        <v>141.70377500000004</v>
      </c>
      <c r="F40" s="263">
        <v>133.71869000000001</v>
      </c>
      <c r="G40" s="263">
        <v>131.60454999999999</v>
      </c>
      <c r="H40" s="263">
        <v>117.091908</v>
      </c>
      <c r="I40" s="263">
        <v>131.23090500000004</v>
      </c>
      <c r="J40" s="263">
        <v>140.54142200000001</v>
      </c>
      <c r="K40" s="263">
        <v>151.98917499999999</v>
      </c>
      <c r="L40" s="263">
        <v>152.096981</v>
      </c>
      <c r="M40" s="263">
        <v>157.265885</v>
      </c>
      <c r="N40" s="263">
        <v>152.61098500000003</v>
      </c>
      <c r="O40" s="263">
        <v>155.15565600000002</v>
      </c>
      <c r="P40" s="263">
        <v>175.03221999999997</v>
      </c>
      <c r="Q40" s="263">
        <v>182.19293200000001</v>
      </c>
      <c r="R40" s="263">
        <v>185.28253400000003</v>
      </c>
      <c r="S40" s="263">
        <v>188.44762400000002</v>
      </c>
      <c r="T40" s="263">
        <v>182.08580500000002</v>
      </c>
      <c r="U40" s="263">
        <v>184.07892700000002</v>
      </c>
      <c r="V40" s="263">
        <v>195.50219799999996</v>
      </c>
      <c r="W40" s="263">
        <v>184.800802</v>
      </c>
      <c r="X40" s="263">
        <v>176.09124000000003</v>
      </c>
      <c r="Y40" s="263">
        <v>182.49581700000002</v>
      </c>
    </row>
    <row r="41" spans="1:25" ht="9.9499999999999993" customHeight="1">
      <c r="A41" s="138"/>
      <c r="B41" s="138"/>
      <c r="C41" s="141" t="s">
        <v>298</v>
      </c>
      <c r="D41" s="263">
        <v>112.559</v>
      </c>
      <c r="E41" s="263">
        <v>130.571099</v>
      </c>
      <c r="F41" s="263">
        <v>104.88477</v>
      </c>
      <c r="G41" s="263">
        <v>113.59959000000001</v>
      </c>
      <c r="H41" s="263">
        <v>129.99677</v>
      </c>
      <c r="I41" s="263">
        <v>128.88826999999998</v>
      </c>
      <c r="J41" s="263">
        <v>149.5814</v>
      </c>
      <c r="K41" s="263">
        <v>149.99494899999999</v>
      </c>
      <c r="L41" s="263">
        <v>153.73761999999999</v>
      </c>
      <c r="M41" s="263">
        <v>165.51965100000001</v>
      </c>
      <c r="N41" s="263">
        <v>183.08995700000006</v>
      </c>
      <c r="O41" s="263">
        <v>214.06929600000001</v>
      </c>
      <c r="P41" s="263">
        <v>309.61970700000001</v>
      </c>
      <c r="Q41" s="263">
        <v>332.06597399999998</v>
      </c>
      <c r="R41" s="263">
        <v>398.02125999999998</v>
      </c>
      <c r="S41" s="263">
        <v>427.04926800000004</v>
      </c>
      <c r="T41" s="263">
        <v>441.39617499999997</v>
      </c>
      <c r="U41" s="263">
        <v>525.61558400000001</v>
      </c>
      <c r="V41" s="263">
        <v>566.839113</v>
      </c>
      <c r="W41" s="263">
        <v>569.00052900000003</v>
      </c>
      <c r="X41" s="263">
        <v>556.22603499999991</v>
      </c>
      <c r="Y41" s="263">
        <v>682.06901900000014</v>
      </c>
    </row>
    <row r="42" spans="1:25" ht="9.9499999999999993" customHeight="1">
      <c r="A42" s="138"/>
      <c r="B42" s="138"/>
      <c r="C42" s="141" t="s">
        <v>260</v>
      </c>
      <c r="D42" s="263">
        <v>47.611784999999998</v>
      </c>
      <c r="E42" s="263">
        <v>43.680252000000003</v>
      </c>
      <c r="F42" s="263">
        <v>47.640189999999997</v>
      </c>
      <c r="G42" s="263">
        <v>51.105231999999987</v>
      </c>
      <c r="H42" s="263">
        <v>46.810493999999998</v>
      </c>
      <c r="I42" s="263">
        <v>52.213799000000009</v>
      </c>
      <c r="J42" s="263">
        <v>56.617609000000002</v>
      </c>
      <c r="K42" s="263">
        <v>60.554763999999999</v>
      </c>
      <c r="L42" s="263">
        <v>62.547114000000001</v>
      </c>
      <c r="M42" s="263">
        <v>67.853064000000018</v>
      </c>
      <c r="N42" s="263">
        <v>65.759836000000007</v>
      </c>
      <c r="O42" s="263">
        <v>63.563298999999994</v>
      </c>
      <c r="P42" s="263">
        <v>72.842207000000002</v>
      </c>
      <c r="Q42" s="263">
        <v>77.506824999999992</v>
      </c>
      <c r="R42" s="263">
        <v>79.900826999999992</v>
      </c>
      <c r="S42" s="263">
        <v>79.087700999999996</v>
      </c>
      <c r="T42" s="263">
        <v>71.228086999999988</v>
      </c>
      <c r="U42" s="263">
        <v>72.035065000000003</v>
      </c>
      <c r="V42" s="263">
        <v>78.526846999999975</v>
      </c>
      <c r="W42" s="263">
        <v>82.394901999999988</v>
      </c>
      <c r="X42" s="263">
        <v>82.050112999999982</v>
      </c>
      <c r="Y42" s="263">
        <v>84.825525999999982</v>
      </c>
    </row>
    <row r="43" spans="1:25" ht="9.9499999999999993" customHeight="1">
      <c r="A43" s="138"/>
      <c r="B43" s="138"/>
      <c r="C43" s="141" t="s">
        <v>261</v>
      </c>
      <c r="D43" s="263">
        <v>31.727600000000002</v>
      </c>
      <c r="E43" s="263">
        <v>25.521407000000004</v>
      </c>
      <c r="F43" s="263">
        <v>26.754639999999998</v>
      </c>
      <c r="G43" s="263">
        <v>25.744846999999996</v>
      </c>
      <c r="H43" s="263">
        <v>24.773838000000001</v>
      </c>
      <c r="I43" s="263">
        <v>26.442585000000001</v>
      </c>
      <c r="J43" s="263">
        <v>30.396487</v>
      </c>
      <c r="K43" s="263">
        <v>30.105605000000008</v>
      </c>
      <c r="L43" s="263">
        <v>32.830777999999988</v>
      </c>
      <c r="M43" s="263">
        <v>34.875470999999997</v>
      </c>
      <c r="N43" s="263">
        <v>36.553446999999998</v>
      </c>
      <c r="O43" s="263">
        <v>33.488663000000003</v>
      </c>
      <c r="P43" s="263">
        <v>36.568579999999997</v>
      </c>
      <c r="Q43" s="263">
        <v>39.264088999999998</v>
      </c>
      <c r="R43" s="263">
        <v>38.984508000000012</v>
      </c>
      <c r="S43" s="263">
        <v>39.708477000000009</v>
      </c>
      <c r="T43" s="263">
        <v>36.951464999999999</v>
      </c>
      <c r="U43" s="263">
        <v>37.261777000000002</v>
      </c>
      <c r="V43" s="263">
        <v>38.777477000000005</v>
      </c>
      <c r="W43" s="263">
        <v>39.779302999999999</v>
      </c>
      <c r="X43" s="263">
        <v>39.639867999999993</v>
      </c>
      <c r="Y43" s="263">
        <v>41.592328999999992</v>
      </c>
    </row>
    <row r="44" spans="1:25" ht="9.9499999999999993" customHeight="1">
      <c r="A44" s="138"/>
      <c r="B44" s="138"/>
      <c r="C44" s="141" t="s">
        <v>262</v>
      </c>
      <c r="D44" s="263">
        <v>99.52364</v>
      </c>
      <c r="E44" s="263">
        <v>92.345376999999999</v>
      </c>
      <c r="F44" s="263">
        <v>103.62797400000001</v>
      </c>
      <c r="G44" s="263">
        <v>101.07456500000001</v>
      </c>
      <c r="H44" s="263">
        <v>97.416786999999999</v>
      </c>
      <c r="I44" s="263">
        <v>92.545636999999985</v>
      </c>
      <c r="J44" s="263">
        <v>113.77705999999999</v>
      </c>
      <c r="K44" s="263">
        <v>106.67062399999999</v>
      </c>
      <c r="L44" s="263">
        <v>114.430655</v>
      </c>
      <c r="M44" s="263">
        <v>106.41875399999999</v>
      </c>
      <c r="N44" s="263">
        <v>109.084492</v>
      </c>
      <c r="O44" s="263">
        <v>122.52414599999999</v>
      </c>
      <c r="P44" s="263">
        <v>118.438874</v>
      </c>
      <c r="Q44" s="263">
        <v>117.55714</v>
      </c>
      <c r="R44" s="263">
        <v>116.35818399999999</v>
      </c>
      <c r="S44" s="263">
        <v>116.27965399999998</v>
      </c>
      <c r="T44" s="263">
        <v>116.83296899999999</v>
      </c>
      <c r="U44" s="263">
        <v>119.62377499999999</v>
      </c>
      <c r="V44" s="263">
        <v>124.50187299999999</v>
      </c>
      <c r="W44" s="263">
        <v>128.69305499999999</v>
      </c>
      <c r="X44" s="263">
        <v>130.47499500000001</v>
      </c>
      <c r="Y44" s="263">
        <v>128.395104</v>
      </c>
    </row>
    <row r="45" spans="1:25" ht="9.9499999999999993" customHeight="1">
      <c r="A45" s="138"/>
      <c r="B45" s="138"/>
      <c r="C45" s="141" t="s">
        <v>263</v>
      </c>
      <c r="D45" s="263">
        <v>68.425540999999996</v>
      </c>
      <c r="E45" s="263">
        <v>68.956249999999997</v>
      </c>
      <c r="F45" s="263">
        <v>59.893800000000006</v>
      </c>
      <c r="G45" s="263">
        <v>72.97366199999999</v>
      </c>
      <c r="H45" s="263">
        <v>63.89771600000001</v>
      </c>
      <c r="I45" s="263">
        <v>56.928637999999999</v>
      </c>
      <c r="J45" s="263">
        <v>99.68728200000001</v>
      </c>
      <c r="K45" s="263">
        <v>88.641146000000006</v>
      </c>
      <c r="L45" s="263">
        <v>103.88185</v>
      </c>
      <c r="M45" s="263">
        <v>133.724298</v>
      </c>
      <c r="N45" s="263">
        <v>120.235884</v>
      </c>
      <c r="O45" s="263">
        <v>143.89921300000003</v>
      </c>
      <c r="P45" s="263">
        <v>156.54701499999999</v>
      </c>
      <c r="Q45" s="263">
        <v>160.196607</v>
      </c>
      <c r="R45" s="263">
        <v>162.03562199999996</v>
      </c>
      <c r="S45" s="263">
        <v>184.33259099999995</v>
      </c>
      <c r="T45" s="263">
        <v>141.92056299999999</v>
      </c>
      <c r="U45" s="263">
        <v>136.08851300000001</v>
      </c>
      <c r="V45" s="263">
        <v>145.00866300000004</v>
      </c>
      <c r="W45" s="263">
        <v>149.410977</v>
      </c>
      <c r="X45" s="263">
        <v>127.69856300000002</v>
      </c>
      <c r="Y45" s="263">
        <v>153.685157</v>
      </c>
    </row>
    <row r="46" spans="1:25" ht="9.9499999999999993" customHeight="1">
      <c r="A46" s="138"/>
      <c r="B46" s="138"/>
      <c r="C46" s="141" t="s">
        <v>87</v>
      </c>
      <c r="D46" s="263">
        <v>21.525408000000002</v>
      </c>
      <c r="E46" s="263">
        <v>24.344010000000001</v>
      </c>
      <c r="F46" s="263">
        <v>28.462917999999998</v>
      </c>
      <c r="G46" s="263">
        <v>26.467997999999998</v>
      </c>
      <c r="H46" s="263">
        <v>29.280705000000001</v>
      </c>
      <c r="I46" s="263">
        <v>28.114917999999999</v>
      </c>
      <c r="J46" s="263">
        <v>27.864283</v>
      </c>
      <c r="K46" s="263">
        <v>26.627889</v>
      </c>
      <c r="L46" s="263">
        <v>31.555949999999999</v>
      </c>
      <c r="M46" s="263">
        <v>32.586220999999995</v>
      </c>
      <c r="N46" s="263">
        <v>31.705449999999999</v>
      </c>
      <c r="O46" s="263">
        <v>32.271236000000002</v>
      </c>
      <c r="P46" s="263">
        <v>32.316783999999998</v>
      </c>
      <c r="Q46" s="263">
        <v>34.261622000000003</v>
      </c>
      <c r="R46" s="263">
        <v>36.738976999999998</v>
      </c>
      <c r="S46" s="263">
        <v>35.387732000000007</v>
      </c>
      <c r="T46" s="263">
        <v>35.270315999999994</v>
      </c>
      <c r="U46" s="263">
        <v>32.839373000000002</v>
      </c>
      <c r="V46" s="263">
        <v>33.107546999999997</v>
      </c>
      <c r="W46" s="263">
        <v>32.963144</v>
      </c>
      <c r="X46" s="263">
        <v>29.827142000000002</v>
      </c>
      <c r="Y46" s="263">
        <v>30.482428999999996</v>
      </c>
    </row>
    <row r="47" spans="1:25" ht="9.9499999999999993" customHeight="1">
      <c r="A47" s="143"/>
      <c r="B47" s="143"/>
      <c r="C47" s="144" t="s">
        <v>211</v>
      </c>
      <c r="D47" s="264">
        <v>29.719047000000003</v>
      </c>
      <c r="E47" s="264">
        <v>29.599717999999999</v>
      </c>
      <c r="F47" s="264">
        <v>21.496834999999997</v>
      </c>
      <c r="G47" s="264">
        <v>25.84825</v>
      </c>
      <c r="H47" s="264">
        <v>22.503378000000001</v>
      </c>
      <c r="I47" s="264">
        <v>22.244550000000004</v>
      </c>
      <c r="J47" s="264">
        <v>19.504189000000004</v>
      </c>
      <c r="K47" s="264">
        <v>26.823403000000003</v>
      </c>
      <c r="L47" s="264">
        <v>32.32882</v>
      </c>
      <c r="M47" s="264">
        <v>36.760948999999997</v>
      </c>
      <c r="N47" s="264">
        <v>27.80293</v>
      </c>
      <c r="O47" s="264">
        <v>23.401253000000001</v>
      </c>
      <c r="P47" s="264">
        <v>36.462133999999999</v>
      </c>
      <c r="Q47" s="264">
        <v>34.735927999999994</v>
      </c>
      <c r="R47" s="264">
        <v>32.627963999999999</v>
      </c>
      <c r="S47" s="264">
        <v>29.221149999999998</v>
      </c>
      <c r="T47" s="264">
        <v>30.797988999999998</v>
      </c>
      <c r="U47" s="264">
        <v>33.084161000000002</v>
      </c>
      <c r="V47" s="264">
        <v>39.503287000000007</v>
      </c>
      <c r="W47" s="264">
        <v>35.024493</v>
      </c>
      <c r="X47" s="264">
        <v>32.82780300000001</v>
      </c>
      <c r="Y47" s="264">
        <v>36.902245999999998</v>
      </c>
    </row>
    <row r="48" spans="1:25" ht="12.75">
      <c r="C48" s="27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265"/>
      <c r="W48" s="265"/>
      <c r="X48" s="265"/>
      <c r="Y48" s="265" t="s">
        <v>0</v>
      </c>
    </row>
    <row r="49" spans="1:25" ht="12.75">
      <c r="C49" s="74" t="s">
        <v>245</v>
      </c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</row>
    <row r="50" spans="1:25" ht="15.95" customHeight="1">
      <c r="A50" s="513" t="s">
        <v>230</v>
      </c>
      <c r="B50" s="514"/>
      <c r="C50" s="515"/>
      <c r="D50" s="370" t="s">
        <v>199</v>
      </c>
      <c r="E50" s="370" t="s">
        <v>200</v>
      </c>
      <c r="F50" s="370" t="s">
        <v>296</v>
      </c>
      <c r="G50" s="370" t="s">
        <v>266</v>
      </c>
      <c r="H50" s="370" t="s">
        <v>267</v>
      </c>
      <c r="I50" s="370" t="s">
        <v>268</v>
      </c>
      <c r="J50" s="370" t="s">
        <v>269</v>
      </c>
      <c r="K50" s="370" t="s">
        <v>270</v>
      </c>
      <c r="L50" s="370" t="s">
        <v>271</v>
      </c>
      <c r="M50" s="370" t="s">
        <v>226</v>
      </c>
      <c r="N50" s="370" t="s">
        <v>227</v>
      </c>
      <c r="O50" s="370" t="s">
        <v>228</v>
      </c>
      <c r="P50" s="370" t="s">
        <v>95</v>
      </c>
      <c r="Q50" s="370" t="s">
        <v>96</v>
      </c>
      <c r="R50" s="370" t="s">
        <v>97</v>
      </c>
      <c r="S50" s="370" t="s">
        <v>98</v>
      </c>
      <c r="T50" s="370" t="s">
        <v>99</v>
      </c>
      <c r="U50" s="387" t="s">
        <v>455</v>
      </c>
      <c r="V50" s="387" t="s">
        <v>456</v>
      </c>
      <c r="W50" s="387" t="s">
        <v>457</v>
      </c>
      <c r="X50" s="387" t="s">
        <v>458</v>
      </c>
      <c r="Y50" s="387" t="s">
        <v>459</v>
      </c>
    </row>
    <row r="51" spans="1:25" ht="9.9499999999999993" customHeight="1">
      <c r="A51" s="154"/>
      <c r="B51" s="154"/>
      <c r="C51" s="145" t="s">
        <v>264</v>
      </c>
      <c r="D51" s="263">
        <v>121.43900500000001</v>
      </c>
      <c r="E51" s="263">
        <v>118.398718</v>
      </c>
      <c r="F51" s="263">
        <v>124.45231999999999</v>
      </c>
      <c r="G51" s="263">
        <v>115.27945999999999</v>
      </c>
      <c r="H51" s="263">
        <v>104.99915799999999</v>
      </c>
      <c r="I51" s="263">
        <v>112.78919999999998</v>
      </c>
      <c r="J51" s="263">
        <v>102.17219699999998</v>
      </c>
      <c r="K51" s="263">
        <v>96.219460999999995</v>
      </c>
      <c r="L51" s="263">
        <v>92.464044000000001</v>
      </c>
      <c r="M51" s="263">
        <v>99.982291000000004</v>
      </c>
      <c r="N51" s="263">
        <v>93.101755000000011</v>
      </c>
      <c r="O51" s="263">
        <v>89.334097000000014</v>
      </c>
      <c r="P51" s="263">
        <v>92.320716000000019</v>
      </c>
      <c r="Q51" s="263">
        <v>93.923895000000002</v>
      </c>
      <c r="R51" s="263">
        <v>90.229168999999999</v>
      </c>
      <c r="S51" s="263">
        <v>94.060994000000008</v>
      </c>
      <c r="T51" s="263">
        <v>92.321589000000003</v>
      </c>
      <c r="U51" s="263">
        <v>97.375834999999995</v>
      </c>
      <c r="V51" s="263">
        <v>100.28675</v>
      </c>
      <c r="W51" s="263">
        <v>93.405337999999986</v>
      </c>
      <c r="X51" s="263">
        <v>98.204840000000004</v>
      </c>
      <c r="Y51" s="263">
        <v>100.73826700000001</v>
      </c>
    </row>
    <row r="52" spans="1:25" ht="9.9499999999999993" customHeight="1">
      <c r="A52" s="149"/>
      <c r="B52" s="149"/>
      <c r="C52" s="146" t="s">
        <v>61</v>
      </c>
      <c r="D52" s="263">
        <v>115.498017</v>
      </c>
      <c r="E52" s="263">
        <v>115.86408400000001</v>
      </c>
      <c r="F52" s="263">
        <v>118.931331</v>
      </c>
      <c r="G52" s="263">
        <v>130.89845800000001</v>
      </c>
      <c r="H52" s="263">
        <v>133.93469699999997</v>
      </c>
      <c r="I52" s="263">
        <v>121.91806100000002</v>
      </c>
      <c r="J52" s="263">
        <v>115.93095700000001</v>
      </c>
      <c r="K52" s="263">
        <v>108.41840599999999</v>
      </c>
      <c r="L52" s="263">
        <v>112.05612800000002</v>
      </c>
      <c r="M52" s="263">
        <v>118.976693</v>
      </c>
      <c r="N52" s="263">
        <v>128.37824599999999</v>
      </c>
      <c r="O52" s="263">
        <v>85.966982000000002</v>
      </c>
      <c r="P52" s="263">
        <v>80.660018000000008</v>
      </c>
      <c r="Q52" s="263">
        <v>101.37463199999999</v>
      </c>
      <c r="R52" s="263">
        <v>99.662073000000021</v>
      </c>
      <c r="S52" s="263">
        <v>94.669921999999985</v>
      </c>
      <c r="T52" s="263">
        <v>116.17791899999999</v>
      </c>
      <c r="U52" s="263">
        <v>122.387804</v>
      </c>
      <c r="V52" s="263">
        <v>121.13709699999998</v>
      </c>
      <c r="W52" s="263">
        <v>108.69407399999999</v>
      </c>
      <c r="X52" s="263">
        <v>122.48096200000001</v>
      </c>
      <c r="Y52" s="263">
        <v>127.96175500000001</v>
      </c>
    </row>
    <row r="53" spans="1:25" ht="9.9499999999999993" customHeight="1">
      <c r="A53" s="138"/>
      <c r="B53" s="138"/>
      <c r="C53" s="141" t="s">
        <v>62</v>
      </c>
      <c r="D53" s="263">
        <v>28.148</v>
      </c>
      <c r="E53" s="263">
        <v>22.216428000000001</v>
      </c>
      <c r="F53" s="263">
        <v>30.362275</v>
      </c>
      <c r="G53" s="263">
        <v>30.062718</v>
      </c>
      <c r="H53" s="263">
        <v>26.972292000000003</v>
      </c>
      <c r="I53" s="263">
        <v>32.556828000000003</v>
      </c>
      <c r="J53" s="263">
        <v>30.413484</v>
      </c>
      <c r="K53" s="263">
        <v>31.810942999999998</v>
      </c>
      <c r="L53" s="263">
        <v>29.813468999999998</v>
      </c>
      <c r="M53" s="263">
        <v>39.211534</v>
      </c>
      <c r="N53" s="263">
        <v>41.025300999999999</v>
      </c>
      <c r="O53" s="263">
        <v>40.588203999999998</v>
      </c>
      <c r="P53" s="263">
        <v>43.786130000000007</v>
      </c>
      <c r="Q53" s="263">
        <v>46.990805999999999</v>
      </c>
      <c r="R53" s="263">
        <v>87.509236000000001</v>
      </c>
      <c r="S53" s="263">
        <v>95.617807999999997</v>
      </c>
      <c r="T53" s="263">
        <v>76.544097999999991</v>
      </c>
      <c r="U53" s="263">
        <v>76.806916000000001</v>
      </c>
      <c r="V53" s="263">
        <v>82.959261999999981</v>
      </c>
      <c r="W53" s="263">
        <v>84.462890000000002</v>
      </c>
      <c r="X53" s="263">
        <v>94.396715</v>
      </c>
      <c r="Y53" s="263">
        <v>100.74563699999999</v>
      </c>
    </row>
    <row r="54" spans="1:25" ht="9.9499999999999993" customHeight="1">
      <c r="A54" s="138"/>
      <c r="B54" s="138"/>
      <c r="C54" s="141" t="s">
        <v>91</v>
      </c>
      <c r="D54" s="263">
        <v>2.1253980000000001</v>
      </c>
      <c r="E54" s="263">
        <v>3.0282489999999997</v>
      </c>
      <c r="F54" s="263">
        <v>2.9953000000000003</v>
      </c>
      <c r="G54" s="263">
        <v>2.5982089999999998</v>
      </c>
      <c r="H54" s="263">
        <v>2.6544980000000002</v>
      </c>
      <c r="I54" s="263">
        <v>2.9126310000000002</v>
      </c>
      <c r="J54" s="263">
        <v>3.2105399999999999</v>
      </c>
      <c r="K54" s="263">
        <v>3.6741170000000003</v>
      </c>
      <c r="L54" s="263">
        <v>5.6076876000000002</v>
      </c>
      <c r="M54" s="263">
        <v>6.323354000000001</v>
      </c>
      <c r="N54" s="263">
        <v>6.2156970000000005</v>
      </c>
      <c r="O54" s="263">
        <v>7.2271660000000004</v>
      </c>
      <c r="P54" s="263">
        <v>6.4693159999999992</v>
      </c>
      <c r="Q54" s="263">
        <v>7.5442630000000008</v>
      </c>
      <c r="R54" s="263">
        <v>9.885114999999999</v>
      </c>
      <c r="S54" s="263">
        <v>9.3491350000000004</v>
      </c>
      <c r="T54" s="263">
        <v>9.429825000000001</v>
      </c>
      <c r="U54" s="263">
        <v>10.011441</v>
      </c>
      <c r="V54" s="263">
        <v>9.8621569999999998</v>
      </c>
      <c r="W54" s="263">
        <v>9.333461999999999</v>
      </c>
      <c r="X54" s="263">
        <v>7.2787790000000001</v>
      </c>
      <c r="Y54" s="263">
        <v>7.1492389999999997</v>
      </c>
    </row>
    <row r="55" spans="1:25" ht="9.9499999999999993" customHeight="1">
      <c r="A55" s="138"/>
      <c r="B55" s="138"/>
      <c r="C55" s="141" t="s">
        <v>63</v>
      </c>
      <c r="D55" s="263">
        <v>74.893462</v>
      </c>
      <c r="E55" s="263">
        <v>64.673770000000005</v>
      </c>
      <c r="F55" s="263">
        <v>59.884967000000003</v>
      </c>
      <c r="G55" s="263">
        <v>59.761677000000006</v>
      </c>
      <c r="H55" s="263">
        <v>58.126456999999995</v>
      </c>
      <c r="I55" s="263">
        <v>60.934944000000002</v>
      </c>
      <c r="J55" s="263">
        <v>63.592188999999998</v>
      </c>
      <c r="K55" s="263">
        <v>63.303572000000003</v>
      </c>
      <c r="L55" s="263">
        <v>65.126164000000003</v>
      </c>
      <c r="M55" s="263">
        <v>74.134953999999979</v>
      </c>
      <c r="N55" s="263">
        <v>76.958223999999987</v>
      </c>
      <c r="O55" s="263">
        <v>74.680008999999984</v>
      </c>
      <c r="P55" s="263">
        <v>73.27324200000001</v>
      </c>
      <c r="Q55" s="263">
        <v>75.356171999999987</v>
      </c>
      <c r="R55" s="263">
        <v>75.371179999999995</v>
      </c>
      <c r="S55" s="263">
        <v>81.69686200000001</v>
      </c>
      <c r="T55" s="263">
        <v>78.631248999999997</v>
      </c>
      <c r="U55" s="263">
        <v>81.840490000000003</v>
      </c>
      <c r="V55" s="263">
        <v>74.364942999999997</v>
      </c>
      <c r="W55" s="263">
        <v>77.699413000000007</v>
      </c>
      <c r="X55" s="263">
        <v>60.309093999999995</v>
      </c>
      <c r="Y55" s="263">
        <v>49.435142000000006</v>
      </c>
    </row>
    <row r="56" spans="1:25" ht="9.9499999999999993" customHeight="1">
      <c r="A56" s="138"/>
      <c r="B56" s="138"/>
      <c r="C56" s="141" t="s">
        <v>142</v>
      </c>
      <c r="D56" s="263">
        <v>9.7680500000000006</v>
      </c>
      <c r="E56" s="263">
        <v>9.0816100000000013</v>
      </c>
      <c r="F56" s="263">
        <v>10.091346999999999</v>
      </c>
      <c r="G56" s="263">
        <v>10.23841</v>
      </c>
      <c r="H56" s="263">
        <v>10.446680000000001</v>
      </c>
      <c r="I56" s="263">
        <v>8.5678000000000001</v>
      </c>
      <c r="J56" s="263">
        <v>19.120339999999999</v>
      </c>
      <c r="K56" s="263">
        <v>10.394680000000001</v>
      </c>
      <c r="L56" s="263">
        <v>16.715863000000002</v>
      </c>
      <c r="M56" s="263">
        <v>18.062618999999998</v>
      </c>
      <c r="N56" s="263">
        <v>23.289029000000003</v>
      </c>
      <c r="O56" s="263">
        <v>10.535926</v>
      </c>
      <c r="P56" s="263">
        <v>24.433429000000004</v>
      </c>
      <c r="Q56" s="263">
        <v>9.0059010000000015</v>
      </c>
      <c r="R56" s="263">
        <v>9.5585099999999983</v>
      </c>
      <c r="S56" s="263">
        <v>7.3649890000000005</v>
      </c>
      <c r="T56" s="263">
        <v>14.950898999999998</v>
      </c>
      <c r="U56" s="263">
        <v>11.365880000000001</v>
      </c>
      <c r="V56" s="263">
        <v>4.0465989999999996</v>
      </c>
      <c r="W56" s="263">
        <v>7.7451650000000001</v>
      </c>
      <c r="X56" s="263">
        <v>5.7326539999999984</v>
      </c>
      <c r="Y56" s="263">
        <v>8.727640000000001</v>
      </c>
    </row>
    <row r="57" spans="1:25" ht="9.9499999999999993" customHeight="1">
      <c r="A57" s="138"/>
      <c r="B57" s="138"/>
      <c r="C57" s="141" t="s">
        <v>118</v>
      </c>
      <c r="D57" s="263">
        <v>60.754986999999993</v>
      </c>
      <c r="E57" s="263">
        <v>59.836896000000003</v>
      </c>
      <c r="F57" s="263">
        <v>60.157324000000003</v>
      </c>
      <c r="G57" s="263">
        <v>56.956607000000005</v>
      </c>
      <c r="H57" s="263">
        <v>51.700414999999992</v>
      </c>
      <c r="I57" s="263">
        <v>48.678262000000004</v>
      </c>
      <c r="J57" s="263">
        <v>50.854402000000007</v>
      </c>
      <c r="K57" s="263">
        <v>52.299622999999997</v>
      </c>
      <c r="L57" s="263">
        <v>55.465795999999997</v>
      </c>
      <c r="M57" s="263">
        <v>58.069378</v>
      </c>
      <c r="N57" s="263">
        <v>53.836665999999994</v>
      </c>
      <c r="O57" s="263">
        <v>55.755488</v>
      </c>
      <c r="P57" s="263">
        <v>57.465872999999988</v>
      </c>
      <c r="Q57" s="263">
        <v>60.730159999999998</v>
      </c>
      <c r="R57" s="263">
        <v>60.086186999999995</v>
      </c>
      <c r="S57" s="263">
        <v>62.502406999999998</v>
      </c>
      <c r="T57" s="263">
        <v>56.998864999999995</v>
      </c>
      <c r="U57" s="263">
        <v>63.991254999999988</v>
      </c>
      <c r="V57" s="263">
        <v>65.964213999999998</v>
      </c>
      <c r="W57" s="263">
        <v>63.271219000000009</v>
      </c>
      <c r="X57" s="263">
        <v>64.170352999999992</v>
      </c>
      <c r="Y57" s="263">
        <v>67.649965000000009</v>
      </c>
    </row>
    <row r="58" spans="1:25" ht="9.9499999999999993" customHeight="1">
      <c r="A58" s="138"/>
      <c r="B58" s="138"/>
      <c r="C58" s="141" t="s">
        <v>119</v>
      </c>
      <c r="D58" s="263">
        <v>23.281400000000001</v>
      </c>
      <c r="E58" s="263">
        <v>33.803539999999998</v>
      </c>
      <c r="F58" s="263">
        <v>37.028649999999999</v>
      </c>
      <c r="G58" s="263">
        <v>48.552999999999997</v>
      </c>
      <c r="H58" s="263">
        <v>64.314830000000001</v>
      </c>
      <c r="I58" s="263">
        <v>63.273729999999993</v>
      </c>
      <c r="J58" s="263">
        <v>61.7607</v>
      </c>
      <c r="K58" s="263">
        <v>51.347868999999996</v>
      </c>
      <c r="L58" s="263">
        <v>60.682451999999998</v>
      </c>
      <c r="M58" s="263">
        <v>61.886676999999999</v>
      </c>
      <c r="N58" s="263">
        <v>65.888435000000001</v>
      </c>
      <c r="O58" s="263">
        <v>71.108065999999994</v>
      </c>
      <c r="P58" s="263">
        <v>74.023327000000009</v>
      </c>
      <c r="Q58" s="263">
        <v>75.095449000000002</v>
      </c>
      <c r="R58" s="263">
        <v>80.390174000000002</v>
      </c>
      <c r="S58" s="263">
        <v>86.118825999999999</v>
      </c>
      <c r="T58" s="263">
        <v>92.247017000000014</v>
      </c>
      <c r="U58" s="263">
        <v>97.564678000000001</v>
      </c>
      <c r="V58" s="263">
        <v>98.614057000000017</v>
      </c>
      <c r="W58" s="263">
        <v>81.302157000000008</v>
      </c>
      <c r="X58" s="263">
        <v>74.445898</v>
      </c>
      <c r="Y58" s="263">
        <v>74.201479000000006</v>
      </c>
    </row>
    <row r="59" spans="1:25" ht="9.9499999999999993" customHeight="1">
      <c r="A59" s="138"/>
      <c r="B59" s="138"/>
      <c r="C59" s="141" t="s">
        <v>60</v>
      </c>
      <c r="D59" s="263">
        <v>32.948699999999995</v>
      </c>
      <c r="E59" s="263">
        <v>33.112218999999996</v>
      </c>
      <c r="F59" s="263">
        <v>36.854479000000005</v>
      </c>
      <c r="G59" s="263">
        <v>31.207060000000002</v>
      </c>
      <c r="H59" s="263">
        <v>38.288029000000002</v>
      </c>
      <c r="I59" s="263">
        <v>34.570309999999999</v>
      </c>
      <c r="J59" s="263">
        <v>40.301350000000006</v>
      </c>
      <c r="K59" s="263">
        <v>53.415888999999993</v>
      </c>
      <c r="L59" s="263">
        <v>63.092058999999992</v>
      </c>
      <c r="M59" s="263">
        <v>68.689307000000014</v>
      </c>
      <c r="N59" s="263">
        <v>55.978585999999993</v>
      </c>
      <c r="O59" s="263">
        <v>54.818902000000001</v>
      </c>
      <c r="P59" s="263">
        <v>56.573479000000006</v>
      </c>
      <c r="Q59" s="263">
        <v>63.877987000000005</v>
      </c>
      <c r="R59" s="263">
        <v>61.988816000000007</v>
      </c>
      <c r="S59" s="263">
        <v>53.234912000000001</v>
      </c>
      <c r="T59" s="263">
        <v>47.867438999999997</v>
      </c>
      <c r="U59" s="263">
        <v>52.073558000000006</v>
      </c>
      <c r="V59" s="263">
        <v>62.063299000000001</v>
      </c>
      <c r="W59" s="263">
        <v>66.316557999999986</v>
      </c>
      <c r="X59" s="263">
        <v>72.99824799999999</v>
      </c>
      <c r="Y59" s="263">
        <v>67.966782000000009</v>
      </c>
    </row>
    <row r="60" spans="1:25" ht="9.9499999999999993" customHeight="1">
      <c r="A60" s="138"/>
      <c r="B60" s="138"/>
      <c r="C60" s="141" t="s">
        <v>120</v>
      </c>
      <c r="D60" s="263">
        <v>2.3754470000000003</v>
      </c>
      <c r="E60" s="263">
        <v>1.3735789999999999</v>
      </c>
      <c r="F60" s="263">
        <v>1.4462300000000001</v>
      </c>
      <c r="G60" s="263">
        <v>2.062179</v>
      </c>
      <c r="H60" s="263">
        <v>1.36392</v>
      </c>
      <c r="I60" s="263">
        <v>1.4682999999999999</v>
      </c>
      <c r="J60" s="263">
        <v>5.2940589999999998</v>
      </c>
      <c r="K60" s="263">
        <v>2.8193000000000001</v>
      </c>
      <c r="L60" s="263">
        <v>2.5271099999999995</v>
      </c>
      <c r="M60" s="263">
        <v>4.0860399999999997</v>
      </c>
      <c r="N60" s="263">
        <v>2.8269890000000002</v>
      </c>
      <c r="O60" s="263">
        <v>4.2687880000000007</v>
      </c>
      <c r="P60" s="263">
        <v>3.2022300000000001</v>
      </c>
      <c r="Q60" s="263">
        <v>3.6259189999999997</v>
      </c>
      <c r="R60" s="263">
        <v>4.2742479999999992</v>
      </c>
      <c r="S60" s="263">
        <v>3.4924630000000003</v>
      </c>
      <c r="T60" s="263">
        <v>3.0098699999999998</v>
      </c>
      <c r="U60" s="263">
        <v>2.7766990000000003</v>
      </c>
      <c r="V60" s="263">
        <v>0.50195000000000001</v>
      </c>
      <c r="W60" s="263">
        <v>0.73297999999999996</v>
      </c>
      <c r="X60" s="263">
        <v>0.58804000000000001</v>
      </c>
      <c r="Y60" s="263">
        <v>0.64222399999999991</v>
      </c>
    </row>
    <row r="61" spans="1:25" ht="9.9499999999999993" customHeight="1">
      <c r="A61" s="138"/>
      <c r="B61" s="138"/>
      <c r="C61" s="141" t="s">
        <v>121</v>
      </c>
      <c r="D61" s="263">
        <v>10.935977999999999</v>
      </c>
      <c r="E61" s="263">
        <v>8.560848</v>
      </c>
      <c r="F61" s="263">
        <v>8.9143869999999996</v>
      </c>
      <c r="G61" s="263">
        <v>9.6141269999999999</v>
      </c>
      <c r="H61" s="263">
        <v>11.059778999999999</v>
      </c>
      <c r="I61" s="263">
        <v>10.798525999999999</v>
      </c>
      <c r="J61" s="263">
        <v>11.661057000000001</v>
      </c>
      <c r="K61" s="263">
        <v>11.709175</v>
      </c>
      <c r="L61" s="263">
        <v>13.874934</v>
      </c>
      <c r="M61" s="263">
        <v>15.433418000000001</v>
      </c>
      <c r="N61" s="263">
        <v>16.773276999999997</v>
      </c>
      <c r="O61" s="263">
        <v>18.986528000000003</v>
      </c>
      <c r="P61" s="263">
        <v>21.151568000000001</v>
      </c>
      <c r="Q61" s="263">
        <v>29.477170000000001</v>
      </c>
      <c r="R61" s="263">
        <v>35.847911000000003</v>
      </c>
      <c r="S61" s="263">
        <v>33.393580999999998</v>
      </c>
      <c r="T61" s="263">
        <v>35.182687999999999</v>
      </c>
      <c r="U61" s="263">
        <v>39.144607000000001</v>
      </c>
      <c r="V61" s="263">
        <v>38.356242999999992</v>
      </c>
      <c r="W61" s="263">
        <v>35.143639999999998</v>
      </c>
      <c r="X61" s="263">
        <v>34.570768999999999</v>
      </c>
      <c r="Y61" s="263">
        <v>38.591131999999995</v>
      </c>
    </row>
    <row r="62" spans="1:25" ht="9.9499999999999993" customHeight="1">
      <c r="A62" s="138"/>
      <c r="B62" s="138"/>
      <c r="C62" s="141" t="s">
        <v>129</v>
      </c>
      <c r="D62" s="263">
        <v>4.3651599999999995</v>
      </c>
      <c r="E62" s="263">
        <v>3.86463</v>
      </c>
      <c r="F62" s="263">
        <v>5.4828000000000001</v>
      </c>
      <c r="G62" s="263">
        <v>6.0174500000000002</v>
      </c>
      <c r="H62" s="263">
        <v>7.9720599999999999</v>
      </c>
      <c r="I62" s="263">
        <v>8.4816279999999988</v>
      </c>
      <c r="J62" s="263">
        <v>9.2001200000000001</v>
      </c>
      <c r="K62" s="263">
        <v>10.30594</v>
      </c>
      <c r="L62" s="263">
        <v>10.336368</v>
      </c>
      <c r="M62" s="263">
        <v>11.431207999999998</v>
      </c>
      <c r="N62" s="263">
        <v>11.922938</v>
      </c>
      <c r="O62" s="263">
        <v>12.510275999999998</v>
      </c>
      <c r="P62" s="263">
        <v>13.345457000000001</v>
      </c>
      <c r="Q62" s="263">
        <v>14.008184000000002</v>
      </c>
      <c r="R62" s="263">
        <v>15.075125</v>
      </c>
      <c r="S62" s="263">
        <v>14.365527</v>
      </c>
      <c r="T62" s="263">
        <v>14.661675000000002</v>
      </c>
      <c r="U62" s="263">
        <v>13.597469</v>
      </c>
      <c r="V62" s="263">
        <v>12.976398000000001</v>
      </c>
      <c r="W62" s="263">
        <v>12.869786</v>
      </c>
      <c r="X62" s="263">
        <v>11.52167</v>
      </c>
      <c r="Y62" s="263">
        <v>12.650929</v>
      </c>
    </row>
    <row r="63" spans="1:25" ht="9.9499999999999993" customHeight="1">
      <c r="A63" s="138"/>
      <c r="B63" s="138"/>
      <c r="C63" s="141" t="s">
        <v>139</v>
      </c>
      <c r="D63" s="263">
        <v>11.589687</v>
      </c>
      <c r="E63" s="263">
        <v>11.278765000000002</v>
      </c>
      <c r="F63" s="263">
        <v>15.691367</v>
      </c>
      <c r="G63" s="263">
        <v>13.401118</v>
      </c>
      <c r="H63" s="263">
        <v>11.995306999999999</v>
      </c>
      <c r="I63" s="263">
        <v>12.883913999999999</v>
      </c>
      <c r="J63" s="263">
        <v>12.164560000000002</v>
      </c>
      <c r="K63" s="263">
        <v>12.872326999999999</v>
      </c>
      <c r="L63" s="263">
        <v>13.605639000000002</v>
      </c>
      <c r="M63" s="263">
        <v>16.587028000000004</v>
      </c>
      <c r="N63" s="263">
        <v>17.459016999999999</v>
      </c>
      <c r="O63" s="263">
        <v>17.182542999999999</v>
      </c>
      <c r="P63" s="263">
        <v>14.959402000000003</v>
      </c>
      <c r="Q63" s="263">
        <v>21.594113</v>
      </c>
      <c r="R63" s="263">
        <v>16.228483999999998</v>
      </c>
      <c r="S63" s="263">
        <v>18.156499999999998</v>
      </c>
      <c r="T63" s="263">
        <v>23.499784000000002</v>
      </c>
      <c r="U63" s="263">
        <v>24.122948000000001</v>
      </c>
      <c r="V63" s="263">
        <v>19.466154</v>
      </c>
      <c r="W63" s="263">
        <v>20.833769000000004</v>
      </c>
      <c r="X63" s="263">
        <v>20.872126999999999</v>
      </c>
      <c r="Y63" s="263">
        <v>19.303758000000006</v>
      </c>
    </row>
    <row r="64" spans="1:25" ht="9.9499999999999993" customHeight="1">
      <c r="A64" s="138"/>
      <c r="B64" s="138"/>
      <c r="C64" s="141" t="s">
        <v>167</v>
      </c>
      <c r="D64" s="263">
        <v>14.12645</v>
      </c>
      <c r="E64" s="263">
        <v>10.59746</v>
      </c>
      <c r="F64" s="263">
        <v>11.39138</v>
      </c>
      <c r="G64" s="263">
        <v>15.651048000000001</v>
      </c>
      <c r="H64" s="263">
        <v>13.9215</v>
      </c>
      <c r="I64" s="263">
        <v>13.563709999999999</v>
      </c>
      <c r="J64" s="263">
        <v>14.917379</v>
      </c>
      <c r="K64" s="263">
        <v>19.768798999999994</v>
      </c>
      <c r="L64" s="263">
        <v>22.034932000000005</v>
      </c>
      <c r="M64" s="263">
        <v>28.804786</v>
      </c>
      <c r="N64" s="263">
        <v>29.205648000000004</v>
      </c>
      <c r="O64" s="263">
        <v>49.805036000000008</v>
      </c>
      <c r="P64" s="263">
        <v>36.478332999999999</v>
      </c>
      <c r="Q64" s="263">
        <v>29.816959999999998</v>
      </c>
      <c r="R64" s="263">
        <v>31.070717000000005</v>
      </c>
      <c r="S64" s="263">
        <v>45.01523499999999</v>
      </c>
      <c r="T64" s="263">
        <v>43.254676999999994</v>
      </c>
      <c r="U64" s="263">
        <v>42.447135000000003</v>
      </c>
      <c r="V64" s="263">
        <v>44.121533000000007</v>
      </c>
      <c r="W64" s="263">
        <v>41.252528999999996</v>
      </c>
      <c r="X64" s="263">
        <v>54.445441000000002</v>
      </c>
      <c r="Y64" s="263">
        <v>62.001268000000003</v>
      </c>
    </row>
    <row r="65" spans="1:25" ht="9.9499999999999993" customHeight="1">
      <c r="A65" s="138"/>
      <c r="B65" s="138"/>
      <c r="C65" s="141" t="s">
        <v>140</v>
      </c>
      <c r="D65" s="263">
        <v>24.978065000000001</v>
      </c>
      <c r="E65" s="263">
        <v>26.641227000000001</v>
      </c>
      <c r="F65" s="263">
        <v>32.251079000000004</v>
      </c>
      <c r="G65" s="263">
        <v>33.526951000000004</v>
      </c>
      <c r="H65" s="263">
        <v>34.622887999999996</v>
      </c>
      <c r="I65" s="263">
        <v>33.895498999999994</v>
      </c>
      <c r="J65" s="263">
        <v>34.694144000000001</v>
      </c>
      <c r="K65" s="263">
        <v>35.127256000000003</v>
      </c>
      <c r="L65" s="263">
        <v>34.123868000000002</v>
      </c>
      <c r="M65" s="263">
        <v>34.357101999999998</v>
      </c>
      <c r="N65" s="263">
        <v>33.891146999999997</v>
      </c>
      <c r="O65" s="263">
        <v>34.038979000000005</v>
      </c>
      <c r="P65" s="263">
        <v>34.710172</v>
      </c>
      <c r="Q65" s="263">
        <v>35.186874000000003</v>
      </c>
      <c r="R65" s="263">
        <v>38.122643000000004</v>
      </c>
      <c r="S65" s="263">
        <v>38.376062000000005</v>
      </c>
      <c r="T65" s="263">
        <v>34.718002999999996</v>
      </c>
      <c r="U65" s="263">
        <v>38.188327999999998</v>
      </c>
      <c r="V65" s="263">
        <v>37.393537000000002</v>
      </c>
      <c r="W65" s="263">
        <v>34.944961000000006</v>
      </c>
      <c r="X65" s="263">
        <v>33.045648</v>
      </c>
      <c r="Y65" s="263">
        <v>37.297817999999999</v>
      </c>
    </row>
    <row r="66" spans="1:25" ht="9.9499999999999993" customHeight="1">
      <c r="A66" s="138"/>
      <c r="B66" s="138"/>
      <c r="C66" s="141" t="s">
        <v>45</v>
      </c>
      <c r="D66" s="263">
        <v>13.638999999999999</v>
      </c>
      <c r="E66" s="263">
        <v>14.07015</v>
      </c>
      <c r="F66" s="263">
        <v>13.841899999999999</v>
      </c>
      <c r="G66" s="263">
        <v>12.93909</v>
      </c>
      <c r="H66" s="263">
        <v>13.483090000000001</v>
      </c>
      <c r="I66" s="263">
        <v>13.745029000000001</v>
      </c>
      <c r="J66" s="263">
        <v>14.781499999999999</v>
      </c>
      <c r="K66" s="263">
        <v>14.749283999999999</v>
      </c>
      <c r="L66" s="263">
        <v>18.296607999999999</v>
      </c>
      <c r="M66" s="263">
        <v>15.998664000000002</v>
      </c>
      <c r="N66" s="263">
        <v>15.937985000000001</v>
      </c>
      <c r="O66" s="263">
        <v>15.54472</v>
      </c>
      <c r="P66" s="263">
        <v>15.455952000000002</v>
      </c>
      <c r="Q66" s="263">
        <v>20.252718999999999</v>
      </c>
      <c r="R66" s="263">
        <v>23.088489000000003</v>
      </c>
      <c r="S66" s="263">
        <v>25.147589</v>
      </c>
      <c r="T66" s="263">
        <v>27.031289000000001</v>
      </c>
      <c r="U66" s="263">
        <v>24.913240000000002</v>
      </c>
      <c r="V66" s="263">
        <v>25.729458999999999</v>
      </c>
      <c r="W66" s="263">
        <v>33.384123999999993</v>
      </c>
      <c r="X66" s="263">
        <v>26.656548999999998</v>
      </c>
      <c r="Y66" s="263">
        <v>43.467787999999999</v>
      </c>
    </row>
    <row r="67" spans="1:25" ht="9.9499999999999993" customHeight="1">
      <c r="A67" s="138"/>
      <c r="B67" s="138"/>
      <c r="C67" s="141" t="s">
        <v>169</v>
      </c>
      <c r="D67" s="263">
        <v>6.981382</v>
      </c>
      <c r="E67" s="263">
        <v>7.5632600000000005</v>
      </c>
      <c r="F67" s="263">
        <v>6.2896970000000003</v>
      </c>
      <c r="G67" s="263">
        <v>6.430212</v>
      </c>
      <c r="H67" s="263">
        <v>5.7601570000000004</v>
      </c>
      <c r="I67" s="263">
        <v>6.3050500000000005</v>
      </c>
      <c r="J67" s="263">
        <v>5.7443119999999999</v>
      </c>
      <c r="K67" s="263">
        <v>5.8023579999999999</v>
      </c>
      <c r="L67" s="263">
        <v>5.1386710000000004</v>
      </c>
      <c r="M67" s="263">
        <v>6.474361</v>
      </c>
      <c r="N67" s="263">
        <v>6.2121599999999999</v>
      </c>
      <c r="O67" s="263">
        <v>6.928833</v>
      </c>
      <c r="P67" s="263">
        <v>7.1479709999999992</v>
      </c>
      <c r="Q67" s="263">
        <v>7.5396960000000011</v>
      </c>
      <c r="R67" s="263">
        <v>7.7321689999999998</v>
      </c>
      <c r="S67" s="263">
        <v>8.0261580000000006</v>
      </c>
      <c r="T67" s="263">
        <v>9.5875799999999991</v>
      </c>
      <c r="U67" s="263">
        <v>8.7858400000000003</v>
      </c>
      <c r="V67" s="263">
        <v>10.009317999999999</v>
      </c>
      <c r="W67" s="263">
        <v>9.9004500000000011</v>
      </c>
      <c r="X67" s="263">
        <v>9.2024899999999992</v>
      </c>
      <c r="Y67" s="263">
        <v>9.6232199999999999</v>
      </c>
    </row>
    <row r="68" spans="1:25" ht="9.9499999999999993" customHeight="1">
      <c r="A68" s="138"/>
      <c r="B68" s="138"/>
      <c r="C68" s="141" t="s">
        <v>44</v>
      </c>
      <c r="D68" s="263">
        <v>5.8440000000000003</v>
      </c>
      <c r="E68" s="263">
        <v>4.3879999999999999</v>
      </c>
      <c r="F68" s="263">
        <v>9.5760000000000005</v>
      </c>
      <c r="G68" s="263">
        <v>14.9785</v>
      </c>
      <c r="H68" s="263">
        <v>9.6225000000000005</v>
      </c>
      <c r="I68" s="263">
        <v>8.9518989999999992</v>
      </c>
      <c r="J68" s="263">
        <v>8.9988600000000005</v>
      </c>
      <c r="K68" s="263">
        <v>8.0218799999999995</v>
      </c>
      <c r="L68" s="263">
        <v>9.7032200000000017</v>
      </c>
      <c r="M68" s="263">
        <v>7.8075299999999999</v>
      </c>
      <c r="N68" s="263">
        <v>7.2777299999999991</v>
      </c>
      <c r="O68" s="263">
        <v>7.4791999999999996</v>
      </c>
      <c r="P68" s="263">
        <v>10.437700000000001</v>
      </c>
      <c r="Q68" s="263">
        <v>12.177440000000001</v>
      </c>
      <c r="R68" s="263">
        <v>10.572749999999999</v>
      </c>
      <c r="S68" s="263">
        <v>7.9121490000000003</v>
      </c>
      <c r="T68" s="263">
        <v>11.002559</v>
      </c>
      <c r="U68" s="263">
        <v>10.27023</v>
      </c>
      <c r="V68" s="263">
        <v>10.752019000000001</v>
      </c>
      <c r="W68" s="263">
        <v>12.91427</v>
      </c>
      <c r="X68" s="263">
        <v>6.3090289999999998</v>
      </c>
      <c r="Y68" s="263">
        <v>10.706859</v>
      </c>
    </row>
    <row r="69" spans="1:25" ht="9.9499999999999993" customHeight="1">
      <c r="A69" s="138"/>
      <c r="B69" s="138"/>
      <c r="C69" s="141" t="s">
        <v>168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0.91004999999999991</v>
      </c>
      <c r="R69" s="263">
        <v>1.2932000000000001</v>
      </c>
      <c r="S69" s="263">
        <v>4.8207990000000001</v>
      </c>
      <c r="T69" s="263">
        <v>5.1864679999999996</v>
      </c>
      <c r="U69" s="263">
        <v>9.4058479999999989</v>
      </c>
      <c r="V69" s="263">
        <v>18.437159999999999</v>
      </c>
      <c r="W69" s="263">
        <v>35.569379999999995</v>
      </c>
      <c r="X69" s="263">
        <v>38.530138999999998</v>
      </c>
      <c r="Y69" s="263">
        <v>47.981839000000001</v>
      </c>
    </row>
    <row r="70" spans="1:25" ht="9.9499999999999993" customHeight="1">
      <c r="A70" s="138"/>
      <c r="B70" s="138"/>
      <c r="C70" s="141" t="s">
        <v>181</v>
      </c>
      <c r="D70" s="263">
        <v>1.3497680000000001</v>
      </c>
      <c r="E70" s="263">
        <v>1.2873489999999999</v>
      </c>
      <c r="F70" s="263">
        <v>1.1408400000000001</v>
      </c>
      <c r="G70" s="263">
        <v>1.1770099999999999</v>
      </c>
      <c r="H70" s="263">
        <v>1.1594580000000001</v>
      </c>
      <c r="I70" s="263">
        <v>1.1706500000000002</v>
      </c>
      <c r="J70" s="263">
        <v>1.394239</v>
      </c>
      <c r="K70" s="263">
        <v>1.506159</v>
      </c>
      <c r="L70" s="263">
        <v>1.4789400000000001</v>
      </c>
      <c r="M70" s="263">
        <v>1.5548200000000001</v>
      </c>
      <c r="N70" s="263">
        <v>1.8460800000000002</v>
      </c>
      <c r="O70" s="263">
        <v>1.8267600000000002</v>
      </c>
      <c r="P70" s="263">
        <v>2.349459</v>
      </c>
      <c r="Q70" s="263">
        <v>2.2982070000000006</v>
      </c>
      <c r="R70" s="263">
        <v>2.2964989999999998</v>
      </c>
      <c r="S70" s="263">
        <v>2.4522369999999993</v>
      </c>
      <c r="T70" s="263">
        <v>2.3266580000000001</v>
      </c>
      <c r="U70" s="263">
        <v>2.7969299999999993</v>
      </c>
      <c r="V70" s="263">
        <v>3.2146399999999993</v>
      </c>
      <c r="W70" s="263">
        <v>4.4743130000000004</v>
      </c>
      <c r="X70" s="263">
        <v>5.1242280000000004</v>
      </c>
      <c r="Y70" s="263">
        <v>5.6109590000000003</v>
      </c>
    </row>
    <row r="71" spans="1:25" ht="9.9499999999999993" customHeight="1">
      <c r="A71" s="138"/>
      <c r="B71" s="138"/>
      <c r="C71" s="141" t="s">
        <v>182</v>
      </c>
      <c r="D71" s="263">
        <v>35.436565000000002</v>
      </c>
      <c r="E71" s="263">
        <v>36.055664999999998</v>
      </c>
      <c r="F71" s="263">
        <v>36.393903000000002</v>
      </c>
      <c r="G71" s="263">
        <v>37.075989999999997</v>
      </c>
      <c r="H71" s="263">
        <v>35.474131</v>
      </c>
      <c r="I71" s="263">
        <v>33.579729</v>
      </c>
      <c r="J71" s="263">
        <v>32.148548999999996</v>
      </c>
      <c r="K71" s="263">
        <v>30.43882</v>
      </c>
      <c r="L71" s="263">
        <v>28.993068999999998</v>
      </c>
      <c r="M71" s="263">
        <v>32.639367</v>
      </c>
      <c r="N71" s="263">
        <v>29.141719000000002</v>
      </c>
      <c r="O71" s="263">
        <v>29.067482999999996</v>
      </c>
      <c r="P71" s="263">
        <v>31.378657999999998</v>
      </c>
      <c r="Q71" s="263">
        <v>30.966570000000004</v>
      </c>
      <c r="R71" s="263">
        <v>29.097120999999998</v>
      </c>
      <c r="S71" s="263">
        <v>30.190090000000001</v>
      </c>
      <c r="T71" s="263">
        <v>33.098208999999997</v>
      </c>
      <c r="U71" s="263">
        <v>34.881246000000004</v>
      </c>
      <c r="V71" s="263">
        <v>44.84769</v>
      </c>
      <c r="W71" s="263">
        <v>41.565142000000002</v>
      </c>
      <c r="X71" s="263">
        <v>42.702730000000003</v>
      </c>
      <c r="Y71" s="263">
        <v>48.306280000000001</v>
      </c>
    </row>
    <row r="72" spans="1:25" ht="9.9499999999999993" customHeight="1">
      <c r="A72" s="138"/>
      <c r="B72" s="138"/>
      <c r="C72" s="141" t="s">
        <v>59</v>
      </c>
      <c r="D72" s="263">
        <v>6.8339999999999996</v>
      </c>
      <c r="E72" s="263">
        <v>7.4695990000000005</v>
      </c>
      <c r="F72" s="263">
        <v>6.6096000000000004</v>
      </c>
      <c r="G72" s="263">
        <v>4.2799899999999997</v>
      </c>
      <c r="H72" s="263">
        <v>4.3206000000000007</v>
      </c>
      <c r="I72" s="263">
        <v>6.1494999999999997</v>
      </c>
      <c r="J72" s="263">
        <v>2.4806500000000002</v>
      </c>
      <c r="K72" s="263">
        <v>6.9959499999999997</v>
      </c>
      <c r="L72" s="263">
        <v>11.521758999999999</v>
      </c>
      <c r="M72" s="263">
        <v>11.673459999999999</v>
      </c>
      <c r="N72" s="263">
        <v>13.048249999999998</v>
      </c>
      <c r="O72" s="263">
        <v>28.91262</v>
      </c>
      <c r="P72" s="263">
        <v>17.79888</v>
      </c>
      <c r="Q72" s="263">
        <v>16.12575</v>
      </c>
      <c r="R72" s="263">
        <v>13.90033</v>
      </c>
      <c r="S72" s="263">
        <v>11.296798999999998</v>
      </c>
      <c r="T72" s="263">
        <v>11.031700000000001</v>
      </c>
      <c r="U72" s="263">
        <v>7.6683000000000003</v>
      </c>
      <c r="V72" s="263">
        <v>16.004466000000001</v>
      </c>
      <c r="W72" s="263">
        <v>27.236150000000006</v>
      </c>
      <c r="X72" s="263">
        <v>26.21669</v>
      </c>
      <c r="Y72" s="263">
        <v>25.183449</v>
      </c>
    </row>
    <row r="73" spans="1:25" ht="9.9499999999999993" customHeight="1">
      <c r="A73" s="138"/>
      <c r="B73" s="138"/>
      <c r="C73" s="141" t="s">
        <v>183</v>
      </c>
      <c r="D73" s="263">
        <v>14.805309999999999</v>
      </c>
      <c r="E73" s="263">
        <v>8.6649700000000003</v>
      </c>
      <c r="F73" s="263">
        <v>2.7538499999999999</v>
      </c>
      <c r="G73" s="263">
        <v>5.4950000000000001</v>
      </c>
      <c r="H73" s="263">
        <v>9.7119999999999997</v>
      </c>
      <c r="I73" s="263">
        <v>20.2577</v>
      </c>
      <c r="J73" s="263">
        <v>16.581599999999998</v>
      </c>
      <c r="K73" s="263">
        <v>12.705399999999999</v>
      </c>
      <c r="L73" s="263">
        <v>4.4798999999999998</v>
      </c>
      <c r="M73" s="263">
        <v>5.9333</v>
      </c>
      <c r="N73" s="263">
        <v>7.4259000000000004</v>
      </c>
      <c r="O73" s="263">
        <v>14.9015</v>
      </c>
      <c r="P73" s="263">
        <v>18.488000000000003</v>
      </c>
      <c r="Q73" s="263">
        <v>22.211839999999999</v>
      </c>
      <c r="R73" s="263">
        <v>21.202100000000002</v>
      </c>
      <c r="S73" s="263">
        <v>53.339378999999994</v>
      </c>
      <c r="T73" s="263">
        <v>54.266248999999995</v>
      </c>
      <c r="U73" s="263">
        <v>16.243779</v>
      </c>
      <c r="V73" s="263">
        <v>9.1549699999999987</v>
      </c>
      <c r="W73" s="263">
        <v>7.8041599999999995</v>
      </c>
      <c r="X73" s="263">
        <v>10.082459999999999</v>
      </c>
      <c r="Y73" s="263">
        <v>12.265758999999999</v>
      </c>
    </row>
    <row r="74" spans="1:25" ht="9.9499999999999993" customHeight="1">
      <c r="A74" s="138"/>
      <c r="B74" s="138"/>
      <c r="C74" s="141" t="s">
        <v>184</v>
      </c>
      <c r="D74" s="263">
        <v>11.822293999999999</v>
      </c>
      <c r="E74" s="263">
        <v>10.506379000000001</v>
      </c>
      <c r="F74" s="263">
        <v>12.801489999999999</v>
      </c>
      <c r="G74" s="263">
        <v>12.444880000000001</v>
      </c>
      <c r="H74" s="263">
        <v>11.549429</v>
      </c>
      <c r="I74" s="263">
        <v>11.365060000000001</v>
      </c>
      <c r="J74" s="263">
        <v>11.37233</v>
      </c>
      <c r="K74" s="263">
        <v>11.839119999999999</v>
      </c>
      <c r="L74" s="263">
        <v>11.061882000000001</v>
      </c>
      <c r="M74" s="263">
        <v>12.096688999999998</v>
      </c>
      <c r="N74" s="263">
        <v>11.230109000000001</v>
      </c>
      <c r="O74" s="263">
        <v>11.974386999999998</v>
      </c>
      <c r="P74" s="263">
        <v>13.401337</v>
      </c>
      <c r="Q74" s="263">
        <v>13.235150000000001</v>
      </c>
      <c r="R74" s="263">
        <v>14.666608</v>
      </c>
      <c r="S74" s="263">
        <v>15.890308000000001</v>
      </c>
      <c r="T74" s="263">
        <v>20.842869</v>
      </c>
      <c r="U74" s="263">
        <v>20.293330000000001</v>
      </c>
      <c r="V74" s="263">
        <v>20.95776</v>
      </c>
      <c r="W74" s="263">
        <v>20.90391</v>
      </c>
      <c r="X74" s="263">
        <v>23.358060000000002</v>
      </c>
      <c r="Y74" s="263">
        <v>20.342064000000001</v>
      </c>
    </row>
    <row r="75" spans="1:25" ht="9.9499999999999993" customHeight="1">
      <c r="A75" s="138"/>
      <c r="B75" s="138"/>
      <c r="C75" s="141" t="s">
        <v>130</v>
      </c>
      <c r="D75" s="263">
        <v>5.8665890000000003</v>
      </c>
      <c r="E75" s="263">
        <v>5.4672700000000001</v>
      </c>
      <c r="F75" s="263">
        <v>4.0785799999999997</v>
      </c>
      <c r="G75" s="263">
        <v>4.0480499999999999</v>
      </c>
      <c r="H75" s="263">
        <v>5.8851599999999999</v>
      </c>
      <c r="I75" s="263">
        <v>7.3446000000000007</v>
      </c>
      <c r="J75" s="263">
        <v>7.4604999999999997</v>
      </c>
      <c r="K75" s="263">
        <v>7.946739</v>
      </c>
      <c r="L75" s="263">
        <v>10.405548999999999</v>
      </c>
      <c r="M75" s="263">
        <v>10.10749</v>
      </c>
      <c r="N75" s="263">
        <v>11.793208</v>
      </c>
      <c r="O75" s="263">
        <v>13.172160000000002</v>
      </c>
      <c r="P75" s="263">
        <v>13.102480999999999</v>
      </c>
      <c r="Q75" s="263">
        <v>14.665256000000001</v>
      </c>
      <c r="R75" s="263">
        <v>13.405061999999997</v>
      </c>
      <c r="S75" s="263">
        <v>15.44833</v>
      </c>
      <c r="T75" s="263">
        <v>15.878864000000002</v>
      </c>
      <c r="U75" s="263">
        <v>18.053719999999998</v>
      </c>
      <c r="V75" s="263">
        <v>18.161224000000001</v>
      </c>
      <c r="W75" s="263">
        <v>18.412081999999998</v>
      </c>
      <c r="X75" s="263">
        <v>20.541588000000001</v>
      </c>
      <c r="Y75" s="263">
        <v>15.415799000000002</v>
      </c>
    </row>
    <row r="76" spans="1:25" ht="9.9499999999999993" customHeight="1">
      <c r="A76" s="138"/>
      <c r="B76" s="138"/>
      <c r="C76" s="141" t="s">
        <v>185</v>
      </c>
      <c r="D76" s="263">
        <v>1.7601600000000002</v>
      </c>
      <c r="E76" s="263">
        <v>0.92696000000000001</v>
      </c>
      <c r="F76" s="263">
        <v>2.0330080000000001</v>
      </c>
      <c r="G76" s="263">
        <v>2.8298200000000002</v>
      </c>
      <c r="H76" s="263">
        <v>2.4218700000000002</v>
      </c>
      <c r="I76" s="263">
        <v>2.8091219999999999</v>
      </c>
      <c r="J76" s="263">
        <v>3.4691299999999998</v>
      </c>
      <c r="K76" s="263">
        <v>2.6266229999999999</v>
      </c>
      <c r="L76" s="263">
        <v>2.0773670000000002</v>
      </c>
      <c r="M76" s="263">
        <v>2.2253640000000003</v>
      </c>
      <c r="N76" s="263">
        <v>2.1720130000000002</v>
      </c>
      <c r="O76" s="263">
        <v>1.9937539999999998</v>
      </c>
      <c r="P76" s="263">
        <v>2.7556389999999999</v>
      </c>
      <c r="Q76" s="263">
        <v>3.7731360000000005</v>
      </c>
      <c r="R76" s="263">
        <v>3.6289000000000002</v>
      </c>
      <c r="S76" s="263">
        <v>2.713117</v>
      </c>
      <c r="T76" s="263">
        <v>2.9592240000000003</v>
      </c>
      <c r="U76" s="263">
        <v>2.2857460000000001</v>
      </c>
      <c r="V76" s="263">
        <v>3.0986710000000004</v>
      </c>
      <c r="W76" s="263">
        <v>3.6242199999999998</v>
      </c>
      <c r="X76" s="263">
        <v>3.827134</v>
      </c>
      <c r="Y76" s="263">
        <v>3.3638070000000004</v>
      </c>
    </row>
    <row r="77" spans="1:25" ht="9.9499999999999993" customHeight="1">
      <c r="A77" s="138"/>
      <c r="B77" s="138"/>
      <c r="C77" s="141" t="s">
        <v>186</v>
      </c>
      <c r="D77" s="263">
        <v>0.55061000000000004</v>
      </c>
      <c r="E77" s="263">
        <v>0.62093000000000009</v>
      </c>
      <c r="F77" s="263">
        <v>0.45400000000000001</v>
      </c>
      <c r="G77" s="263">
        <v>0.35599999999999998</v>
      </c>
      <c r="H77" s="263">
        <v>0.3175</v>
      </c>
      <c r="I77" s="263">
        <v>0.20339999999999997</v>
      </c>
      <c r="J77" s="263">
        <v>0.58116999999999996</v>
      </c>
      <c r="K77" s="263">
        <v>0.13059000000000001</v>
      </c>
      <c r="L77" s="263">
        <v>9.6629999999999994E-2</v>
      </c>
      <c r="M77" s="263">
        <v>0.33928900000000001</v>
      </c>
      <c r="N77" s="263">
        <v>6.318E-2</v>
      </c>
      <c r="O77" s="263">
        <v>0.22876000000000002</v>
      </c>
      <c r="P77" s="263">
        <v>7.9899999999999999E-2</v>
      </c>
      <c r="Q77" s="263">
        <v>0.16440000000000002</v>
      </c>
      <c r="R77" s="263">
        <v>0.14615999999999998</v>
      </c>
      <c r="S77" s="263">
        <v>5.4450000000000005E-2</v>
      </c>
      <c r="T77" s="263">
        <v>3.4250000000000003E-2</v>
      </c>
      <c r="U77" s="263">
        <v>0.15594999999999998</v>
      </c>
      <c r="V77" s="263">
        <v>0.3992</v>
      </c>
      <c r="W77" s="263">
        <v>4.3118999999999998E-2</v>
      </c>
      <c r="X77" s="263">
        <v>1.4399999999999998E-2</v>
      </c>
      <c r="Y77" s="263">
        <v>0.11712</v>
      </c>
    </row>
    <row r="78" spans="1:25" ht="9.9499999999999993" customHeight="1">
      <c r="A78" s="138"/>
      <c r="B78" s="138"/>
      <c r="C78" s="141" t="s">
        <v>51</v>
      </c>
      <c r="D78" s="263">
        <v>12.3276</v>
      </c>
      <c r="E78" s="263">
        <v>13.047068999999999</v>
      </c>
      <c r="F78" s="263">
        <v>8.4879399999999983</v>
      </c>
      <c r="G78" s="263">
        <v>7.5751899999999992</v>
      </c>
      <c r="H78" s="263">
        <v>10.2614</v>
      </c>
      <c r="I78" s="263">
        <v>10.04495</v>
      </c>
      <c r="J78" s="263">
        <v>8.8887700000000009</v>
      </c>
      <c r="K78" s="263">
        <v>9.4702999999999999</v>
      </c>
      <c r="L78" s="263">
        <v>12.042</v>
      </c>
      <c r="M78" s="263">
        <v>10.2036</v>
      </c>
      <c r="N78" s="263">
        <v>11.410080000000001</v>
      </c>
      <c r="O78" s="263">
        <v>12.219899000000002</v>
      </c>
      <c r="P78" s="263">
        <v>12.228476000000001</v>
      </c>
      <c r="Q78" s="263">
        <v>13.195268999999998</v>
      </c>
      <c r="R78" s="263">
        <v>14.050655000000001</v>
      </c>
      <c r="S78" s="263">
        <v>12.888988999999999</v>
      </c>
      <c r="T78" s="263">
        <v>12.918309000000001</v>
      </c>
      <c r="U78" s="263">
        <v>11.499569000000001</v>
      </c>
      <c r="V78" s="263">
        <v>12.168727000000001</v>
      </c>
      <c r="W78" s="263">
        <v>10.4353</v>
      </c>
      <c r="X78" s="263">
        <v>12.41577</v>
      </c>
      <c r="Y78" s="263">
        <v>14.639149000000002</v>
      </c>
    </row>
    <row r="79" spans="1:25" ht="9.9499999999999993" customHeight="1">
      <c r="A79" s="138"/>
      <c r="B79" s="138"/>
      <c r="C79" s="141" t="s">
        <v>204</v>
      </c>
      <c r="D79" s="263">
        <v>5.9932799999999995</v>
      </c>
      <c r="E79" s="263">
        <v>4.7704579999999996</v>
      </c>
      <c r="F79" s="263">
        <v>4.8742999999999999</v>
      </c>
      <c r="G79" s="263">
        <v>2.6654599999999999</v>
      </c>
      <c r="H79" s="263">
        <v>1.9015599999999999</v>
      </c>
      <c r="I79" s="263">
        <v>7.4786599999999996</v>
      </c>
      <c r="J79" s="263">
        <v>8.7199599999999986</v>
      </c>
      <c r="K79" s="263">
        <v>9.8765699999999992</v>
      </c>
      <c r="L79" s="263">
        <v>13.46979</v>
      </c>
      <c r="M79" s="263">
        <v>16.967980000000001</v>
      </c>
      <c r="N79" s="263">
        <v>16.724700000000002</v>
      </c>
      <c r="O79" s="263">
        <v>16.748208999999999</v>
      </c>
      <c r="P79" s="263">
        <v>15.253329999999998</v>
      </c>
      <c r="Q79" s="263">
        <v>15.563708999999999</v>
      </c>
      <c r="R79" s="263">
        <v>15.071877000000001</v>
      </c>
      <c r="S79" s="263">
        <v>14.320409</v>
      </c>
      <c r="T79" s="263">
        <v>13.319378</v>
      </c>
      <c r="U79" s="263">
        <v>11.326601999999999</v>
      </c>
      <c r="V79" s="263">
        <v>19.029488999999998</v>
      </c>
      <c r="W79" s="263">
        <v>18.378130000000002</v>
      </c>
      <c r="X79" s="263">
        <v>19.132710999999997</v>
      </c>
      <c r="Y79" s="263">
        <v>17.965734000000001</v>
      </c>
    </row>
    <row r="80" spans="1:25" ht="9.9499999999999993" customHeight="1">
      <c r="A80" s="138"/>
      <c r="B80" s="138"/>
      <c r="C80" s="141" t="s">
        <v>205</v>
      </c>
      <c r="D80" s="263">
        <v>4.7029480000000001</v>
      </c>
      <c r="E80" s="263">
        <v>5.1868500000000006</v>
      </c>
      <c r="F80" s="263">
        <v>4.7111390000000002</v>
      </c>
      <c r="G80" s="263">
        <v>4.0514000000000001</v>
      </c>
      <c r="H80" s="263">
        <v>3.1953999999999998</v>
      </c>
      <c r="I80" s="263">
        <v>2.7762290000000003</v>
      </c>
      <c r="J80" s="263">
        <v>2.7364000000000002</v>
      </c>
      <c r="K80" s="263">
        <v>2.9813049999999999</v>
      </c>
      <c r="L80" s="263">
        <v>3.0751689999999998</v>
      </c>
      <c r="M80" s="263">
        <v>3.3398699999999999</v>
      </c>
      <c r="N80" s="263">
        <v>3.5741040000000002</v>
      </c>
      <c r="O80" s="263">
        <v>2.1699700000000002</v>
      </c>
      <c r="P80" s="263">
        <v>3.657219</v>
      </c>
      <c r="Q80" s="263">
        <v>3.9144600000000005</v>
      </c>
      <c r="R80" s="263">
        <v>3.2423190000000002</v>
      </c>
      <c r="S80" s="263">
        <v>2.963867</v>
      </c>
      <c r="T80" s="263">
        <v>2.2508569999999999</v>
      </c>
      <c r="U80" s="263">
        <v>2.5436199999999998</v>
      </c>
      <c r="V80" s="263">
        <v>2.5862750000000001</v>
      </c>
      <c r="W80" s="263">
        <v>2.7499339999999997</v>
      </c>
      <c r="X80" s="263">
        <v>2.4760020000000003</v>
      </c>
      <c r="Y80" s="263">
        <v>2.4268890000000001</v>
      </c>
    </row>
    <row r="81" spans="1:25" ht="9.9499999999999993" customHeight="1">
      <c r="A81" s="138"/>
      <c r="B81" s="138"/>
      <c r="C81" s="141" t="s">
        <v>206</v>
      </c>
      <c r="D81" s="263">
        <v>4.5247000000000002</v>
      </c>
      <c r="E81" s="263">
        <v>4.4758999999999993</v>
      </c>
      <c r="F81" s="263">
        <v>4.4729999999999999</v>
      </c>
      <c r="G81" s="263">
        <v>4.4850000000000003</v>
      </c>
      <c r="H81" s="263">
        <v>1.0069999999999999</v>
      </c>
      <c r="I81" s="263">
        <v>2.6459999999999999</v>
      </c>
      <c r="J81" s="263">
        <v>4.0069999999999997</v>
      </c>
      <c r="K81" s="263">
        <v>2.71915</v>
      </c>
      <c r="L81" s="263">
        <v>2.9221500000000002</v>
      </c>
      <c r="M81" s="263">
        <v>2.1504179999999997</v>
      </c>
      <c r="N81" s="263">
        <v>2.3339690000000002</v>
      </c>
      <c r="O81" s="263">
        <v>2.4044289999999999</v>
      </c>
      <c r="P81" s="263">
        <v>2.6506899999999995</v>
      </c>
      <c r="Q81" s="263">
        <v>3.60392</v>
      </c>
      <c r="R81" s="263">
        <v>3.1409090000000002</v>
      </c>
      <c r="S81" s="263">
        <v>3.0834119999999996</v>
      </c>
      <c r="T81" s="263">
        <v>2.63409</v>
      </c>
      <c r="U81" s="263">
        <v>1.8502400000000001</v>
      </c>
      <c r="V81" s="263">
        <v>0.76720999999999995</v>
      </c>
      <c r="W81" s="263">
        <v>1.267269</v>
      </c>
      <c r="X81" s="263">
        <v>1.285504</v>
      </c>
      <c r="Y81" s="263">
        <v>1.3217249999999998</v>
      </c>
    </row>
    <row r="82" spans="1:25" ht="9.9499999999999993" customHeight="1">
      <c r="A82" s="138"/>
      <c r="B82" s="140" t="s">
        <v>208</v>
      </c>
      <c r="C82" s="155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</row>
    <row r="83" spans="1:25" ht="9.9499999999999993" customHeight="1">
      <c r="A83" s="138"/>
      <c r="B83" s="138"/>
      <c r="C83" s="155" t="s">
        <v>299</v>
      </c>
      <c r="D83" s="263">
        <v>402.33056559386364</v>
      </c>
      <c r="E83" s="263">
        <v>411.52679190000003</v>
      </c>
      <c r="F83" s="263">
        <v>439.01342999999991</v>
      </c>
      <c r="G83" s="263">
        <v>467.22277053132819</v>
      </c>
      <c r="H83" s="263">
        <v>457.41017999999997</v>
      </c>
      <c r="I83" s="263">
        <v>511.74952824551974</v>
      </c>
      <c r="J83" s="263">
        <v>553.89962921775032</v>
      </c>
      <c r="K83" s="263">
        <v>617.00707341116538</v>
      </c>
      <c r="L83" s="263">
        <v>687.93546791822803</v>
      </c>
      <c r="M83" s="263">
        <v>765.97856160583092</v>
      </c>
      <c r="N83" s="263">
        <v>801.76547707327688</v>
      </c>
      <c r="O83" s="263">
        <v>895.00277736359817</v>
      </c>
      <c r="P83" s="263">
        <v>972.23653658747571</v>
      </c>
      <c r="Q83" s="263">
        <v>1001.3513308196171</v>
      </c>
      <c r="R83" s="263">
        <v>1054.0068316329116</v>
      </c>
      <c r="S83" s="263">
        <v>1141.5013959471796</v>
      </c>
      <c r="T83" s="263">
        <v>1218.6300359392899</v>
      </c>
      <c r="U83" s="263">
        <v>1251.2380471380466</v>
      </c>
      <c r="V83" s="263">
        <v>1352.9894098828352</v>
      </c>
      <c r="W83" s="263">
        <v>1416.7181663942777</v>
      </c>
      <c r="X83" s="263">
        <v>1403.4820756086394</v>
      </c>
      <c r="Y83" s="263">
        <v>1408.4462442350718</v>
      </c>
    </row>
    <row r="84" spans="1:25" ht="9.9499999999999993" customHeight="1">
      <c r="A84" s="152"/>
      <c r="B84" s="150"/>
      <c r="C84" s="156" t="s">
        <v>301</v>
      </c>
      <c r="D84" s="263">
        <v>55.692684999999997</v>
      </c>
      <c r="E84" s="263">
        <v>56.366532499999991</v>
      </c>
      <c r="F84" s="263">
        <v>55.374462649999998</v>
      </c>
      <c r="G84" s="263">
        <v>55.809721091375003</v>
      </c>
      <c r="H84" s="263">
        <v>59.521018073164413</v>
      </c>
      <c r="I84" s="263">
        <v>58.811586053751171</v>
      </c>
      <c r="J84" s="263">
        <v>59.706385902083333</v>
      </c>
      <c r="K84" s="263">
        <v>59.398534026196643</v>
      </c>
      <c r="L84" s="263">
        <v>58.403799554999999</v>
      </c>
      <c r="M84" s="263">
        <v>58.223569951282322</v>
      </c>
      <c r="N84" s="263">
        <v>59.000935532403446</v>
      </c>
      <c r="O84" s="263">
        <v>59.552492770216411</v>
      </c>
      <c r="P84" s="263">
        <v>61.613607040257762</v>
      </c>
      <c r="Q84" s="263">
        <v>60.87717250650001</v>
      </c>
      <c r="R84" s="263">
        <v>59.456588747941687</v>
      </c>
      <c r="S84" s="263">
        <v>56.956974330503662</v>
      </c>
      <c r="T84" s="263">
        <v>58.596301173046456</v>
      </c>
      <c r="U84" s="263">
        <v>57.542384318696442</v>
      </c>
      <c r="V84" s="263">
        <v>57.912850948169343</v>
      </c>
      <c r="W84" s="263">
        <v>57.974549464263568</v>
      </c>
      <c r="X84" s="263">
        <v>55.194487945302583</v>
      </c>
      <c r="Y84" s="263">
        <v>56.166080937241951</v>
      </c>
    </row>
    <row r="85" spans="1:25" ht="9.9499999999999993" customHeight="1">
      <c r="A85" s="138"/>
      <c r="B85" s="138"/>
      <c r="C85" s="155" t="s">
        <v>291</v>
      </c>
      <c r="D85" s="263">
        <v>81.056236000000013</v>
      </c>
      <c r="E85" s="263">
        <v>81.884017333333333</v>
      </c>
      <c r="F85" s="263">
        <v>81.277040440000007</v>
      </c>
      <c r="G85" s="263">
        <v>82.224260032483457</v>
      </c>
      <c r="H85" s="263">
        <v>85.949906042999984</v>
      </c>
      <c r="I85" s="263">
        <v>90.393353581232262</v>
      </c>
      <c r="J85" s="263">
        <v>94.757019076739994</v>
      </c>
      <c r="K85" s="263">
        <v>99.022841844888887</v>
      </c>
      <c r="L85" s="263">
        <v>99.217439483999982</v>
      </c>
      <c r="M85" s="263">
        <v>98.102173448299624</v>
      </c>
      <c r="N85" s="263">
        <v>100.24756273844005</v>
      </c>
      <c r="O85" s="263">
        <v>103.10357440883253</v>
      </c>
      <c r="P85" s="263">
        <v>107.0092121395698</v>
      </c>
      <c r="Q85" s="263">
        <v>111.87081898019999</v>
      </c>
      <c r="R85" s="263">
        <v>118.47856931626177</v>
      </c>
      <c r="S85" s="263">
        <v>125.99107359504897</v>
      </c>
      <c r="T85" s="263">
        <v>130.47896555699438</v>
      </c>
      <c r="U85" s="263">
        <v>139.25120867372578</v>
      </c>
      <c r="V85" s="263">
        <v>144.98213015170856</v>
      </c>
      <c r="W85" s="263">
        <v>152.29079433038621</v>
      </c>
      <c r="X85" s="263">
        <v>148.63783591805122</v>
      </c>
      <c r="Y85" s="263">
        <v>153.06389635258731</v>
      </c>
    </row>
    <row r="86" spans="1:25" ht="9.9499999999999993" customHeight="1">
      <c r="A86" s="138"/>
      <c r="B86" s="138"/>
      <c r="C86" s="155" t="s">
        <v>104</v>
      </c>
      <c r="D86" s="263">
        <v>173.09883921568627</v>
      </c>
      <c r="E86" s="263">
        <v>170.99422352941178</v>
      </c>
      <c r="F86" s="263">
        <v>178.64310966666662</v>
      </c>
      <c r="G86" s="263">
        <v>182.24354391336382</v>
      </c>
      <c r="H86" s="263">
        <v>187.62162671949207</v>
      </c>
      <c r="I86" s="263">
        <v>198.67891510192419</v>
      </c>
      <c r="J86" s="263">
        <v>213.31993837319706</v>
      </c>
      <c r="K86" s="263">
        <v>215.0271678849536</v>
      </c>
      <c r="L86" s="263">
        <v>216.96450138037429</v>
      </c>
      <c r="M86" s="263">
        <v>218.86704871768228</v>
      </c>
      <c r="N86" s="263">
        <v>227.94184234870431</v>
      </c>
      <c r="O86" s="263">
        <v>237.1725214348188</v>
      </c>
      <c r="P86" s="263">
        <v>248.61978721529701</v>
      </c>
      <c r="Q86" s="263">
        <v>254.65221308986949</v>
      </c>
      <c r="R86" s="263">
        <v>257.78226987841805</v>
      </c>
      <c r="S86" s="263">
        <v>257.99629396597805</v>
      </c>
      <c r="T86" s="263">
        <v>252.62363532480774</v>
      </c>
      <c r="U86" s="263">
        <v>250.08324108813889</v>
      </c>
      <c r="V86" s="263">
        <v>250.28482034763573</v>
      </c>
      <c r="W86" s="263">
        <v>254.81975647972092</v>
      </c>
      <c r="X86" s="263">
        <v>242.26858063536619</v>
      </c>
      <c r="Y86" s="263">
        <v>245.76497883653522</v>
      </c>
    </row>
    <row r="87" spans="1:25" ht="9.9499999999999993" customHeight="1">
      <c r="A87" s="138"/>
      <c r="B87" s="138"/>
      <c r="C87" s="155" t="s">
        <v>106</v>
      </c>
      <c r="D87" s="263">
        <v>10.389527499999998</v>
      </c>
      <c r="E87" s="263">
        <v>10.042957499999998</v>
      </c>
      <c r="F87" s="263">
        <v>9.6991232055630388</v>
      </c>
      <c r="G87" s="263">
        <v>10.578857074884207</v>
      </c>
      <c r="H87" s="263">
        <v>10.777360082456999</v>
      </c>
      <c r="I87" s="263">
        <v>11.050887373072648</v>
      </c>
      <c r="J87" s="263">
        <v>11.138446431555554</v>
      </c>
      <c r="K87" s="263">
        <v>11.320598004583283</v>
      </c>
      <c r="L87" s="263">
        <v>10.657133696666666</v>
      </c>
      <c r="M87" s="263">
        <v>10.300402140261717</v>
      </c>
      <c r="N87" s="263">
        <v>10.345894277470832</v>
      </c>
      <c r="O87" s="263">
        <v>10.578557061927638</v>
      </c>
      <c r="P87" s="263">
        <v>10.82645895726751</v>
      </c>
      <c r="Q87" s="263">
        <v>11.206722824726816</v>
      </c>
      <c r="R87" s="263">
        <v>10.692840504899731</v>
      </c>
      <c r="S87" s="263">
        <v>10.132940820193706</v>
      </c>
      <c r="T87" s="263">
        <v>9.9670899519239455</v>
      </c>
      <c r="U87" s="263">
        <v>9.1367861443236578</v>
      </c>
      <c r="V87" s="263">
        <v>8.2748508854086449</v>
      </c>
      <c r="W87" s="263">
        <v>8.646445005796938</v>
      </c>
      <c r="X87" s="263">
        <v>8.4145097052441802</v>
      </c>
      <c r="Y87" s="263">
        <v>8.3885218851469201</v>
      </c>
    </row>
    <row r="88" spans="1:25" ht="9.9499999999999993" customHeight="1">
      <c r="A88" s="138"/>
      <c r="B88" s="138"/>
      <c r="C88" s="155" t="s">
        <v>108</v>
      </c>
      <c r="D88" s="263">
        <v>12.262844444444443</v>
      </c>
      <c r="E88" s="263">
        <v>12.835477777777777</v>
      </c>
      <c r="F88" s="263">
        <v>13.612869111111111</v>
      </c>
      <c r="G88" s="263">
        <v>13.335823908988889</v>
      </c>
      <c r="H88" s="263">
        <v>13.558229434166668</v>
      </c>
      <c r="I88" s="263">
        <v>14.167324940194447</v>
      </c>
      <c r="J88" s="263">
        <v>14.589926015333333</v>
      </c>
      <c r="K88" s="263">
        <v>15.176048068472223</v>
      </c>
      <c r="L88" s="263">
        <v>15.262587174444443</v>
      </c>
      <c r="M88" s="263">
        <v>16.462214862222222</v>
      </c>
      <c r="N88" s="263">
        <v>17.222112265864197</v>
      </c>
      <c r="O88" s="263">
        <v>18.214107414999997</v>
      </c>
      <c r="P88" s="263">
        <v>19.132776122669551</v>
      </c>
      <c r="Q88" s="263">
        <v>19.438340235333332</v>
      </c>
      <c r="R88" s="263">
        <v>20.020276635555554</v>
      </c>
      <c r="S88" s="263">
        <v>18.886234335500003</v>
      </c>
      <c r="T88" s="263">
        <v>19.775573674972225</v>
      </c>
      <c r="U88" s="263">
        <v>20.390566579876545</v>
      </c>
      <c r="V88" s="263">
        <v>20.291066200641975</v>
      </c>
      <c r="W88" s="263">
        <v>20.187402903543212</v>
      </c>
      <c r="X88" s="263">
        <v>19.854913072455648</v>
      </c>
      <c r="Y88" s="263">
        <v>20.365825836453613</v>
      </c>
    </row>
    <row r="89" spans="1:25" ht="9.9499999999999993" customHeight="1">
      <c r="A89" s="138"/>
      <c r="B89" s="138"/>
      <c r="C89" s="155" t="s">
        <v>110</v>
      </c>
      <c r="D89" s="263">
        <v>5.1447777777777777</v>
      </c>
      <c r="E89" s="263">
        <v>5.128622222222222</v>
      </c>
      <c r="F89" s="263">
        <v>5.0357546666666675</v>
      </c>
      <c r="G89" s="263">
        <v>5.4777600537617781</v>
      </c>
      <c r="H89" s="263">
        <v>5.813736940000001</v>
      </c>
      <c r="I89" s="263">
        <v>6.0836865666666657</v>
      </c>
      <c r="J89" s="263">
        <v>6.0786843733333331</v>
      </c>
      <c r="K89" s="263">
        <v>6.4201015348148145</v>
      </c>
      <c r="L89" s="263">
        <v>6.1889124361728394</v>
      </c>
      <c r="M89" s="263">
        <v>6.5031547611111113</v>
      </c>
      <c r="N89" s="263">
        <v>6.3788708066666677</v>
      </c>
      <c r="O89" s="263">
        <v>6.5497055203555554</v>
      </c>
      <c r="P89" s="263">
        <v>6.8847823978968981</v>
      </c>
      <c r="Q89" s="263">
        <v>6.6180768455555565</v>
      </c>
      <c r="R89" s="263">
        <v>6.4588685999999997</v>
      </c>
      <c r="S89" s="263">
        <v>6.077082575555556</v>
      </c>
      <c r="T89" s="263">
        <v>6.2093263615555561</v>
      </c>
      <c r="U89" s="263">
        <v>6.2180169300000001</v>
      </c>
      <c r="V89" s="263">
        <v>6.2214872659555542</v>
      </c>
      <c r="W89" s="263">
        <v>5.9734489538497915</v>
      </c>
      <c r="X89" s="263">
        <v>5.8889821594444447</v>
      </c>
      <c r="Y89" s="263">
        <v>6.1341774265225091</v>
      </c>
    </row>
    <row r="90" spans="1:25" ht="9.9499999999999993" customHeight="1">
      <c r="A90" s="138"/>
      <c r="B90" s="138"/>
      <c r="C90" s="155" t="s">
        <v>132</v>
      </c>
      <c r="D90" s="263">
        <v>119.27859532541467</v>
      </c>
      <c r="E90" s="263">
        <v>124.16507255969947</v>
      </c>
      <c r="F90" s="263">
        <v>129.12536377871081</v>
      </c>
      <c r="G90" s="263">
        <v>128.18641968814865</v>
      </c>
      <c r="H90" s="263">
        <v>136.88941232735959</v>
      </c>
      <c r="I90" s="263">
        <v>135.43549860829685</v>
      </c>
      <c r="J90" s="263">
        <v>158.97047291876123</v>
      </c>
      <c r="K90" s="263">
        <v>173.08709833547528</v>
      </c>
      <c r="L90" s="263">
        <v>176.50643909339664</v>
      </c>
      <c r="M90" s="263">
        <v>177.49710143673144</v>
      </c>
      <c r="N90" s="263">
        <v>187.38126644362654</v>
      </c>
      <c r="O90" s="263">
        <v>210.77531909409595</v>
      </c>
      <c r="P90" s="263">
        <v>206.93135347342849</v>
      </c>
      <c r="Q90" s="263">
        <v>232.52684292693195</v>
      </c>
      <c r="R90" s="263">
        <v>236.58877477611875</v>
      </c>
      <c r="S90" s="263">
        <v>256.91261144895566</v>
      </c>
      <c r="T90" s="263">
        <v>265.19212809620234</v>
      </c>
      <c r="U90" s="263">
        <v>276.31714714715184</v>
      </c>
      <c r="V90" s="263">
        <v>293.06018643889712</v>
      </c>
      <c r="W90" s="263">
        <v>322.89881780334963</v>
      </c>
      <c r="X90" s="263">
        <v>329.0663540258214</v>
      </c>
      <c r="Y90" s="263">
        <v>333.37158052498893</v>
      </c>
    </row>
    <row r="91" spans="1:25" ht="9.9499999999999993" customHeight="1">
      <c r="A91" s="138"/>
      <c r="B91" s="138"/>
      <c r="C91" s="155" t="s">
        <v>133</v>
      </c>
      <c r="D91" s="263">
        <v>603.4733965357334</v>
      </c>
      <c r="E91" s="263">
        <v>671.67812996734597</v>
      </c>
      <c r="F91" s="263">
        <v>705.46856922016525</v>
      </c>
      <c r="G91" s="263">
        <v>748.06639127637197</v>
      </c>
      <c r="H91" s="263">
        <v>788.10320469640919</v>
      </c>
      <c r="I91" s="263">
        <v>842.32727951278605</v>
      </c>
      <c r="J91" s="263">
        <v>920.92252925331911</v>
      </c>
      <c r="K91" s="263">
        <v>990.44008135764045</v>
      </c>
      <c r="L91" s="263">
        <v>1069.9606860915205</v>
      </c>
      <c r="M91" s="263">
        <v>1134.8850690136899</v>
      </c>
      <c r="N91" s="263">
        <v>1156.8655861652494</v>
      </c>
      <c r="O91" s="263">
        <v>1210.4352717296906</v>
      </c>
      <c r="P91" s="263">
        <v>1236.8624817250004</v>
      </c>
      <c r="Q91" s="263">
        <v>1244.4410552286661</v>
      </c>
      <c r="R91" s="263">
        <v>1271.8601504698922</v>
      </c>
      <c r="S91" s="263">
        <v>1299.7798861795641</v>
      </c>
      <c r="T91" s="263">
        <v>1338.5492958372374</v>
      </c>
      <c r="U91" s="263">
        <v>1372.5315847796187</v>
      </c>
      <c r="V91" s="263">
        <v>1413.798305251948</v>
      </c>
      <c r="W91" s="263">
        <v>1450.5867839645468</v>
      </c>
      <c r="X91" s="263">
        <v>1459.3016358540981</v>
      </c>
      <c r="Y91" s="263">
        <v>1488.5650489804807</v>
      </c>
    </row>
    <row r="92" spans="1:25" ht="9.9499999999999993" customHeight="1">
      <c r="A92" s="138"/>
      <c r="B92" s="138"/>
      <c r="C92" s="155" t="s">
        <v>134</v>
      </c>
      <c r="D92" s="263">
        <v>1.5110699999999999</v>
      </c>
      <c r="E92" s="263">
        <v>1.7467799999999998</v>
      </c>
      <c r="F92" s="263">
        <v>1.5539679110330959</v>
      </c>
      <c r="G92" s="263">
        <v>1.573108376065</v>
      </c>
      <c r="H92" s="263">
        <v>1.4868561580000001</v>
      </c>
      <c r="I92" s="263">
        <v>1.4987686238333331</v>
      </c>
      <c r="J92" s="263">
        <v>1.4581403485000002</v>
      </c>
      <c r="K92" s="263">
        <v>1.65022449</v>
      </c>
      <c r="L92" s="263">
        <v>1.8448254195154801</v>
      </c>
      <c r="M92" s="263">
        <v>2.0719944678040001</v>
      </c>
      <c r="N92" s="263">
        <v>1.9832623567999998</v>
      </c>
      <c r="O92" s="263">
        <v>2.1206969448800002</v>
      </c>
      <c r="P92" s="263">
        <v>2.0910119549999999</v>
      </c>
      <c r="Q92" s="263">
        <v>1.7305611224102713</v>
      </c>
      <c r="R92" s="263">
        <v>1.6643955494480001</v>
      </c>
      <c r="S92" s="263">
        <v>1.6158900654656694</v>
      </c>
      <c r="T92" s="263">
        <v>1.629430257705494</v>
      </c>
      <c r="U92" s="263">
        <v>1.7868017432359451</v>
      </c>
      <c r="V92" s="263">
        <v>1.8579364751027891</v>
      </c>
      <c r="W92" s="263">
        <v>1.8203341436019997</v>
      </c>
      <c r="X92" s="263">
        <v>1.7259831547999998</v>
      </c>
      <c r="Y92" s="263">
        <v>1.7185217981599998</v>
      </c>
    </row>
    <row r="93" spans="1:25" ht="9.9499999999999993" customHeight="1">
      <c r="A93" s="138"/>
      <c r="B93" s="138"/>
      <c r="C93" s="155" t="s">
        <v>135</v>
      </c>
      <c r="D93" s="263">
        <v>0.35120000000000001</v>
      </c>
      <c r="E93" s="263">
        <v>0.39857099999999995</v>
      </c>
      <c r="F93" s="263">
        <v>0.33840700000000001</v>
      </c>
      <c r="G93" s="263">
        <v>0.33145142</v>
      </c>
      <c r="H93" s="263">
        <v>0.29850054100000001</v>
      </c>
      <c r="I93" s="263">
        <v>0.26782082500000004</v>
      </c>
      <c r="J93" s="263">
        <v>0.250199852</v>
      </c>
      <c r="K93" s="263">
        <v>0.32052610633983736</v>
      </c>
      <c r="L93" s="263">
        <v>0.33877095165212001</v>
      </c>
      <c r="M93" s="263">
        <v>0.34845901974000004</v>
      </c>
      <c r="N93" s="263">
        <v>0.31652486971140004</v>
      </c>
      <c r="O93" s="263">
        <v>0.32175370399999997</v>
      </c>
      <c r="P93" s="263">
        <v>0.33229995180000005</v>
      </c>
      <c r="Q93" s="263">
        <v>0.31482559451499992</v>
      </c>
      <c r="R93" s="263">
        <v>0.32571211159999996</v>
      </c>
      <c r="S93" s="263">
        <v>0.25357502508000002</v>
      </c>
      <c r="T93" s="263">
        <v>0.26587635160160006</v>
      </c>
      <c r="U93" s="263">
        <v>0.29143060920000002</v>
      </c>
      <c r="V93" s="263">
        <v>0.26944340689599999</v>
      </c>
      <c r="W93" s="263">
        <v>0.26229092537600002</v>
      </c>
      <c r="X93" s="263">
        <v>0.27047861219999997</v>
      </c>
      <c r="Y93" s="263">
        <v>0.27614934347809517</v>
      </c>
    </row>
    <row r="94" spans="1:25" ht="9.9499999999999993" customHeight="1">
      <c r="A94" s="143"/>
      <c r="B94" s="143"/>
      <c r="C94" s="143" t="s">
        <v>196</v>
      </c>
      <c r="D94" s="267">
        <v>10.351726000000001</v>
      </c>
      <c r="E94" s="267">
        <v>10.856749000000001</v>
      </c>
      <c r="F94" s="267">
        <v>9.9047724000000024</v>
      </c>
      <c r="G94" s="267">
        <v>9.9534489526880012</v>
      </c>
      <c r="H94" s="267">
        <v>9.7619403600000005</v>
      </c>
      <c r="I94" s="267">
        <v>9.4821157870178414</v>
      </c>
      <c r="J94" s="267">
        <v>8.9968476124000016</v>
      </c>
      <c r="K94" s="267">
        <v>9.3685779960999991</v>
      </c>
      <c r="L94" s="267">
        <v>8.6949074308782848</v>
      </c>
      <c r="M94" s="267">
        <v>8.7669655416039998</v>
      </c>
      <c r="N94" s="267">
        <v>8.7297181346510691</v>
      </c>
      <c r="O94" s="267">
        <v>8.6599543318711696</v>
      </c>
      <c r="P94" s="267">
        <v>9.1728738543631305</v>
      </c>
      <c r="Q94" s="267">
        <v>8.6653598896349315</v>
      </c>
      <c r="R94" s="267">
        <v>8.0009826369022772</v>
      </c>
      <c r="S94" s="267">
        <v>7.0901882100512799</v>
      </c>
      <c r="T94" s="267">
        <v>7.5661858110081015</v>
      </c>
      <c r="U94" s="267">
        <v>6.8870546303837425</v>
      </c>
      <c r="V94" s="267">
        <v>6.8705503712950682</v>
      </c>
      <c r="W94" s="267">
        <v>6.578418348538511</v>
      </c>
      <c r="X94" s="267">
        <v>6.3291711318688879</v>
      </c>
      <c r="Y94" s="267">
        <v>6.7622051968091501</v>
      </c>
    </row>
    <row r="95" spans="1:25" ht="9" customHeight="1">
      <c r="A95" s="132" t="s">
        <v>100</v>
      </c>
      <c r="B95" s="207"/>
      <c r="C95" s="206"/>
      <c r="D95" s="133"/>
      <c r="E95" s="133"/>
      <c r="F95" s="1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9" customHeight="1">
      <c r="A96" s="206" t="s">
        <v>348</v>
      </c>
      <c r="B96" s="207"/>
      <c r="C96" s="206"/>
      <c r="D96" s="133"/>
      <c r="E96" s="133"/>
      <c r="F96" s="1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101" spans="4:25" ht="17.25" customHeight="1"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W205"/>
  <sheetViews>
    <sheetView showGridLines="0" zoomScaleNormal="100" workbookViewId="0">
      <selection activeCell="C1" sqref="C1"/>
    </sheetView>
  </sheetViews>
  <sheetFormatPr baseColWidth="10" defaultColWidth="6.42578125" defaultRowHeight="17.25" customHeight="1"/>
  <cols>
    <col min="1" max="1" width="1.28515625" style="204" customWidth="1"/>
    <col min="2" max="2" width="14.42578125" style="204" customWidth="1"/>
    <col min="3" max="14" width="5.7109375" style="204" customWidth="1"/>
    <col min="15" max="15" width="6.42578125" style="204" customWidth="1"/>
    <col min="16" max="22" width="5.7109375" style="204" customWidth="1"/>
    <col min="23" max="23" width="6.42578125" style="204" customWidth="1"/>
    <col min="24" max="214" width="6.42578125" style="204"/>
    <col min="215" max="215" width="1.42578125" style="204" customWidth="1"/>
    <col min="216" max="216" width="1.28515625" style="204" customWidth="1"/>
    <col min="217" max="217" width="14" style="204" customWidth="1"/>
    <col min="218" max="227" width="0" style="204" hidden="1" customWidth="1"/>
    <col min="228" max="228" width="8.28515625" style="204" customWidth="1"/>
    <col min="229" max="229" width="8" style="204" customWidth="1"/>
    <col min="230" max="236" width="8.28515625" style="204" customWidth="1"/>
    <col min="237" max="237" width="8.7109375" style="204" customWidth="1"/>
    <col min="238" max="246" width="8.42578125" style="204" customWidth="1"/>
    <col min="247" max="16384" width="6.42578125" style="204"/>
  </cols>
  <sheetData>
    <row r="1" spans="1:23" s="203" customFormat="1" ht="16.5" customHeight="1">
      <c r="A1" s="15" t="s">
        <v>434</v>
      </c>
      <c r="B1" s="204"/>
      <c r="C1" s="488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 s="203" customFormat="1" ht="3.95" customHeight="1">
      <c r="A2" s="278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</row>
    <row r="3" spans="1:23" s="203" customFormat="1" ht="19.5" customHeight="1">
      <c r="A3" s="516" t="s">
        <v>230</v>
      </c>
      <c r="B3" s="517"/>
      <c r="C3" s="370" t="s">
        <v>304</v>
      </c>
      <c r="D3" s="370" t="s">
        <v>305</v>
      </c>
      <c r="E3" s="370" t="s">
        <v>306</v>
      </c>
      <c r="F3" s="370" t="s">
        <v>307</v>
      </c>
      <c r="G3" s="370" t="s">
        <v>308</v>
      </c>
      <c r="H3" s="370" t="s">
        <v>309</v>
      </c>
      <c r="I3" s="370" t="s">
        <v>213</v>
      </c>
      <c r="J3" s="370" t="s">
        <v>214</v>
      </c>
      <c r="K3" s="370" t="s">
        <v>215</v>
      </c>
      <c r="L3" s="370" t="s">
        <v>216</v>
      </c>
      <c r="M3" s="370" t="s">
        <v>217</v>
      </c>
      <c r="N3" s="370" t="s">
        <v>218</v>
      </c>
      <c r="O3" s="370" t="s">
        <v>219</v>
      </c>
      <c r="P3" s="370" t="s">
        <v>220</v>
      </c>
      <c r="Q3" s="370" t="s">
        <v>221</v>
      </c>
      <c r="R3" s="370" t="s">
        <v>222</v>
      </c>
      <c r="S3" s="370" t="s">
        <v>450</v>
      </c>
      <c r="T3" s="370" t="s">
        <v>451</v>
      </c>
      <c r="U3" s="370" t="s">
        <v>452</v>
      </c>
      <c r="V3" s="370" t="s">
        <v>453</v>
      </c>
      <c r="W3" s="370" t="s">
        <v>454</v>
      </c>
    </row>
    <row r="4" spans="1:23" s="203" customFormat="1" ht="14.1" customHeight="1">
      <c r="A4" s="518" t="s">
        <v>93</v>
      </c>
      <c r="B4" s="519"/>
      <c r="C4" s="388">
        <v>0.79659035028027958</v>
      </c>
      <c r="D4" s="388">
        <v>5.7743749675597256</v>
      </c>
      <c r="E4" s="388">
        <v>2.4356381101371394</v>
      </c>
      <c r="F4" s="388">
        <v>-1.1956707924089649</v>
      </c>
      <c r="G4" s="388">
        <v>7.5485462583195329</v>
      </c>
      <c r="H4" s="388">
        <v>6.9235351175023441</v>
      </c>
      <c r="I4" s="388">
        <v>1.9735848164023739</v>
      </c>
      <c r="J4" s="388">
        <v>8.5827355699238836</v>
      </c>
      <c r="K4" s="388">
        <v>2.7971955970039541</v>
      </c>
      <c r="L4" s="388">
        <v>2.8738197463654913</v>
      </c>
      <c r="M4" s="388">
        <v>6.1014549477358182</v>
      </c>
      <c r="N4" s="388">
        <v>5.8530693799802247</v>
      </c>
      <c r="O4" s="388">
        <v>1.582705366802406</v>
      </c>
      <c r="P4" s="388">
        <v>1.5210203848614823</v>
      </c>
      <c r="Q4" s="388">
        <v>3.6935066063457977</v>
      </c>
      <c r="R4" s="388">
        <v>1.6345362988452683</v>
      </c>
      <c r="S4" s="388">
        <v>2.1624928643636299</v>
      </c>
      <c r="T4" s="388">
        <v>8.6364579068237024</v>
      </c>
      <c r="U4" s="388">
        <v>2.9092620911716605</v>
      </c>
      <c r="V4" s="388">
        <v>1.4162972022260911</v>
      </c>
      <c r="W4" s="388">
        <v>1.858384320919626</v>
      </c>
    </row>
    <row r="5" spans="1:23" s="203" customFormat="1" ht="14.1" customHeight="1">
      <c r="A5" s="161" t="s">
        <v>82</v>
      </c>
      <c r="B5" s="373"/>
      <c r="C5" s="389">
        <v>-0.1176391237985297</v>
      </c>
      <c r="D5" s="389">
        <v>6.4822416151656848</v>
      </c>
      <c r="E5" s="389">
        <v>1.8042935854338804</v>
      </c>
      <c r="F5" s="389">
        <v>-2.5459451686219103</v>
      </c>
      <c r="G5" s="389">
        <v>7.811084952119729</v>
      </c>
      <c r="H5" s="389">
        <v>6.4227288652788594</v>
      </c>
      <c r="I5" s="389">
        <v>-0.51186248168125781</v>
      </c>
      <c r="J5" s="389">
        <v>9.7608695021590197</v>
      </c>
      <c r="K5" s="389">
        <v>1.0804730001249041</v>
      </c>
      <c r="L5" s="389">
        <v>2.3810883771377744</v>
      </c>
      <c r="M5" s="389">
        <v>4.9828035510384172</v>
      </c>
      <c r="N5" s="389">
        <v>6.0397897391559985</v>
      </c>
      <c r="O5" s="389">
        <v>0.76493054938180371</v>
      </c>
      <c r="P5" s="389">
        <v>0.46289929296154941</v>
      </c>
      <c r="Q5" s="389">
        <v>2.8144553958099783</v>
      </c>
      <c r="R5" s="389">
        <v>7.4457056033727653E-2</v>
      </c>
      <c r="S5" s="389">
        <v>2.0558487759401167</v>
      </c>
      <c r="T5" s="389">
        <v>10.528917581762265</v>
      </c>
      <c r="U5" s="389">
        <v>2.0732273212852759</v>
      </c>
      <c r="V5" s="389">
        <v>2.9352634507029851</v>
      </c>
      <c r="W5" s="389">
        <v>2.3341117788772792</v>
      </c>
    </row>
    <row r="6" spans="1:23" s="203" customFormat="1" ht="9.9499999999999993" customHeight="1">
      <c r="A6" s="124"/>
      <c r="B6" s="141" t="s">
        <v>277</v>
      </c>
      <c r="C6" s="273">
        <v>9.828239811893912</v>
      </c>
      <c r="D6" s="273">
        <v>4.9268519228452323</v>
      </c>
      <c r="E6" s="273">
        <v>-0.54980968838110877</v>
      </c>
      <c r="F6" s="273">
        <v>-18.366740740999543</v>
      </c>
      <c r="G6" s="273">
        <v>36.50011297454072</v>
      </c>
      <c r="H6" s="273">
        <v>-3.5506543544779223</v>
      </c>
      <c r="I6" s="273">
        <v>0.5524460509658935</v>
      </c>
      <c r="J6" s="273">
        <v>10.636466113476594</v>
      </c>
      <c r="K6" s="273">
        <v>10.323793516626377</v>
      </c>
      <c r="L6" s="273">
        <v>-5.0143846698414096</v>
      </c>
      <c r="M6" s="273">
        <v>-7.1844559908863959</v>
      </c>
      <c r="N6" s="273">
        <v>15.104286411072977</v>
      </c>
      <c r="O6" s="273">
        <v>2.7144532846709257</v>
      </c>
      <c r="P6" s="273">
        <v>-7.7051203610368884</v>
      </c>
      <c r="Q6" s="273">
        <v>10.058748814034102</v>
      </c>
      <c r="R6" s="273">
        <v>-2.5199171455692615</v>
      </c>
      <c r="S6" s="273">
        <v>-5.031764007612205</v>
      </c>
      <c r="T6" s="273">
        <v>19.392193158353411</v>
      </c>
      <c r="U6" s="273">
        <v>-11.106478927581055</v>
      </c>
      <c r="V6" s="273">
        <v>10.400132419223684</v>
      </c>
      <c r="W6" s="273">
        <v>-0.88687786198671237</v>
      </c>
    </row>
    <row r="7" spans="1:23" s="203" customFormat="1" ht="9.9499999999999993" customHeight="1">
      <c r="A7" s="158"/>
      <c r="B7" s="141" t="s">
        <v>278</v>
      </c>
      <c r="C7" s="273">
        <v>-21.864222810088705</v>
      </c>
      <c r="D7" s="273">
        <v>22.215014487614049</v>
      </c>
      <c r="E7" s="273">
        <v>-1.1069676698920672</v>
      </c>
      <c r="F7" s="273">
        <v>-9.0710188216664989</v>
      </c>
      <c r="G7" s="273">
        <v>13.016876192302117</v>
      </c>
      <c r="H7" s="273">
        <v>-3.7989626026672885</v>
      </c>
      <c r="I7" s="273">
        <v>1.1609092348368488</v>
      </c>
      <c r="J7" s="273">
        <v>8.4122202920296587</v>
      </c>
      <c r="K7" s="273">
        <v>5.5482279730642459</v>
      </c>
      <c r="L7" s="273">
        <v>-1.8658975253564081</v>
      </c>
      <c r="M7" s="273">
        <v>9.1261703694385012</v>
      </c>
      <c r="N7" s="273">
        <v>11.687899460294716</v>
      </c>
      <c r="O7" s="273">
        <v>0.83248729408282873</v>
      </c>
      <c r="P7" s="273">
        <v>2.9486285688471003</v>
      </c>
      <c r="Q7" s="273">
        <v>3.0991667655352328</v>
      </c>
      <c r="R7" s="273">
        <v>-4.7973425917594126</v>
      </c>
      <c r="S7" s="273">
        <v>4.2249582613348435</v>
      </c>
      <c r="T7" s="273">
        <v>10.728050391756927</v>
      </c>
      <c r="U7" s="273">
        <v>4.5508305275673955</v>
      </c>
      <c r="V7" s="273">
        <v>1.4225840420718949</v>
      </c>
      <c r="W7" s="273">
        <v>3.9208077396629237</v>
      </c>
    </row>
    <row r="8" spans="1:23" s="203" customFormat="1" ht="9.9499999999999993" customHeight="1">
      <c r="A8" s="159"/>
      <c r="B8" s="141" t="s">
        <v>84</v>
      </c>
      <c r="C8" s="273">
        <v>2.4708786739925825</v>
      </c>
      <c r="D8" s="273">
        <v>8.8137870456744594</v>
      </c>
      <c r="E8" s="273">
        <v>-4.9970511970511495</v>
      </c>
      <c r="F8" s="273">
        <v>14.490894904089258</v>
      </c>
      <c r="G8" s="273">
        <v>-19.187234236422345</v>
      </c>
      <c r="H8" s="273">
        <v>44.426294865840241</v>
      </c>
      <c r="I8" s="273">
        <v>-19.120489395017547</v>
      </c>
      <c r="J8" s="273">
        <v>25.108655391184431</v>
      </c>
      <c r="K8" s="273">
        <v>-7.0958876118345504</v>
      </c>
      <c r="L8" s="273">
        <v>9.0414587570593064</v>
      </c>
      <c r="M8" s="273">
        <v>18.517714121165607</v>
      </c>
      <c r="N8" s="273">
        <v>-4.2838218593180049</v>
      </c>
      <c r="O8" s="273">
        <v>-18.863782806437445</v>
      </c>
      <c r="P8" s="273">
        <v>-13.847931176000206</v>
      </c>
      <c r="Q8" s="273">
        <v>16.293276095431075</v>
      </c>
      <c r="R8" s="273">
        <v>8.5915004248962248</v>
      </c>
      <c r="S8" s="273">
        <v>19.488258702011628</v>
      </c>
      <c r="T8" s="273">
        <v>9.6995808496167299</v>
      </c>
      <c r="U8" s="273">
        <v>-2.0796942542469776</v>
      </c>
      <c r="V8" s="273">
        <v>4.0550235969192716</v>
      </c>
      <c r="W8" s="273">
        <v>0.60413478449126146</v>
      </c>
    </row>
    <row r="9" spans="1:23" s="203" customFormat="1" ht="9.9499999999999993" customHeight="1">
      <c r="A9" s="159"/>
      <c r="B9" s="141" t="s">
        <v>279</v>
      </c>
      <c r="C9" s="273">
        <v>16.614264187563332</v>
      </c>
      <c r="D9" s="273">
        <v>-1.6788552384605637E-2</v>
      </c>
      <c r="E9" s="273">
        <v>6.6863938218450603</v>
      </c>
      <c r="F9" s="273">
        <v>3.4916147613161419</v>
      </c>
      <c r="G9" s="273">
        <v>0.17981421504640327</v>
      </c>
      <c r="H9" s="273">
        <v>20.597365656649401</v>
      </c>
      <c r="I9" s="273">
        <v>10.53878804937376</v>
      </c>
      <c r="J9" s="273">
        <v>27.625566028905403</v>
      </c>
      <c r="K9" s="273">
        <v>-9.5592158242497121</v>
      </c>
      <c r="L9" s="273">
        <v>4.2928102942471957</v>
      </c>
      <c r="M9" s="273">
        <v>20.924323605944672</v>
      </c>
      <c r="N9" s="273">
        <v>-8.2534386296128748</v>
      </c>
      <c r="O9" s="273">
        <v>-0.3454222403236451</v>
      </c>
      <c r="P9" s="273">
        <v>5.2426631487315856</v>
      </c>
      <c r="Q9" s="273">
        <v>3.6211546167051578</v>
      </c>
      <c r="R9" s="273">
        <v>4.1579789009897228</v>
      </c>
      <c r="S9" s="273">
        <v>0.61525516698788252</v>
      </c>
      <c r="T9" s="273">
        <v>-5.7920593927912378</v>
      </c>
      <c r="U9" s="273">
        <v>1.8830637857525589</v>
      </c>
      <c r="V9" s="273">
        <v>6.2489244461971127</v>
      </c>
      <c r="W9" s="273">
        <v>-6.2675478851849098</v>
      </c>
    </row>
    <row r="10" spans="1:23" s="203" customFormat="1" ht="9.9499999999999993" customHeight="1">
      <c r="A10" s="159"/>
      <c r="B10" s="141" t="s">
        <v>225</v>
      </c>
      <c r="C10" s="273">
        <v>16.81594753284983</v>
      </c>
      <c r="D10" s="273">
        <v>-4.3709095315121793</v>
      </c>
      <c r="E10" s="273">
        <v>18.020111229439848</v>
      </c>
      <c r="F10" s="273">
        <v>-13.885268676307438</v>
      </c>
      <c r="G10" s="273">
        <v>1.0702438497478095</v>
      </c>
      <c r="H10" s="273">
        <v>-1.033186376879347</v>
      </c>
      <c r="I10" s="273">
        <v>5.2451904037420283</v>
      </c>
      <c r="J10" s="273">
        <v>10.338043268465702</v>
      </c>
      <c r="K10" s="273">
        <v>9.3207824824219401</v>
      </c>
      <c r="L10" s="273">
        <v>-3.728746752234835</v>
      </c>
      <c r="M10" s="273">
        <v>-7.9595675461280324</v>
      </c>
      <c r="N10" s="273">
        <v>14.658807258761119</v>
      </c>
      <c r="O10" s="273">
        <v>-0.74875638800223632</v>
      </c>
      <c r="P10" s="273">
        <v>-6.6073637262300977</v>
      </c>
      <c r="Q10" s="273">
        <v>9.1809680919528134</v>
      </c>
      <c r="R10" s="273">
        <v>-6.9689978271300523</v>
      </c>
      <c r="S10" s="273">
        <v>-2.2314739865420874</v>
      </c>
      <c r="T10" s="273">
        <v>5.0435185572393015</v>
      </c>
      <c r="U10" s="273">
        <v>0.44618989532307918</v>
      </c>
      <c r="V10" s="273">
        <v>-11.531487645886074</v>
      </c>
      <c r="W10" s="273">
        <v>13.809150724667685</v>
      </c>
    </row>
    <row r="11" spans="1:23" s="203" customFormat="1" ht="9.9499999999999993" customHeight="1">
      <c r="A11" s="159"/>
      <c r="B11" s="141" t="s">
        <v>280</v>
      </c>
      <c r="C11" s="273">
        <v>0.92649968023672535</v>
      </c>
      <c r="D11" s="273">
        <v>-0.40021898864230909</v>
      </c>
      <c r="E11" s="273">
        <v>4.2508911388779769</v>
      </c>
      <c r="F11" s="273">
        <v>-0.61692555050844033</v>
      </c>
      <c r="G11" s="273">
        <v>2.1417008437766283</v>
      </c>
      <c r="H11" s="273">
        <v>-3.0909891917960453</v>
      </c>
      <c r="I11" s="273">
        <v>3.4591167382657773</v>
      </c>
      <c r="J11" s="273">
        <v>0.82228973221878388</v>
      </c>
      <c r="K11" s="273">
        <v>5.6538989588427846</v>
      </c>
      <c r="L11" s="273">
        <v>3.5076475624748804</v>
      </c>
      <c r="M11" s="273">
        <v>3.6901451613531311</v>
      </c>
      <c r="N11" s="273">
        <v>3.7779361492519703</v>
      </c>
      <c r="O11" s="273">
        <v>5.9466675060907637</v>
      </c>
      <c r="P11" s="273">
        <v>-4.3303844394375961</v>
      </c>
      <c r="Q11" s="273">
        <v>3.9920763512746094</v>
      </c>
      <c r="R11" s="273">
        <v>-1.5232524701486283</v>
      </c>
      <c r="S11" s="273">
        <v>-0.22536702757601779</v>
      </c>
      <c r="T11" s="273">
        <v>0.43207754371243912</v>
      </c>
      <c r="U11" s="273">
        <v>4.4189585885958227</v>
      </c>
      <c r="V11" s="273">
        <v>4.8995511655710811</v>
      </c>
      <c r="W11" s="273">
        <v>0.44260013978585366</v>
      </c>
    </row>
    <row r="12" spans="1:23" s="203" customFormat="1" ht="9.9499999999999993" customHeight="1">
      <c r="A12" s="159"/>
      <c r="B12" s="141" t="s">
        <v>281</v>
      </c>
      <c r="C12" s="273">
        <v>8.1847162174462085</v>
      </c>
      <c r="D12" s="273">
        <v>-1.0000417415209739</v>
      </c>
      <c r="E12" s="273">
        <v>4.8758079538330001</v>
      </c>
      <c r="F12" s="273">
        <v>3.3013661722201881</v>
      </c>
      <c r="G12" s="273">
        <v>1.6169365802216618</v>
      </c>
      <c r="H12" s="273">
        <v>4.317057855597306</v>
      </c>
      <c r="I12" s="273">
        <v>3.9823136113177116</v>
      </c>
      <c r="J12" s="273">
        <v>-3.5743745918556558</v>
      </c>
      <c r="K12" s="273">
        <v>3.9121208246753136</v>
      </c>
      <c r="L12" s="273">
        <v>6.3250365426167576</v>
      </c>
      <c r="M12" s="273">
        <v>-0.64673341980650001</v>
      </c>
      <c r="N12" s="273">
        <v>5.891222255232087</v>
      </c>
      <c r="O12" s="273">
        <v>1.7721583794398699</v>
      </c>
      <c r="P12" s="273">
        <v>0.43132522499125248</v>
      </c>
      <c r="Q12" s="273">
        <v>-3.0328993794076831</v>
      </c>
      <c r="R12" s="273">
        <v>-0.4909384881737866</v>
      </c>
      <c r="S12" s="273">
        <v>-5.0975570850101404</v>
      </c>
      <c r="T12" s="273">
        <v>11.703108077532409</v>
      </c>
      <c r="U12" s="273">
        <v>3.8935280876985834</v>
      </c>
      <c r="V12" s="273">
        <v>1.5516619263936438</v>
      </c>
      <c r="W12" s="273">
        <v>-0.54492831472343628</v>
      </c>
    </row>
    <row r="13" spans="1:23" s="203" customFormat="1" ht="9.9499999999999993" customHeight="1">
      <c r="A13" s="159"/>
      <c r="B13" s="141" t="s">
        <v>282</v>
      </c>
      <c r="C13" s="273">
        <v>-6.416668496073008</v>
      </c>
      <c r="D13" s="273">
        <v>-0.30092746941333681</v>
      </c>
      <c r="E13" s="273">
        <v>-5.9735184589765229</v>
      </c>
      <c r="F13" s="273">
        <v>38.331552790222823</v>
      </c>
      <c r="G13" s="273">
        <v>11.756787499559973</v>
      </c>
      <c r="H13" s="273">
        <v>2.002288290911225</v>
      </c>
      <c r="I13" s="273">
        <v>2.2823771780878133</v>
      </c>
      <c r="J13" s="273">
        <v>-21.554326462933993</v>
      </c>
      <c r="K13" s="273">
        <v>-42.058256280967839</v>
      </c>
      <c r="L13" s="273">
        <v>-33.044389236654418</v>
      </c>
      <c r="M13" s="273">
        <v>80.624883624227621</v>
      </c>
      <c r="N13" s="273">
        <v>-4.8190776890298608</v>
      </c>
      <c r="O13" s="273">
        <v>-24.245931793300901</v>
      </c>
      <c r="P13" s="273">
        <v>12.547512662391803</v>
      </c>
      <c r="Q13" s="273">
        <v>-22.945430016951505</v>
      </c>
      <c r="R13" s="273">
        <v>-36.555491783391716</v>
      </c>
      <c r="S13" s="273">
        <v>-51.945043013291858</v>
      </c>
      <c r="T13" s="273">
        <v>74.442297617996431</v>
      </c>
      <c r="U13" s="273">
        <v>25.398783263676528</v>
      </c>
      <c r="V13" s="273">
        <v>-64.4583423307961</v>
      </c>
      <c r="W13" s="273">
        <v>-38.043778585536138</v>
      </c>
    </row>
    <row r="14" spans="1:23" s="203" customFormat="1" ht="9.9499999999999993" customHeight="1">
      <c r="A14" s="159"/>
      <c r="B14" s="141" t="s">
        <v>283</v>
      </c>
      <c r="C14" s="273">
        <v>1.3980975959881015</v>
      </c>
      <c r="D14" s="273">
        <v>19.164451185430774</v>
      </c>
      <c r="E14" s="273">
        <v>7.503518046736346</v>
      </c>
      <c r="F14" s="273">
        <v>-20.590040697149391</v>
      </c>
      <c r="G14" s="273">
        <v>-16.424339458536707</v>
      </c>
      <c r="H14" s="273">
        <v>13.647781793179448</v>
      </c>
      <c r="I14" s="273">
        <v>16.401119156270873</v>
      </c>
      <c r="J14" s="273">
        <v>14.798120789521363</v>
      </c>
      <c r="K14" s="273">
        <v>8.9434327845014714</v>
      </c>
      <c r="L14" s="273">
        <v>-0.99761960047662912</v>
      </c>
      <c r="M14" s="273">
        <v>-0.99168745206603681</v>
      </c>
      <c r="N14" s="273">
        <v>1.5592005704704537</v>
      </c>
      <c r="O14" s="273">
        <v>8.9976482474722452</v>
      </c>
      <c r="P14" s="273">
        <v>5.3095723171174614</v>
      </c>
      <c r="Q14" s="273">
        <v>-12.7395536821716</v>
      </c>
      <c r="R14" s="273">
        <v>-3.291147201799216</v>
      </c>
      <c r="S14" s="273">
        <v>-9.1934296344164839</v>
      </c>
      <c r="T14" s="273">
        <v>10.837624067606644</v>
      </c>
      <c r="U14" s="273">
        <v>12.827851525768242</v>
      </c>
      <c r="V14" s="273">
        <v>-6.1334196148921105</v>
      </c>
      <c r="W14" s="273">
        <v>-7.0608743144023434</v>
      </c>
    </row>
    <row r="15" spans="1:23" s="203" customFormat="1" ht="9.9499999999999993" customHeight="1">
      <c r="A15" s="159"/>
      <c r="B15" s="141" t="s">
        <v>284</v>
      </c>
      <c r="C15" s="273">
        <v>2.637710995622311</v>
      </c>
      <c r="D15" s="273">
        <v>-1.9020890598469231</v>
      </c>
      <c r="E15" s="273">
        <v>2.3569493208979608</v>
      </c>
      <c r="F15" s="273">
        <v>4.5653356576963899</v>
      </c>
      <c r="G15" s="273">
        <v>4.5191228733457045</v>
      </c>
      <c r="H15" s="273">
        <v>5.2732872051025392</v>
      </c>
      <c r="I15" s="273">
        <v>2.6233088709094909</v>
      </c>
      <c r="J15" s="273">
        <v>-2.1047607554210201</v>
      </c>
      <c r="K15" s="273">
        <v>6.5717710347917624</v>
      </c>
      <c r="L15" s="273">
        <v>6.0522654515382523</v>
      </c>
      <c r="M15" s="273">
        <v>-8.087307571256531</v>
      </c>
      <c r="N15" s="273">
        <v>2.5020548625903194</v>
      </c>
      <c r="O15" s="273">
        <v>4.2535217887009535</v>
      </c>
      <c r="P15" s="273">
        <v>-1.1638924733373468</v>
      </c>
      <c r="Q15" s="273">
        <v>6.43425464112517</v>
      </c>
      <c r="R15" s="273">
        <v>-3.8463440927687387</v>
      </c>
      <c r="S15" s="273">
        <v>-2.3998435054651601</v>
      </c>
      <c r="T15" s="273">
        <v>5.9841986421871551</v>
      </c>
      <c r="U15" s="273">
        <v>2.6646533111761794</v>
      </c>
      <c r="V15" s="273">
        <v>6.0485568134418743</v>
      </c>
      <c r="W15" s="273">
        <v>-4.6575585590028057</v>
      </c>
    </row>
    <row r="16" spans="1:23" s="203" customFormat="1" ht="9.9499999999999993" customHeight="1">
      <c r="A16" s="159"/>
      <c r="B16" s="141" t="s">
        <v>285</v>
      </c>
      <c r="C16" s="273">
        <v>9.7939384458959999</v>
      </c>
      <c r="D16" s="273">
        <v>12.672015903083732</v>
      </c>
      <c r="E16" s="273">
        <v>5.4308026837171397</v>
      </c>
      <c r="F16" s="273">
        <v>3.1667421414531161</v>
      </c>
      <c r="G16" s="273">
        <v>-0.99910761289581096</v>
      </c>
      <c r="H16" s="273">
        <v>13.140997461859927</v>
      </c>
      <c r="I16" s="273">
        <v>6.9263035064878187</v>
      </c>
      <c r="J16" s="273">
        <v>4.1029476454118585</v>
      </c>
      <c r="K16" s="273">
        <v>-1.5505376202122889</v>
      </c>
      <c r="L16" s="273">
        <v>13.064531065801056</v>
      </c>
      <c r="M16" s="273">
        <v>-2.059833684453849</v>
      </c>
      <c r="N16" s="273">
        <v>11.406681864851587</v>
      </c>
      <c r="O16" s="273">
        <v>-5.9943850312468294</v>
      </c>
      <c r="P16" s="273">
        <v>-10.5050174265787</v>
      </c>
      <c r="Q16" s="273">
        <v>-1.2818466811099105</v>
      </c>
      <c r="R16" s="273">
        <v>10.161360589113745</v>
      </c>
      <c r="S16" s="273">
        <v>-7.076874929517885</v>
      </c>
      <c r="T16" s="273">
        <v>-11.568084039925319</v>
      </c>
      <c r="U16" s="273">
        <v>4.2830760496280318</v>
      </c>
      <c r="V16" s="273">
        <v>-1.1149267136839947</v>
      </c>
      <c r="W16" s="273">
        <v>10.470232553769531</v>
      </c>
    </row>
    <row r="17" spans="1:23" s="203" customFormat="1" ht="9.9499999999999993" customHeight="1">
      <c r="A17" s="159"/>
      <c r="B17" s="141" t="s">
        <v>286</v>
      </c>
      <c r="C17" s="273">
        <v>-9.5073339557041336</v>
      </c>
      <c r="D17" s="273">
        <v>-0.4468804551603367</v>
      </c>
      <c r="E17" s="273">
        <v>3.1270526296300005</v>
      </c>
      <c r="F17" s="273">
        <v>-16.849857830414518</v>
      </c>
      <c r="G17" s="273">
        <v>12.357094326225827</v>
      </c>
      <c r="H17" s="273">
        <v>3.8370933095866366</v>
      </c>
      <c r="I17" s="273">
        <v>-1.7479601124727018</v>
      </c>
      <c r="J17" s="273">
        <v>0.38632818181825179</v>
      </c>
      <c r="K17" s="273">
        <v>15.407604438986166</v>
      </c>
      <c r="L17" s="273">
        <v>-9.5235636789627769</v>
      </c>
      <c r="M17" s="273">
        <v>-2.4044623869152737</v>
      </c>
      <c r="N17" s="273">
        <v>11.408127063548967</v>
      </c>
      <c r="O17" s="273">
        <v>9.041241608210715</v>
      </c>
      <c r="P17" s="273">
        <v>-2.4375078840262465</v>
      </c>
      <c r="Q17" s="273">
        <v>0.57270169585974529</v>
      </c>
      <c r="R17" s="273">
        <v>-9.4942455075045942</v>
      </c>
      <c r="S17" s="273">
        <v>0.32338388687644937</v>
      </c>
      <c r="T17" s="273">
        <v>12.002856266987205</v>
      </c>
      <c r="U17" s="273">
        <v>-0.70805906787557715</v>
      </c>
      <c r="V17" s="273">
        <v>5.9158438473084995</v>
      </c>
      <c r="W17" s="273">
        <v>-3.5602110852501756</v>
      </c>
    </row>
    <row r="18" spans="1:23" s="203" customFormat="1" ht="9.9499999999999993" customHeight="1">
      <c r="A18" s="159"/>
      <c r="B18" s="141" t="s">
        <v>287</v>
      </c>
      <c r="C18" s="273">
        <v>19.048266749762142</v>
      </c>
      <c r="D18" s="273">
        <v>1.891619719070925</v>
      </c>
      <c r="E18" s="273">
        <v>6.0502925004166208</v>
      </c>
      <c r="F18" s="273">
        <v>0.6154137071673782</v>
      </c>
      <c r="G18" s="273">
        <v>7.2438561788092048</v>
      </c>
      <c r="H18" s="273">
        <v>8.2019176055736729</v>
      </c>
      <c r="I18" s="273">
        <v>4.6668726651377446</v>
      </c>
      <c r="J18" s="273">
        <v>7.8611568277044963</v>
      </c>
      <c r="K18" s="273">
        <v>16.955127270123739</v>
      </c>
      <c r="L18" s="273">
        <v>-2.2634173163468163</v>
      </c>
      <c r="M18" s="273">
        <v>4.9519151031972575</v>
      </c>
      <c r="N18" s="273">
        <v>10.287926674287661</v>
      </c>
      <c r="O18" s="273">
        <v>3.7911596164412087</v>
      </c>
      <c r="P18" s="273">
        <v>12.779032244978449</v>
      </c>
      <c r="Q18" s="273">
        <v>11.994422710807218</v>
      </c>
      <c r="R18" s="273">
        <v>5.7570056481250464</v>
      </c>
      <c r="S18" s="273">
        <v>15.661074782179686</v>
      </c>
      <c r="T18" s="273">
        <v>-1.6157119043229251</v>
      </c>
      <c r="U18" s="273">
        <v>2.6846252958514061</v>
      </c>
      <c r="V18" s="273">
        <v>8.3557999459947361</v>
      </c>
      <c r="W18" s="273">
        <v>17.057243393402821</v>
      </c>
    </row>
    <row r="19" spans="1:23" s="203" customFormat="1" ht="9.9499999999999993" customHeight="1">
      <c r="A19" s="159"/>
      <c r="B19" s="141" t="s">
        <v>46</v>
      </c>
      <c r="C19" s="273">
        <v>0</v>
      </c>
      <c r="D19" s="273">
        <v>262.86024216482451</v>
      </c>
      <c r="E19" s="273">
        <v>-18.989291793247574</v>
      </c>
      <c r="F19" s="273">
        <v>31.629077514328642</v>
      </c>
      <c r="G19" s="273">
        <v>133.6837107100913</v>
      </c>
      <c r="H19" s="273">
        <v>-2.9471758328365238</v>
      </c>
      <c r="I19" s="273">
        <v>-29.635124344397035</v>
      </c>
      <c r="J19" s="273">
        <v>38.72590351473211</v>
      </c>
      <c r="K19" s="273">
        <v>-3.473272368492053</v>
      </c>
      <c r="L19" s="273">
        <v>-19.816289279734821</v>
      </c>
      <c r="M19" s="273">
        <v>4.0821526980803435</v>
      </c>
      <c r="N19" s="273">
        <v>13.671650780143697</v>
      </c>
      <c r="O19" s="273">
        <v>-28.23276212194228</v>
      </c>
      <c r="P19" s="273">
        <v>-23.757462291573418</v>
      </c>
      <c r="Q19" s="273">
        <v>15.359618037794309</v>
      </c>
      <c r="R19" s="273">
        <v>-2.5525582010783365</v>
      </c>
      <c r="S19" s="273">
        <v>-17.937161293364657</v>
      </c>
      <c r="T19" s="273">
        <v>7.6077644665600408</v>
      </c>
      <c r="U19" s="273">
        <v>10.782370874768056</v>
      </c>
      <c r="V19" s="273">
        <v>17.541212437168376</v>
      </c>
      <c r="W19" s="273">
        <v>-11.594050598797656</v>
      </c>
    </row>
    <row r="20" spans="1:23" s="203" customFormat="1" ht="9.9499999999999993" customHeight="1">
      <c r="A20" s="159"/>
      <c r="B20" s="141" t="s">
        <v>288</v>
      </c>
      <c r="C20" s="273">
        <v>35.033256603235088</v>
      </c>
      <c r="D20" s="273">
        <v>5.3693475458503892</v>
      </c>
      <c r="E20" s="273">
        <v>20.929705215419503</v>
      </c>
      <c r="F20" s="273">
        <v>157.12508474087321</v>
      </c>
      <c r="G20" s="273">
        <v>52.929391949220886</v>
      </c>
      <c r="H20" s="273">
        <v>36.200131779067846</v>
      </c>
      <c r="I20" s="273">
        <v>27.638448434901463</v>
      </c>
      <c r="J20" s="273">
        <v>9.7557259881447589</v>
      </c>
      <c r="K20" s="273">
        <v>-12.567103209005758</v>
      </c>
      <c r="L20" s="273">
        <v>-2.611081007205418</v>
      </c>
      <c r="M20" s="273">
        <v>13.071228664354217</v>
      </c>
      <c r="N20" s="273">
        <v>5.3921134282179484</v>
      </c>
      <c r="O20" s="273">
        <v>-10.994873908085578</v>
      </c>
      <c r="P20" s="273">
        <v>-6.7295277584691675</v>
      </c>
      <c r="Q20" s="273">
        <v>-21.746979324699268</v>
      </c>
      <c r="R20" s="273">
        <v>27.876921775725847</v>
      </c>
      <c r="S20" s="273">
        <v>51.823665582388514</v>
      </c>
      <c r="T20" s="273">
        <v>20.783570638804871</v>
      </c>
      <c r="U20" s="273">
        <v>-10.309637038914122</v>
      </c>
      <c r="V20" s="273">
        <v>-53.672284067713875</v>
      </c>
      <c r="W20" s="273">
        <v>32.34202576675824</v>
      </c>
    </row>
    <row r="21" spans="1:23" s="203" customFormat="1" ht="9.9499999999999993" customHeight="1">
      <c r="A21" s="159"/>
      <c r="B21" s="141" t="s">
        <v>249</v>
      </c>
      <c r="C21" s="273">
        <v>2.219801354195905</v>
      </c>
      <c r="D21" s="273">
        <v>6.7853459442926978</v>
      </c>
      <c r="E21" s="273">
        <v>5.9179009048775377</v>
      </c>
      <c r="F21" s="273">
        <v>-16.404400771150641</v>
      </c>
      <c r="G21" s="273">
        <v>-9.4149857839906925</v>
      </c>
      <c r="H21" s="273">
        <v>-0.86397056694258456</v>
      </c>
      <c r="I21" s="273">
        <v>-3.7250600321654059</v>
      </c>
      <c r="J21" s="273">
        <v>9.3369967244158794</v>
      </c>
      <c r="K21" s="273">
        <v>6.6874673599074175</v>
      </c>
      <c r="L21" s="273">
        <v>-1.0077798562883822</v>
      </c>
      <c r="M21" s="273">
        <v>-4.5749951077588058</v>
      </c>
      <c r="N21" s="273">
        <v>-1.4534067066869327</v>
      </c>
      <c r="O21" s="273">
        <v>13.509510807016746</v>
      </c>
      <c r="P21" s="273">
        <v>-0.55127160155967747</v>
      </c>
      <c r="Q21" s="273">
        <v>1.3019018196523957</v>
      </c>
      <c r="R21" s="273">
        <v>-4.4611443234946595</v>
      </c>
      <c r="S21" s="273">
        <v>-7.0019611790923868</v>
      </c>
      <c r="T21" s="273">
        <v>11.447878048158255</v>
      </c>
      <c r="U21" s="273">
        <v>-2.4003942006424972</v>
      </c>
      <c r="V21" s="273">
        <v>2.1133856195299616</v>
      </c>
      <c r="W21" s="273">
        <v>1.3878536722020218</v>
      </c>
    </row>
    <row r="22" spans="1:23" s="203" customFormat="1" ht="9.9499999999999993" customHeight="1">
      <c r="A22" s="159"/>
      <c r="B22" s="141" t="s">
        <v>250</v>
      </c>
      <c r="C22" s="273">
        <v>-8.1013481800822014</v>
      </c>
      <c r="D22" s="273">
        <v>1.8084389417265756</v>
      </c>
      <c r="E22" s="273">
        <v>-2.9545625915356588</v>
      </c>
      <c r="F22" s="273">
        <v>-7.7204051413662711</v>
      </c>
      <c r="G22" s="273">
        <v>24.920770421149641</v>
      </c>
      <c r="H22" s="273">
        <v>21.65952347031892</v>
      </c>
      <c r="I22" s="273">
        <v>0.13978844654252143</v>
      </c>
      <c r="J22" s="273">
        <v>1.9777747082222907</v>
      </c>
      <c r="K22" s="273">
        <v>17.122627963536672</v>
      </c>
      <c r="L22" s="273">
        <v>-7.4898585894338066</v>
      </c>
      <c r="M22" s="273">
        <v>-4.9987736907620484</v>
      </c>
      <c r="N22" s="273">
        <v>10.351819085503401</v>
      </c>
      <c r="O22" s="273">
        <v>0.72066921242632809</v>
      </c>
      <c r="P22" s="273">
        <v>-4.5722494395003306</v>
      </c>
      <c r="Q22" s="273">
        <v>-1.5622263539471715</v>
      </c>
      <c r="R22" s="273">
        <v>-8.4870483132153947</v>
      </c>
      <c r="S22" s="273">
        <v>-7.7341876382555412</v>
      </c>
      <c r="T22" s="273">
        <v>17.811944542858416</v>
      </c>
      <c r="U22" s="273">
        <v>-0.74278593653680502</v>
      </c>
      <c r="V22" s="273">
        <v>3.3193732076572502</v>
      </c>
      <c r="W22" s="273">
        <v>0.18186601448129114</v>
      </c>
    </row>
    <row r="23" spans="1:23" s="203" customFormat="1" ht="9.9499999999999993" customHeight="1">
      <c r="A23" s="159"/>
      <c r="B23" s="141" t="s">
        <v>251</v>
      </c>
      <c r="C23" s="273">
        <v>-4.9292750618650345</v>
      </c>
      <c r="D23" s="273">
        <v>39.754510126001662</v>
      </c>
      <c r="E23" s="273">
        <v>6.111170492321949</v>
      </c>
      <c r="F23" s="273">
        <v>35.661838757451882</v>
      </c>
      <c r="G23" s="273">
        <v>9.2332065992436707</v>
      </c>
      <c r="H23" s="273">
        <v>12.880252110642211</v>
      </c>
      <c r="I23" s="273">
        <v>-45.297838213602859</v>
      </c>
      <c r="J23" s="273">
        <v>126.55692896746311</v>
      </c>
      <c r="K23" s="273">
        <v>-71.583211062892701</v>
      </c>
      <c r="L23" s="273">
        <v>313.27367054805626</v>
      </c>
      <c r="M23" s="273">
        <v>4.7492561338385419</v>
      </c>
      <c r="N23" s="273">
        <v>-58.651090853964185</v>
      </c>
      <c r="O23" s="273">
        <v>196.83551985370391</v>
      </c>
      <c r="P23" s="273">
        <v>-12.297754862054234</v>
      </c>
      <c r="Q23" s="273">
        <v>-40.723376427703172</v>
      </c>
      <c r="R23" s="273">
        <v>9.5676808021619273</v>
      </c>
      <c r="S23" s="273">
        <v>15.246101681209566</v>
      </c>
      <c r="T23" s="273">
        <v>0.69885737026622596</v>
      </c>
      <c r="U23" s="273">
        <v>6.5311737452625307</v>
      </c>
      <c r="V23" s="273">
        <v>41.917298285405423</v>
      </c>
      <c r="W23" s="273">
        <v>-8.6387123736642266</v>
      </c>
    </row>
    <row r="24" spans="1:23" s="203" customFormat="1" ht="9.9499999999999993" customHeight="1">
      <c r="A24" s="159"/>
      <c r="B24" s="141" t="s">
        <v>252</v>
      </c>
      <c r="C24" s="273">
        <v>-2.2958535196349827</v>
      </c>
      <c r="D24" s="273">
        <v>-5.2704324984331974</v>
      </c>
      <c r="E24" s="273">
        <v>2.3843282056837944</v>
      </c>
      <c r="F24" s="273">
        <v>8.6020820078132942</v>
      </c>
      <c r="G24" s="273">
        <v>-6.6872064386921393</v>
      </c>
      <c r="H24" s="273">
        <v>26.677326263072509</v>
      </c>
      <c r="I24" s="273">
        <v>1.1404042474695508</v>
      </c>
      <c r="J24" s="273">
        <v>2.5011827289986632</v>
      </c>
      <c r="K24" s="273">
        <v>6.601678252652543</v>
      </c>
      <c r="L24" s="273">
        <v>18.31093973157234</v>
      </c>
      <c r="M24" s="273">
        <v>21.072988495700006</v>
      </c>
      <c r="N24" s="273">
        <v>8.1333827240214873</v>
      </c>
      <c r="O24" s="273">
        <v>14.661253558763887</v>
      </c>
      <c r="P24" s="273">
        <v>16.239958672545065</v>
      </c>
      <c r="Q24" s="273">
        <v>12.77024258126065</v>
      </c>
      <c r="R24" s="273">
        <v>18.427909051388003</v>
      </c>
      <c r="S24" s="273">
        <v>7.5171613253375513</v>
      </c>
      <c r="T24" s="273">
        <v>13.965771240505553</v>
      </c>
      <c r="U24" s="273">
        <v>6.9502005528814248</v>
      </c>
      <c r="V24" s="273">
        <v>12.62268725520439</v>
      </c>
      <c r="W24" s="273">
        <v>-2.7228705619115057</v>
      </c>
    </row>
    <row r="25" spans="1:23" s="203" customFormat="1" ht="9.9499999999999993" customHeight="1">
      <c r="A25" s="159"/>
      <c r="B25" s="141" t="s">
        <v>253</v>
      </c>
      <c r="C25" s="273">
        <v>-0.54121734861295456</v>
      </c>
      <c r="D25" s="273">
        <v>2.8252018639057352</v>
      </c>
      <c r="E25" s="273">
        <v>3.0614622667466174</v>
      </c>
      <c r="F25" s="273">
        <v>-15.243683885506055</v>
      </c>
      <c r="G25" s="273">
        <v>6.9655463513841553</v>
      </c>
      <c r="H25" s="273">
        <v>7.7860085130280199</v>
      </c>
      <c r="I25" s="273">
        <v>-0.45278307687350861</v>
      </c>
      <c r="J25" s="273">
        <v>7.0570413894238904</v>
      </c>
      <c r="K25" s="273">
        <v>11.284182377130868</v>
      </c>
      <c r="L25" s="273">
        <v>2.505523793351716</v>
      </c>
      <c r="M25" s="273">
        <v>-7.2233103723761012</v>
      </c>
      <c r="N25" s="273">
        <v>7.5184843148982994</v>
      </c>
      <c r="O25" s="273">
        <v>3.516660679986483</v>
      </c>
      <c r="P25" s="273">
        <v>-4.0220212679011436</v>
      </c>
      <c r="Q25" s="273">
        <v>0.34892491321945052</v>
      </c>
      <c r="R25" s="273">
        <v>-8.5347533346518354</v>
      </c>
      <c r="S25" s="273">
        <v>-3.2419385276353796</v>
      </c>
      <c r="T25" s="273">
        <v>-0.99777118807014009</v>
      </c>
      <c r="U25" s="273">
        <v>-1.3786254040095702</v>
      </c>
      <c r="V25" s="273">
        <v>3.1824675443513639</v>
      </c>
      <c r="W25" s="273">
        <v>2.6297141475483343</v>
      </c>
    </row>
    <row r="26" spans="1:23" s="203" customFormat="1" ht="9.9499999999999993" customHeight="1">
      <c r="A26" s="159"/>
      <c r="B26" s="141" t="s">
        <v>254</v>
      </c>
      <c r="C26" s="273">
        <v>7.4385040554824089</v>
      </c>
      <c r="D26" s="273">
        <v>3.6107091732767937</v>
      </c>
      <c r="E26" s="273">
        <v>4.6726700905661778</v>
      </c>
      <c r="F26" s="273">
        <v>8.7689107199131691</v>
      </c>
      <c r="G26" s="273">
        <v>-2.2498534909185852</v>
      </c>
      <c r="H26" s="273">
        <v>2.030249833322828</v>
      </c>
      <c r="I26" s="273">
        <v>1.6366178429207734</v>
      </c>
      <c r="J26" s="273">
        <v>4.1861994401654723</v>
      </c>
      <c r="K26" s="273">
        <v>3.5885458293508865</v>
      </c>
      <c r="L26" s="273">
        <v>1.7875089588193838</v>
      </c>
      <c r="M26" s="273">
        <v>6.5165254333036993</v>
      </c>
      <c r="N26" s="273">
        <v>2.5352776942225042</v>
      </c>
      <c r="O26" s="273">
        <v>4.4592793361261318</v>
      </c>
      <c r="P26" s="273">
        <v>1.809501107763456E-2</v>
      </c>
      <c r="Q26" s="273">
        <v>4.5830383284764631</v>
      </c>
      <c r="R26" s="273">
        <v>10.011438118655924</v>
      </c>
      <c r="S26" s="273">
        <v>-3.5467825414714493E-2</v>
      </c>
      <c r="T26" s="273">
        <v>-0.3611171181913897</v>
      </c>
      <c r="U26" s="273">
        <v>-0.38657136726105712</v>
      </c>
      <c r="V26" s="273">
        <v>9.9756088430460021</v>
      </c>
      <c r="W26" s="273">
        <v>1.9222545443347894</v>
      </c>
    </row>
    <row r="27" spans="1:23" s="203" customFormat="1" ht="9.9499999999999993" customHeight="1">
      <c r="A27" s="159"/>
      <c r="B27" s="141" t="s">
        <v>255</v>
      </c>
      <c r="C27" s="273">
        <v>14.053753966898919</v>
      </c>
      <c r="D27" s="273">
        <v>1.0326005976552199</v>
      </c>
      <c r="E27" s="273">
        <v>9.8328069462837462</v>
      </c>
      <c r="F27" s="273">
        <v>8.4432827588001302</v>
      </c>
      <c r="G27" s="273">
        <v>-3.3564710521368224</v>
      </c>
      <c r="H27" s="273">
        <v>7.9733049584814308</v>
      </c>
      <c r="I27" s="273">
        <v>7.7620705952433422</v>
      </c>
      <c r="J27" s="273">
        <v>13.76004733385412</v>
      </c>
      <c r="K27" s="273">
        <v>12.586086990234623</v>
      </c>
      <c r="L27" s="273">
        <v>18.669143217138906</v>
      </c>
      <c r="M27" s="273">
        <v>15.2624333039733</v>
      </c>
      <c r="N27" s="273">
        <v>30.582675911567026</v>
      </c>
      <c r="O27" s="273">
        <v>8.7826416757304173</v>
      </c>
      <c r="P27" s="273">
        <v>25.733702475590704</v>
      </c>
      <c r="Q27" s="273">
        <v>9.7247775613476417</v>
      </c>
      <c r="R27" s="273">
        <v>22.433784883482954</v>
      </c>
      <c r="S27" s="273">
        <v>2.1990376653594712</v>
      </c>
      <c r="T27" s="273">
        <v>9.0414086236707103</v>
      </c>
      <c r="U27" s="273">
        <v>12.237262501863455</v>
      </c>
      <c r="V27" s="273">
        <v>16.745646236092892</v>
      </c>
      <c r="W27" s="273">
        <v>11.205389076345629</v>
      </c>
    </row>
    <row r="28" spans="1:23" s="203" customFormat="1" ht="9.9499999999999993" customHeight="1">
      <c r="A28" s="159"/>
      <c r="B28" s="141" t="s">
        <v>146</v>
      </c>
      <c r="C28" s="273">
        <v>0.38957967913650915</v>
      </c>
      <c r="D28" s="273">
        <v>-0.40088115200843655</v>
      </c>
      <c r="E28" s="273">
        <v>21.552859932592373</v>
      </c>
      <c r="F28" s="273">
        <v>10.254529752945851</v>
      </c>
      <c r="G28" s="273">
        <v>-4.1739528301164235</v>
      </c>
      <c r="H28" s="273">
        <v>8.4465606842696772</v>
      </c>
      <c r="I28" s="273">
        <v>-1.7543926102091545</v>
      </c>
      <c r="J28" s="273">
        <v>-0.92768781985033133</v>
      </c>
      <c r="K28" s="273">
        <v>-11.762082101122894</v>
      </c>
      <c r="L28" s="273">
        <v>22.515771191320709</v>
      </c>
      <c r="M28" s="273">
        <v>6.1656312691438675</v>
      </c>
      <c r="N28" s="273">
        <v>14.399881273454751</v>
      </c>
      <c r="O28" s="273">
        <v>12.597013376273637</v>
      </c>
      <c r="P28" s="273">
        <v>10.444826072519398</v>
      </c>
      <c r="Q28" s="273">
        <v>6.1646599736739471</v>
      </c>
      <c r="R28" s="273">
        <v>11.832875021024702</v>
      </c>
      <c r="S28" s="273">
        <v>6.5298170155950963</v>
      </c>
      <c r="T28" s="273">
        <v>19.73421082016791</v>
      </c>
      <c r="U28" s="273">
        <v>-0.18616380770520857</v>
      </c>
      <c r="V28" s="273">
        <v>4.0687803551764379</v>
      </c>
      <c r="W28" s="273">
        <v>9.8710548441131696</v>
      </c>
    </row>
    <row r="29" spans="1:23" s="203" customFormat="1" ht="9.9499999999999993" customHeight="1">
      <c r="A29" s="159"/>
      <c r="B29" s="141" t="s">
        <v>147</v>
      </c>
      <c r="C29" s="273">
        <v>-22.336396675231896</v>
      </c>
      <c r="D29" s="273">
        <v>-38.895012437078357</v>
      </c>
      <c r="E29" s="273">
        <v>12.519165006273901</v>
      </c>
      <c r="F29" s="273">
        <v>21.676055167955454</v>
      </c>
      <c r="G29" s="273">
        <v>-24.269283399342601</v>
      </c>
      <c r="H29" s="273">
        <v>11.634572729591763</v>
      </c>
      <c r="I29" s="273">
        <v>16.035314345619579</v>
      </c>
      <c r="J29" s="273">
        <v>23.087710916988691</v>
      </c>
      <c r="K29" s="273">
        <v>7.8526053940552787</v>
      </c>
      <c r="L29" s="273">
        <v>-11.16822705945032</v>
      </c>
      <c r="M29" s="273">
        <v>-13.867099082595825</v>
      </c>
      <c r="N29" s="273">
        <v>31.036545516246839</v>
      </c>
      <c r="O29" s="273">
        <v>30.297237888090844</v>
      </c>
      <c r="P29" s="273">
        <v>-4.3650593281405641</v>
      </c>
      <c r="Q29" s="273">
        <v>-15.484563530093299</v>
      </c>
      <c r="R29" s="273">
        <v>-6.5845954368772048</v>
      </c>
      <c r="S29" s="273">
        <v>-3.4980674888058894</v>
      </c>
      <c r="T29" s="273">
        <v>8.6268570237646003</v>
      </c>
      <c r="U29" s="273">
        <v>-18.553515048468803</v>
      </c>
      <c r="V29" s="273">
        <v>0.62395350990702703</v>
      </c>
      <c r="W29" s="273">
        <v>20.360019746573464</v>
      </c>
    </row>
    <row r="30" spans="1:23" s="203" customFormat="1" ht="9.9499999999999993" customHeight="1">
      <c r="A30" s="159"/>
      <c r="B30" s="141" t="s">
        <v>141</v>
      </c>
      <c r="C30" s="273">
        <v>-11.153792078221247</v>
      </c>
      <c r="D30" s="273">
        <v>27.701503429388087</v>
      </c>
      <c r="E30" s="273">
        <v>-6.3262562267053735</v>
      </c>
      <c r="F30" s="273">
        <v>-16.505834817814304</v>
      </c>
      <c r="G30" s="273">
        <v>4.9389187323784167</v>
      </c>
      <c r="H30" s="273">
        <v>10.032966957604138</v>
      </c>
      <c r="I30" s="273">
        <v>14.792007987917932</v>
      </c>
      <c r="J30" s="273">
        <v>-11.277365115049632</v>
      </c>
      <c r="K30" s="273">
        <v>-15.669019073219914</v>
      </c>
      <c r="L30" s="273">
        <v>8.3678582667279464</v>
      </c>
      <c r="M30" s="273">
        <v>-3.8018162030524882</v>
      </c>
      <c r="N30" s="273">
        <v>9.0652018122135978</v>
      </c>
      <c r="O30" s="273">
        <v>-1.2315061263472704</v>
      </c>
      <c r="P30" s="273">
        <v>12.318457878236689</v>
      </c>
      <c r="Q30" s="273">
        <v>2.1482513969760086</v>
      </c>
      <c r="R30" s="273">
        <v>8.1214716817079591E-2</v>
      </c>
      <c r="S30" s="273">
        <v>-37.446443583391222</v>
      </c>
      <c r="T30" s="273">
        <v>64.449315879860094</v>
      </c>
      <c r="U30" s="273">
        <v>6.2018233098032116</v>
      </c>
      <c r="V30" s="273">
        <v>-0.13544857238368957</v>
      </c>
      <c r="W30" s="273">
        <v>7.0489144478980137</v>
      </c>
    </row>
    <row r="31" spans="1:23" s="203" customFormat="1" ht="9.9499999999999993" customHeight="1">
      <c r="A31" s="159"/>
      <c r="B31" s="141" t="s">
        <v>148</v>
      </c>
      <c r="C31" s="273">
        <v>8.0547713910077867</v>
      </c>
      <c r="D31" s="273">
        <v>3.4463516384231063E-2</v>
      </c>
      <c r="E31" s="273">
        <v>17.340073836415783</v>
      </c>
      <c r="F31" s="273">
        <v>10.796327515953585</v>
      </c>
      <c r="G31" s="273">
        <v>28.706473745635375</v>
      </c>
      <c r="H31" s="273">
        <v>-3.2013003617117675</v>
      </c>
      <c r="I31" s="273">
        <v>-0.10637878773237519</v>
      </c>
      <c r="J31" s="273">
        <v>108.26605148343656</v>
      </c>
      <c r="K31" s="273">
        <v>-93.463653168767635</v>
      </c>
      <c r="L31" s="273">
        <v>949.13430328068171</v>
      </c>
      <c r="M31" s="273">
        <v>-3.8800183844491687</v>
      </c>
      <c r="N31" s="273">
        <v>28.517404893276389</v>
      </c>
      <c r="O31" s="273">
        <v>-38.235291000529202</v>
      </c>
      <c r="P31" s="273">
        <v>153.28533391641224</v>
      </c>
      <c r="Q31" s="273">
        <v>-74.489010818849138</v>
      </c>
      <c r="R31" s="273">
        <v>49.703675903733632</v>
      </c>
      <c r="S31" s="273">
        <v>42.1756721974021</v>
      </c>
      <c r="T31" s="273">
        <v>128.62501416190867</v>
      </c>
      <c r="U31" s="273">
        <v>6.295214226636503</v>
      </c>
      <c r="V31" s="273">
        <v>-8.7921575349570453</v>
      </c>
      <c r="W31" s="273">
        <v>-21.937258285634719</v>
      </c>
    </row>
    <row r="32" spans="1:23" s="203" customFormat="1" ht="9.9499999999999993" customHeight="1">
      <c r="A32" s="159"/>
      <c r="B32" s="141" t="s">
        <v>149</v>
      </c>
      <c r="C32" s="273">
        <v>-1.4746770438085921</v>
      </c>
      <c r="D32" s="273">
        <v>10.657959329508969</v>
      </c>
      <c r="E32" s="273">
        <v>-2.4783214799304343</v>
      </c>
      <c r="F32" s="273">
        <v>-8.4974477277553468</v>
      </c>
      <c r="G32" s="273">
        <v>9.3288083595212346</v>
      </c>
      <c r="H32" s="273">
        <v>-2.2714256743163852</v>
      </c>
      <c r="I32" s="273">
        <v>-6.9519349978438001</v>
      </c>
      <c r="J32" s="273">
        <v>4.1492967152831017</v>
      </c>
      <c r="K32" s="273">
        <v>15.978510597472106</v>
      </c>
      <c r="L32" s="273">
        <v>3.0210422913034218</v>
      </c>
      <c r="M32" s="273">
        <v>-7.9028311642215137</v>
      </c>
      <c r="N32" s="273">
        <v>6.8749304532380595</v>
      </c>
      <c r="O32" s="273">
        <v>4.4300660294380068</v>
      </c>
      <c r="P32" s="273">
        <v>0.78416959759246563</v>
      </c>
      <c r="Q32" s="273">
        <v>1.3244977516148726</v>
      </c>
      <c r="R32" s="273">
        <v>-10.167138661611997</v>
      </c>
      <c r="S32" s="273">
        <v>-2.3594466253767932</v>
      </c>
      <c r="T32" s="273">
        <v>1.5482235844683112</v>
      </c>
      <c r="U32" s="273">
        <v>0.73504005593929556</v>
      </c>
      <c r="V32" s="273">
        <v>-0.46034025147261293</v>
      </c>
      <c r="W32" s="273">
        <v>6.6708113934341506</v>
      </c>
    </row>
    <row r="33" spans="1:23" s="203" customFormat="1" ht="9.9499999999999993" customHeight="1">
      <c r="A33" s="159"/>
      <c r="B33" s="141" t="s">
        <v>258</v>
      </c>
      <c r="C33" s="273">
        <v>-17.390486855894828</v>
      </c>
      <c r="D33" s="273">
        <v>-4.1687545075424044</v>
      </c>
      <c r="E33" s="273">
        <v>10.937314497836926</v>
      </c>
      <c r="F33" s="273">
        <v>13.823015477222445</v>
      </c>
      <c r="G33" s="273">
        <v>-1.5878326319162861</v>
      </c>
      <c r="H33" s="273">
        <v>-4.9156253683363964</v>
      </c>
      <c r="I33" s="273">
        <v>6.3621646397066245</v>
      </c>
      <c r="J33" s="273">
        <v>-16.147513871434739</v>
      </c>
      <c r="K33" s="273">
        <v>2.7710742416271472</v>
      </c>
      <c r="L33" s="273">
        <v>8.4492237004035751</v>
      </c>
      <c r="M33" s="273">
        <v>6.6026595936481414</v>
      </c>
      <c r="N33" s="273">
        <v>-3.1201239243476842</v>
      </c>
      <c r="O33" s="273">
        <v>6.0299893128930027</v>
      </c>
      <c r="P33" s="273">
        <v>2.7151291302673242</v>
      </c>
      <c r="Q33" s="273">
        <v>2.6551295952937259</v>
      </c>
      <c r="R33" s="273">
        <v>-0.40477958231942557</v>
      </c>
      <c r="S33" s="273">
        <v>-4.558499818473349</v>
      </c>
      <c r="T33" s="273">
        <v>-4.2904676687165129</v>
      </c>
      <c r="U33" s="273">
        <v>-1.3849994241651786</v>
      </c>
      <c r="V33" s="273">
        <v>-4.9742230291444418</v>
      </c>
      <c r="W33" s="273">
        <v>2.5994012464987781</v>
      </c>
    </row>
    <row r="34" spans="1:23" s="203" customFormat="1" ht="9.9499999999999993" customHeight="1">
      <c r="A34" s="159"/>
      <c r="B34" s="141" t="s">
        <v>259</v>
      </c>
      <c r="C34" s="273">
        <v>9.5396969134364795</v>
      </c>
      <c r="D34" s="273">
        <v>-19.699230011810577</v>
      </c>
      <c r="E34" s="273">
        <v>6.8299638251359873</v>
      </c>
      <c r="F34" s="273">
        <v>-25.597911959571253</v>
      </c>
      <c r="G34" s="273">
        <v>-8.6988132187270413</v>
      </c>
      <c r="H34" s="273">
        <v>61.145243114417489</v>
      </c>
      <c r="I34" s="273">
        <v>7.250386776746609</v>
      </c>
      <c r="J34" s="273">
        <v>1.1887673680737842</v>
      </c>
      <c r="K34" s="273">
        <v>-14.538846385153958</v>
      </c>
      <c r="L34" s="273">
        <v>-32.728751814703493</v>
      </c>
      <c r="M34" s="273">
        <v>31.305008753674123</v>
      </c>
      <c r="N34" s="273">
        <v>13.843671873573316</v>
      </c>
      <c r="O34" s="273">
        <v>-1.0766000086880445</v>
      </c>
      <c r="P34" s="273">
        <v>4.4383545552961756</v>
      </c>
      <c r="Q34" s="273">
        <v>9.5154933756406592</v>
      </c>
      <c r="R34" s="273">
        <v>-6.6261683301692571</v>
      </c>
      <c r="S34" s="273">
        <v>23.298110463146958</v>
      </c>
      <c r="T34" s="273">
        <v>-11.491183131096861</v>
      </c>
      <c r="U34" s="273">
        <v>-18.703379764748018</v>
      </c>
      <c r="V34" s="273">
        <v>4.042228529129499</v>
      </c>
      <c r="W34" s="273">
        <v>20.028913085746879</v>
      </c>
    </row>
    <row r="35" spans="1:23" s="203" customFormat="1" ht="9.9499999999999993" customHeight="1">
      <c r="A35" s="159"/>
      <c r="B35" s="141" t="s">
        <v>201</v>
      </c>
      <c r="C35" s="273">
        <v>20.749774335341954</v>
      </c>
      <c r="D35" s="273">
        <v>-2.1963153154549553</v>
      </c>
      <c r="E35" s="273">
        <v>4.8535296803016159</v>
      </c>
      <c r="F35" s="273">
        <v>-20.99069745169335</v>
      </c>
      <c r="G35" s="273">
        <v>20.892085450213727</v>
      </c>
      <c r="H35" s="273">
        <v>3.9485706084795069</v>
      </c>
      <c r="I35" s="273">
        <v>8.8420243459771406</v>
      </c>
      <c r="J35" s="273">
        <v>2.7414459756609721</v>
      </c>
      <c r="K35" s="273">
        <v>12.256841237134374</v>
      </c>
      <c r="L35" s="273">
        <v>-9.8985760579865971</v>
      </c>
      <c r="M35" s="273">
        <v>-1.4966376290991734</v>
      </c>
      <c r="N35" s="273">
        <v>19.724136533411652</v>
      </c>
      <c r="O35" s="273">
        <v>5.4496136709480725</v>
      </c>
      <c r="P35" s="273">
        <v>0.99622086770643214</v>
      </c>
      <c r="Q35" s="273">
        <v>1.8566708297291346</v>
      </c>
      <c r="R35" s="273">
        <v>-8.7821390350329427</v>
      </c>
      <c r="S35" s="273">
        <v>2.7948184355474748</v>
      </c>
      <c r="T35" s="273">
        <v>7.5079573829377466</v>
      </c>
      <c r="U35" s="273">
        <v>-2.9801013900574991</v>
      </c>
      <c r="V35" s="273">
        <v>5.3783842523840608</v>
      </c>
      <c r="W35" s="273">
        <v>-9.3293900424640253E-2</v>
      </c>
    </row>
    <row r="36" spans="1:23" s="203" customFormat="1" ht="9.9499999999999993" customHeight="1">
      <c r="A36" s="159"/>
      <c r="B36" s="141" t="s">
        <v>202</v>
      </c>
      <c r="C36" s="273">
        <v>-2.0644386638902112</v>
      </c>
      <c r="D36" s="273">
        <v>-6.1948018522724801</v>
      </c>
      <c r="E36" s="273">
        <v>-12.603649586885901</v>
      </c>
      <c r="F36" s="273">
        <v>1.0642129226242414</v>
      </c>
      <c r="G36" s="273">
        <v>-4.6757206658429755</v>
      </c>
      <c r="H36" s="273">
        <v>4.4996740354862341</v>
      </c>
      <c r="I36" s="273">
        <v>0.69379220928134089</v>
      </c>
      <c r="J36" s="273">
        <v>-16.383511261973027</v>
      </c>
      <c r="K36" s="273">
        <v>56.711455030609727</v>
      </c>
      <c r="L36" s="273">
        <v>-6.2833319692068512</v>
      </c>
      <c r="M36" s="273">
        <v>12.504393441678708</v>
      </c>
      <c r="N36" s="273">
        <v>-3.4084246480907021</v>
      </c>
      <c r="O36" s="273">
        <v>2.5386090655592497</v>
      </c>
      <c r="P36" s="273">
        <v>-4.7496095239124685</v>
      </c>
      <c r="Q36" s="273">
        <v>1.7100701897260651</v>
      </c>
      <c r="R36" s="273">
        <v>-7.0959219489130421</v>
      </c>
      <c r="S36" s="273">
        <v>3.9859780162911695</v>
      </c>
      <c r="T36" s="273">
        <v>3.9933010537794855</v>
      </c>
      <c r="U36" s="273">
        <v>12.021298496633403</v>
      </c>
      <c r="V36" s="273">
        <v>-15.196508779491502</v>
      </c>
      <c r="W36" s="273">
        <v>-26.845419744285014</v>
      </c>
    </row>
    <row r="37" spans="1:23" s="203" customFormat="1" ht="9.9499999999999993" customHeight="1">
      <c r="A37" s="159"/>
      <c r="B37" s="141" t="s">
        <v>203</v>
      </c>
      <c r="C37" s="273">
        <v>12.281577119570585</v>
      </c>
      <c r="D37" s="273">
        <v>0.44653715099232105</v>
      </c>
      <c r="E37" s="273">
        <v>3.5414644900120251</v>
      </c>
      <c r="F37" s="273">
        <v>8.0393922240754137</v>
      </c>
      <c r="G37" s="273">
        <v>19.155613324637599</v>
      </c>
      <c r="H37" s="273">
        <v>7.9574552053313763</v>
      </c>
      <c r="I37" s="273">
        <v>3.3416970958961789</v>
      </c>
      <c r="J37" s="273">
        <v>8.6181650984054734</v>
      </c>
      <c r="K37" s="273">
        <v>18.603833919135404</v>
      </c>
      <c r="L37" s="273">
        <v>14.396755346657919</v>
      </c>
      <c r="M37" s="273">
        <v>44.670880168485972</v>
      </c>
      <c r="N37" s="273">
        <v>14.379929493132693</v>
      </c>
      <c r="O37" s="273">
        <v>5.3734522978346133</v>
      </c>
      <c r="P37" s="273">
        <v>2.7881455454288551</v>
      </c>
      <c r="Q37" s="273">
        <v>2.9646693513014855</v>
      </c>
      <c r="R37" s="273">
        <v>0.43868572447669507</v>
      </c>
      <c r="S37" s="273">
        <v>3.9272292854665825</v>
      </c>
      <c r="T37" s="273">
        <v>10.731173804033345</v>
      </c>
      <c r="U37" s="273">
        <v>5.8176681597288171</v>
      </c>
      <c r="V37" s="273">
        <v>2.8954936449024027</v>
      </c>
      <c r="W37" s="273">
        <v>1.1244544795091072</v>
      </c>
    </row>
    <row r="38" spans="1:23" s="203" customFormat="1" ht="9.9499999999999993" customHeight="1">
      <c r="A38" s="159"/>
      <c r="B38" s="141" t="s">
        <v>265</v>
      </c>
      <c r="C38" s="273">
        <v>0</v>
      </c>
      <c r="D38" s="273">
        <v>0</v>
      </c>
      <c r="E38" s="273">
        <v>366.40851887705708</v>
      </c>
      <c r="F38" s="273">
        <v>216.37608966376095</v>
      </c>
      <c r="G38" s="273">
        <v>125.29029718559337</v>
      </c>
      <c r="H38" s="273">
        <v>-50.179086223464651</v>
      </c>
      <c r="I38" s="273">
        <v>46.905137646852559</v>
      </c>
      <c r="J38" s="273">
        <v>20.394684491127535</v>
      </c>
      <c r="K38" s="273">
        <v>-34.021810971579647</v>
      </c>
      <c r="L38" s="273">
        <v>-42.339093413473584</v>
      </c>
      <c r="M38" s="273">
        <v>97.741487143849895</v>
      </c>
      <c r="N38" s="273">
        <v>-36.166754524688102</v>
      </c>
      <c r="O38" s="273">
        <v>32.970889821760373</v>
      </c>
      <c r="P38" s="273">
        <v>-71.731704792464555</v>
      </c>
      <c r="Q38" s="273">
        <v>139.54595386305382</v>
      </c>
      <c r="R38" s="273">
        <v>9.9931213696117247</v>
      </c>
      <c r="S38" s="273">
        <v>-18.604731959837405</v>
      </c>
      <c r="T38" s="273">
        <v>94.510841727847009</v>
      </c>
      <c r="U38" s="273">
        <v>-54.610489357033131</v>
      </c>
      <c r="V38" s="273">
        <v>10.423515760974666</v>
      </c>
      <c r="W38" s="273">
        <v>20.916637478108591</v>
      </c>
    </row>
    <row r="39" spans="1:23" s="203" customFormat="1" ht="9.9499999999999993" customHeight="1">
      <c r="A39" s="159"/>
      <c r="B39" s="141" t="s">
        <v>297</v>
      </c>
      <c r="C39" s="273">
        <v>1.5072711868935551</v>
      </c>
      <c r="D39" s="273">
        <v>-5.6350545354208137</v>
      </c>
      <c r="E39" s="273">
        <v>-1.5810355306352775</v>
      </c>
      <c r="F39" s="273">
        <v>-11.027462196405802</v>
      </c>
      <c r="G39" s="273">
        <v>12.075127343556492</v>
      </c>
      <c r="H39" s="273">
        <v>7.0947594242377621</v>
      </c>
      <c r="I39" s="273">
        <v>8.1454654699594222</v>
      </c>
      <c r="J39" s="273">
        <v>7.0930051432926966E-2</v>
      </c>
      <c r="K39" s="273">
        <v>3.3984264289900867</v>
      </c>
      <c r="L39" s="273">
        <v>-2.9598917781819112</v>
      </c>
      <c r="M39" s="273">
        <v>1.6674232198946815</v>
      </c>
      <c r="N39" s="273">
        <v>12.810724734391865</v>
      </c>
      <c r="O39" s="273">
        <v>4.0910822018940474</v>
      </c>
      <c r="P39" s="273">
        <v>1.6957858716495133</v>
      </c>
      <c r="Q39" s="273">
        <v>1.7082506006745435</v>
      </c>
      <c r="R39" s="273">
        <v>-3.3759083107357202</v>
      </c>
      <c r="S39" s="273">
        <v>1.0946059194455238</v>
      </c>
      <c r="T39" s="273">
        <v>6.2056375415529885</v>
      </c>
      <c r="U39" s="273">
        <v>-5.4737983048149585</v>
      </c>
      <c r="V39" s="273">
        <v>-4.7129459968469174</v>
      </c>
      <c r="W39" s="273">
        <v>3.6370787098779056</v>
      </c>
    </row>
    <row r="40" spans="1:23" s="203" customFormat="1" ht="9.9499999999999993" customHeight="1">
      <c r="A40" s="159"/>
      <c r="B40" s="141" t="s">
        <v>298</v>
      </c>
      <c r="C40" s="273">
        <v>16.002362316651752</v>
      </c>
      <c r="D40" s="273">
        <v>-19.672292870874898</v>
      </c>
      <c r="E40" s="273">
        <v>8.3089470473167726</v>
      </c>
      <c r="F40" s="273">
        <v>14.434189419169563</v>
      </c>
      <c r="G40" s="273">
        <v>-0.8527134943429826</v>
      </c>
      <c r="H40" s="273">
        <v>16.055091747293982</v>
      </c>
      <c r="I40" s="273">
        <v>0.276470871378387</v>
      </c>
      <c r="J40" s="273">
        <v>2.4951980216347369</v>
      </c>
      <c r="K40" s="273">
        <v>7.6637266792604075</v>
      </c>
      <c r="L40" s="273">
        <v>10.615238670361894</v>
      </c>
      <c r="M40" s="273">
        <v>16.92028307156135</v>
      </c>
      <c r="N40" s="273">
        <v>44.635271281501289</v>
      </c>
      <c r="O40" s="273">
        <v>7.2496247792134261</v>
      </c>
      <c r="P40" s="273">
        <v>19.862103065097546</v>
      </c>
      <c r="Q40" s="273">
        <v>7.293079771668487</v>
      </c>
      <c r="R40" s="273">
        <v>3.3595437517527582</v>
      </c>
      <c r="S40" s="273">
        <v>19.080230815321443</v>
      </c>
      <c r="T40" s="273">
        <v>7.8429046350345422</v>
      </c>
      <c r="U40" s="273">
        <v>0.38131031370800539</v>
      </c>
      <c r="V40" s="273">
        <v>-2.2450759443845891</v>
      </c>
      <c r="W40" s="273">
        <v>22.624432529484206</v>
      </c>
    </row>
    <row r="41" spans="1:23" s="203" customFormat="1" ht="9.9499999999999993" customHeight="1">
      <c r="A41" s="159"/>
      <c r="B41" s="141" t="s">
        <v>260</v>
      </c>
      <c r="C41" s="273">
        <v>-8.257478689362296</v>
      </c>
      <c r="D41" s="273">
        <v>9.0657398221969832</v>
      </c>
      <c r="E41" s="273">
        <v>7.273358901381366</v>
      </c>
      <c r="F41" s="273">
        <v>-8.4037149073112332</v>
      </c>
      <c r="G41" s="273">
        <v>11.542935223029271</v>
      </c>
      <c r="H41" s="273">
        <v>8.4341880582180728</v>
      </c>
      <c r="I41" s="273">
        <v>6.9539407783892893</v>
      </c>
      <c r="J41" s="273">
        <v>3.290162273607411</v>
      </c>
      <c r="K41" s="273">
        <v>8.4831252166167381</v>
      </c>
      <c r="L41" s="273">
        <v>-3.0849424869008324</v>
      </c>
      <c r="M41" s="273">
        <v>-3.3402409945182954</v>
      </c>
      <c r="N41" s="273">
        <v>14.597901848989924</v>
      </c>
      <c r="O41" s="273">
        <v>6.4037296398776089</v>
      </c>
      <c r="P41" s="273">
        <v>3.0887628283057689</v>
      </c>
      <c r="Q41" s="273">
        <v>-1.0176690661787391</v>
      </c>
      <c r="R41" s="273">
        <v>-9.9378460881041626</v>
      </c>
      <c r="S41" s="273">
        <v>1.1329491412566117</v>
      </c>
      <c r="T41" s="273">
        <v>9.0119749319306877</v>
      </c>
      <c r="U41" s="273">
        <v>4.9257739840235848</v>
      </c>
      <c r="V41" s="273">
        <v>-0.41845914204741153</v>
      </c>
      <c r="W41" s="273">
        <v>3.3825827881553305</v>
      </c>
    </row>
    <row r="42" spans="1:23" s="203" customFormat="1" ht="9.9499999999999993" customHeight="1">
      <c r="A42" s="159"/>
      <c r="B42" s="141" t="s">
        <v>261</v>
      </c>
      <c r="C42" s="273">
        <v>-19.560864988212145</v>
      </c>
      <c r="D42" s="273">
        <v>4.8321512994953464</v>
      </c>
      <c r="E42" s="273">
        <v>-3.7742724252690429</v>
      </c>
      <c r="F42" s="273">
        <v>-3.7716635099831808</v>
      </c>
      <c r="G42" s="273">
        <v>6.7359244054151279</v>
      </c>
      <c r="H42" s="273">
        <v>14.952781658827984</v>
      </c>
      <c r="I42" s="273">
        <v>-0.95695926966821165</v>
      </c>
      <c r="J42" s="273">
        <v>9.0520452918982244</v>
      </c>
      <c r="K42" s="273">
        <v>6.2279760778133575</v>
      </c>
      <c r="L42" s="273">
        <v>4.811335737946032</v>
      </c>
      <c r="M42" s="273">
        <v>-8.3843912176052804</v>
      </c>
      <c r="N42" s="273">
        <v>9.1968944833658917</v>
      </c>
      <c r="O42" s="273">
        <v>7.3711065619720628</v>
      </c>
      <c r="P42" s="273">
        <v>-0.71205268508838238</v>
      </c>
      <c r="Q42" s="273">
        <v>1.8570684539612303</v>
      </c>
      <c r="R42" s="273">
        <v>-6.9431320672409758</v>
      </c>
      <c r="S42" s="273">
        <v>0.8397826716748602</v>
      </c>
      <c r="T42" s="273">
        <v>4.0677072379022849</v>
      </c>
      <c r="U42" s="273">
        <v>2.5835254831045207</v>
      </c>
      <c r="V42" s="273">
        <v>-0.35052147595449057</v>
      </c>
      <c r="W42" s="273">
        <v>4.9254982382887835</v>
      </c>
    </row>
    <row r="43" spans="1:23" s="203" customFormat="1" ht="9.9499999999999993" customHeight="1">
      <c r="A43" s="159"/>
      <c r="B43" s="141" t="s">
        <v>262</v>
      </c>
      <c r="C43" s="273">
        <v>-7.2126210415937368</v>
      </c>
      <c r="D43" s="273">
        <v>12.217825479233246</v>
      </c>
      <c r="E43" s="273">
        <v>-2.4640151702666757</v>
      </c>
      <c r="F43" s="273">
        <v>-3.6188906674987975</v>
      </c>
      <c r="G43" s="273">
        <v>-5.0003188875444966</v>
      </c>
      <c r="H43" s="273">
        <v>22.941570978651306</v>
      </c>
      <c r="I43" s="273">
        <v>-6.2459304186625815</v>
      </c>
      <c r="J43" s="273">
        <v>7.2747591689348301</v>
      </c>
      <c r="K43" s="273">
        <v>-7.001533811022953</v>
      </c>
      <c r="L43" s="273">
        <v>2.5049513359271192</v>
      </c>
      <c r="M43" s="273">
        <v>12.320407560774083</v>
      </c>
      <c r="N43" s="273">
        <v>-3.3342587019541403</v>
      </c>
      <c r="O43" s="273">
        <v>-0.74446334233133626</v>
      </c>
      <c r="P43" s="273">
        <v>-1.0198921137414496</v>
      </c>
      <c r="Q43" s="273">
        <v>-6.7489881072746449E-2</v>
      </c>
      <c r="R43" s="273">
        <v>0.47584850914677013</v>
      </c>
      <c r="S43" s="273">
        <v>2.3887144389868054</v>
      </c>
      <c r="T43" s="273">
        <v>4.0778666281013232</v>
      </c>
      <c r="U43" s="273">
        <v>3.3663606008561775</v>
      </c>
      <c r="V43" s="273">
        <v>1.3846434836751742</v>
      </c>
      <c r="W43" s="273">
        <v>-1.5940916495149171</v>
      </c>
    </row>
    <row r="44" spans="1:23" s="203" customFormat="1" ht="9.9499999999999993" customHeight="1">
      <c r="A44" s="159"/>
      <c r="B44" s="141" t="s">
        <v>263</v>
      </c>
      <c r="C44" s="273">
        <v>0.77560073657292339</v>
      </c>
      <c r="D44" s="273">
        <v>-13.142318499048301</v>
      </c>
      <c r="E44" s="273">
        <v>21.838424010498581</v>
      </c>
      <c r="F44" s="273">
        <v>-12.437290045825012</v>
      </c>
      <c r="G44" s="273">
        <v>-10.906615191065683</v>
      </c>
      <c r="H44" s="273">
        <v>75.109198994010711</v>
      </c>
      <c r="I44" s="273">
        <v>-11.080787617421429</v>
      </c>
      <c r="J44" s="273">
        <v>17.193712725690592</v>
      </c>
      <c r="K44" s="273">
        <v>28.727297405658469</v>
      </c>
      <c r="L44" s="273">
        <v>-10.086733826039618</v>
      </c>
      <c r="M44" s="273">
        <v>19.680754374459465</v>
      </c>
      <c r="N44" s="273">
        <v>8.7893475831587686</v>
      </c>
      <c r="O44" s="273">
        <v>2.3313073072648294</v>
      </c>
      <c r="P44" s="273">
        <v>1.1479737520283306</v>
      </c>
      <c r="Q44" s="273">
        <v>13.760535322288558</v>
      </c>
      <c r="R44" s="273">
        <v>-23.008426111690671</v>
      </c>
      <c r="S44" s="273">
        <v>-4.1093763135649279</v>
      </c>
      <c r="T44" s="273">
        <v>6.554667843273454</v>
      </c>
      <c r="U44" s="273">
        <v>3.0358972415323704</v>
      </c>
      <c r="V44" s="273">
        <v>-14.532007243349977</v>
      </c>
      <c r="W44" s="273">
        <v>20.349950218312141</v>
      </c>
    </row>
    <row r="45" spans="1:23" s="203" customFormat="1" ht="9.9499999999999993" customHeight="1">
      <c r="A45" s="159"/>
      <c r="B45" s="141" t="s">
        <v>87</v>
      </c>
      <c r="C45" s="273">
        <v>13.094302324025641</v>
      </c>
      <c r="D45" s="273">
        <v>16.919595415874355</v>
      </c>
      <c r="E45" s="273">
        <v>-7.008838658074346</v>
      </c>
      <c r="F45" s="273">
        <v>10.626821869942727</v>
      </c>
      <c r="G45" s="273">
        <v>-3.9814171141029586</v>
      </c>
      <c r="H45" s="273">
        <v>-0.89146623155719196</v>
      </c>
      <c r="I45" s="273">
        <v>-4.4372001246183235</v>
      </c>
      <c r="J45" s="273">
        <v>18.507141140628903</v>
      </c>
      <c r="K45" s="273">
        <v>3.2649024985779374</v>
      </c>
      <c r="L45" s="273">
        <v>-2.7028939624511916</v>
      </c>
      <c r="M45" s="273">
        <v>1.7845070800130536</v>
      </c>
      <c r="N45" s="273">
        <v>0.14114116980210589</v>
      </c>
      <c r="O45" s="273">
        <v>6.0180431320146388</v>
      </c>
      <c r="P45" s="273">
        <v>7.2306997024250474</v>
      </c>
      <c r="Q45" s="273">
        <v>-3.6779603307952602</v>
      </c>
      <c r="R45" s="273">
        <v>-0.33179860184318066</v>
      </c>
      <c r="S45" s="273">
        <v>-6.8923198760113102</v>
      </c>
      <c r="T45" s="273">
        <v>0.81662338681069979</v>
      </c>
      <c r="U45" s="273">
        <v>-0.43616339199034071</v>
      </c>
      <c r="V45" s="273">
        <v>-9.5136616822715467</v>
      </c>
      <c r="W45" s="273">
        <v>2.1969486717835274</v>
      </c>
    </row>
    <row r="46" spans="1:23" s="203" customFormat="1" ht="9.9499999999999993" customHeight="1">
      <c r="A46" s="159"/>
      <c r="B46" s="141" t="s">
        <v>211</v>
      </c>
      <c r="C46" s="273">
        <v>-0.40152364239673943</v>
      </c>
      <c r="D46" s="273">
        <v>-27.37486553081353</v>
      </c>
      <c r="E46" s="273">
        <v>20.242119363152788</v>
      </c>
      <c r="F46" s="273">
        <v>-12.940419564187122</v>
      </c>
      <c r="G46" s="273">
        <v>-1.1501739872120553</v>
      </c>
      <c r="H46" s="273">
        <v>-12.31924673684116</v>
      </c>
      <c r="I46" s="273">
        <v>37.526369335325867</v>
      </c>
      <c r="J46" s="273">
        <v>20.524677648097068</v>
      </c>
      <c r="K46" s="273">
        <v>13.709529144583676</v>
      </c>
      <c r="L46" s="273">
        <v>-24.368301808530557</v>
      </c>
      <c r="M46" s="273">
        <v>-15.831701910554031</v>
      </c>
      <c r="N46" s="273">
        <v>55.81274216384908</v>
      </c>
      <c r="O46" s="273">
        <v>-4.7342429271967745</v>
      </c>
      <c r="P46" s="273">
        <v>-6.0685409066946194</v>
      </c>
      <c r="Q46" s="273">
        <v>-10.441393155883095</v>
      </c>
      <c r="R46" s="273">
        <v>5.3962249945672669</v>
      </c>
      <c r="S46" s="273">
        <v>7.4231210355975019</v>
      </c>
      <c r="T46" s="273">
        <v>19.402414345644161</v>
      </c>
      <c r="U46" s="273">
        <v>-11.3377755121998</v>
      </c>
      <c r="V46" s="273">
        <v>-6.2718680895680556</v>
      </c>
      <c r="W46" s="273">
        <v>12.411561626588274</v>
      </c>
    </row>
    <row r="47" spans="1:23" s="203" customFormat="1" ht="9.9499999999999993" customHeight="1">
      <c r="A47" s="159"/>
      <c r="B47" s="141" t="s">
        <v>264</v>
      </c>
      <c r="C47" s="273">
        <v>-2.5035506507979033</v>
      </c>
      <c r="D47" s="273">
        <v>5.1128948879328062</v>
      </c>
      <c r="E47" s="273">
        <v>-7.3705817617542131</v>
      </c>
      <c r="F47" s="273">
        <v>-8.9177222030706993</v>
      </c>
      <c r="G47" s="273">
        <v>7.4191471135416132</v>
      </c>
      <c r="H47" s="273">
        <v>-9.413137960017437</v>
      </c>
      <c r="I47" s="273">
        <v>-5.8261798951039552</v>
      </c>
      <c r="J47" s="273">
        <v>-3.9029703149137229</v>
      </c>
      <c r="K47" s="273">
        <v>8.1309952223158177</v>
      </c>
      <c r="L47" s="273">
        <v>-6.8817546899380355</v>
      </c>
      <c r="M47" s="273">
        <v>-4.0468173773952953</v>
      </c>
      <c r="N47" s="273">
        <v>3.3432016444963963</v>
      </c>
      <c r="O47" s="273">
        <v>1.7365322426658558</v>
      </c>
      <c r="P47" s="273">
        <v>-3.9337444427746449</v>
      </c>
      <c r="Q47" s="273">
        <v>4.2467696893008222</v>
      </c>
      <c r="R47" s="273">
        <v>-1.8492309362582282</v>
      </c>
      <c r="S47" s="273">
        <v>5.4746089779715179</v>
      </c>
      <c r="T47" s="273">
        <v>2.9893607587549775</v>
      </c>
      <c r="U47" s="273">
        <v>-6.8617359721000142</v>
      </c>
      <c r="V47" s="273">
        <v>5.1383594372304664</v>
      </c>
      <c r="W47" s="273">
        <v>2.5797374141641072</v>
      </c>
    </row>
    <row r="48" spans="1:23" s="203" customFormat="1" ht="9.9499999999999993" customHeight="1">
      <c r="A48" s="160"/>
      <c r="B48" s="144" t="s">
        <v>61</v>
      </c>
      <c r="C48" s="274">
        <v>0.3169465671432059</v>
      </c>
      <c r="D48" s="274">
        <v>2.6472802391464212</v>
      </c>
      <c r="E48" s="274">
        <v>10.062215649465834</v>
      </c>
      <c r="F48" s="274">
        <v>2.3195376373341015</v>
      </c>
      <c r="G48" s="274">
        <v>-8.9720111884077021</v>
      </c>
      <c r="H48" s="274">
        <v>-4.9107605148018258</v>
      </c>
      <c r="I48" s="274">
        <v>-6.480194069302847</v>
      </c>
      <c r="J48" s="274">
        <v>3.3552623896721201</v>
      </c>
      <c r="K48" s="274">
        <v>6.1759808441712138</v>
      </c>
      <c r="L48" s="274">
        <v>7.9020123714482526</v>
      </c>
      <c r="M48" s="274">
        <v>-33.036176549724786</v>
      </c>
      <c r="N48" s="274">
        <v>-6.1732584726540747</v>
      </c>
      <c r="O48" s="274">
        <v>25.681390252107295</v>
      </c>
      <c r="P48" s="274">
        <v>-1.689336835274502</v>
      </c>
      <c r="Q48" s="274">
        <v>-5.0090780271046853</v>
      </c>
      <c r="R48" s="274">
        <v>22.71893389750548</v>
      </c>
      <c r="S48" s="274">
        <v>5.3451508285322413</v>
      </c>
      <c r="T48" s="274">
        <v>-1.0219212692140656</v>
      </c>
      <c r="U48" s="274">
        <v>-10.27185173506343</v>
      </c>
      <c r="V48" s="274">
        <v>12.684121123291403</v>
      </c>
      <c r="W48" s="274">
        <v>4.4748121752995473</v>
      </c>
    </row>
    <row r="49" spans="1:23" s="203" customFormat="1" ht="12.75">
      <c r="A49" s="16"/>
      <c r="B49" s="2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123"/>
      <c r="U49" s="123"/>
      <c r="V49" s="123"/>
      <c r="W49" s="123" t="s">
        <v>210</v>
      </c>
    </row>
    <row r="50" spans="1:23" s="203" customFormat="1" ht="15" customHeight="1">
      <c r="A50" s="16"/>
      <c r="B50" s="74" t="s">
        <v>244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s="203" customFormat="1" ht="18.75" customHeight="1">
      <c r="A51" s="516" t="s">
        <v>230</v>
      </c>
      <c r="B51" s="517"/>
      <c r="C51" s="370" t="s">
        <v>304</v>
      </c>
      <c r="D51" s="370" t="s">
        <v>305</v>
      </c>
      <c r="E51" s="370" t="s">
        <v>306</v>
      </c>
      <c r="F51" s="370" t="s">
        <v>307</v>
      </c>
      <c r="G51" s="370" t="s">
        <v>308</v>
      </c>
      <c r="H51" s="370" t="s">
        <v>309</v>
      </c>
      <c r="I51" s="370" t="s">
        <v>213</v>
      </c>
      <c r="J51" s="370" t="s">
        <v>214</v>
      </c>
      <c r="K51" s="370" t="s">
        <v>215</v>
      </c>
      <c r="L51" s="370" t="s">
        <v>216</v>
      </c>
      <c r="M51" s="370" t="s">
        <v>217</v>
      </c>
      <c r="N51" s="370" t="s">
        <v>218</v>
      </c>
      <c r="O51" s="370" t="s">
        <v>219</v>
      </c>
      <c r="P51" s="370" t="s">
        <v>220</v>
      </c>
      <c r="Q51" s="370" t="s">
        <v>221</v>
      </c>
      <c r="R51" s="370" t="s">
        <v>222</v>
      </c>
      <c r="S51" s="370" t="s">
        <v>450</v>
      </c>
      <c r="T51" s="370" t="s">
        <v>451</v>
      </c>
      <c r="U51" s="370" t="s">
        <v>452</v>
      </c>
      <c r="V51" s="370" t="s">
        <v>453</v>
      </c>
      <c r="W51" s="370" t="s">
        <v>454</v>
      </c>
    </row>
    <row r="52" spans="1:23" s="203" customFormat="1" ht="9.9499999999999993" customHeight="1">
      <c r="A52" s="159"/>
      <c r="B52" s="141" t="s">
        <v>62</v>
      </c>
      <c r="C52" s="273">
        <v>-21.072800909478474</v>
      </c>
      <c r="D52" s="273">
        <v>36.665871759402549</v>
      </c>
      <c r="E52" s="273">
        <v>-0.98660920500851512</v>
      </c>
      <c r="F52" s="273">
        <v>-10.279928780890678</v>
      </c>
      <c r="G52" s="273">
        <v>20.704714304590823</v>
      </c>
      <c r="H52" s="273">
        <v>-6.5833931978876992</v>
      </c>
      <c r="I52" s="273">
        <v>4.594866540117537</v>
      </c>
      <c r="J52" s="273">
        <v>-6.2792039833588165</v>
      </c>
      <c r="K52" s="273">
        <v>31.522883163982041</v>
      </c>
      <c r="L52" s="273">
        <v>4.6255956219412253</v>
      </c>
      <c r="M52" s="273">
        <v>-1.0654327679399667</v>
      </c>
      <c r="N52" s="273">
        <v>7.8789541907299032</v>
      </c>
      <c r="O52" s="273">
        <v>7.3189295331649529</v>
      </c>
      <c r="P52" s="273">
        <v>86.226292862480378</v>
      </c>
      <c r="Q52" s="273">
        <v>9.2659613666379101</v>
      </c>
      <c r="R52" s="273">
        <v>-19.94786368664716</v>
      </c>
      <c r="S52" s="273">
        <v>0.34335501608497854</v>
      </c>
      <c r="T52" s="273">
        <v>8.0101458571777417</v>
      </c>
      <c r="U52" s="273">
        <v>1.8124896048376415</v>
      </c>
      <c r="V52" s="273">
        <v>11.761171089457157</v>
      </c>
      <c r="W52" s="273">
        <v>6.7257870149400656</v>
      </c>
    </row>
    <row r="53" spans="1:23" s="203" customFormat="1" ht="9.9499999999999993" customHeight="1">
      <c r="A53" s="159"/>
      <c r="B53" s="141" t="s">
        <v>91</v>
      </c>
      <c r="C53" s="273">
        <v>42.479149787475066</v>
      </c>
      <c r="D53" s="273">
        <v>-1.0880545159925648</v>
      </c>
      <c r="E53" s="273">
        <v>-13.257136180015372</v>
      </c>
      <c r="F53" s="273">
        <v>2.1664538918924725</v>
      </c>
      <c r="G53" s="273">
        <v>9.7243621957899364</v>
      </c>
      <c r="H53" s="273">
        <v>10.228175144740259</v>
      </c>
      <c r="I53" s="273">
        <v>14.439222062332213</v>
      </c>
      <c r="J53" s="273">
        <v>52.62681074119304</v>
      </c>
      <c r="K53" s="273">
        <v>12.762237325774016</v>
      </c>
      <c r="L53" s="273">
        <v>-1.7025300180885106</v>
      </c>
      <c r="M53" s="273">
        <v>16.272817030817286</v>
      </c>
      <c r="N53" s="273">
        <v>-10.486129694544177</v>
      </c>
      <c r="O53" s="273">
        <v>16.616084297010715</v>
      </c>
      <c r="P53" s="273">
        <v>31.028239604054075</v>
      </c>
      <c r="Q53" s="273">
        <v>-5.4220917005011966</v>
      </c>
      <c r="R53" s="273">
        <v>0.86307449833593619</v>
      </c>
      <c r="S53" s="273">
        <v>6.1678345038216342</v>
      </c>
      <c r="T53" s="273">
        <v>-1.4911339935979151</v>
      </c>
      <c r="U53" s="273">
        <v>-5.3608455026623485</v>
      </c>
      <c r="V53" s="273">
        <v>-22.014157233403843</v>
      </c>
      <c r="W53" s="273">
        <v>-1.77969409429799</v>
      </c>
    </row>
    <row r="54" spans="1:23" s="203" customFormat="1" ht="9.9499999999999993" customHeight="1">
      <c r="A54" s="159"/>
      <c r="B54" s="141" t="s">
        <v>63</v>
      </c>
      <c r="C54" s="273">
        <v>-13.645639722196279</v>
      </c>
      <c r="D54" s="273">
        <v>-7.4045521082194643</v>
      </c>
      <c r="E54" s="273">
        <v>-0.20587804615473937</v>
      </c>
      <c r="F54" s="273">
        <v>-2.7362351294124565</v>
      </c>
      <c r="G54" s="273">
        <v>4.8316844771736367</v>
      </c>
      <c r="H54" s="273">
        <v>4.360790091150335</v>
      </c>
      <c r="I54" s="273">
        <v>-0.45385605455413591</v>
      </c>
      <c r="J54" s="273">
        <v>2.8791297906538338</v>
      </c>
      <c r="K54" s="273">
        <v>13.832827617484099</v>
      </c>
      <c r="L54" s="273">
        <v>3.8082845509016083</v>
      </c>
      <c r="M54" s="273">
        <v>-2.9603268911195468</v>
      </c>
      <c r="N54" s="273">
        <v>-1.8837263396687121</v>
      </c>
      <c r="O54" s="273">
        <v>2.8426884673670827</v>
      </c>
      <c r="P54" s="273">
        <v>1.9916085971027897E-2</v>
      </c>
      <c r="Q54" s="273">
        <v>8.3927066021787233</v>
      </c>
      <c r="R54" s="273">
        <v>-3.7524244199244827</v>
      </c>
      <c r="S54" s="273">
        <v>4.0813811821811541</v>
      </c>
      <c r="T54" s="273">
        <v>-9.134289151983344</v>
      </c>
      <c r="U54" s="273">
        <v>4.4839273258099777</v>
      </c>
      <c r="V54" s="273">
        <v>-22.381532020068164</v>
      </c>
      <c r="W54" s="273">
        <v>-18.030368687017571</v>
      </c>
    </row>
    <row r="55" spans="1:23" s="203" customFormat="1" ht="9.9499999999999993" customHeight="1">
      <c r="A55" s="159"/>
      <c r="B55" s="141" t="s">
        <v>142</v>
      </c>
      <c r="C55" s="273">
        <v>-7.0274005558939585</v>
      </c>
      <c r="D55" s="273">
        <v>11.11848009328742</v>
      </c>
      <c r="E55" s="273">
        <v>1.4573178387384811</v>
      </c>
      <c r="F55" s="273">
        <v>2.0342025763766092</v>
      </c>
      <c r="G55" s="273">
        <v>-17.985426949040274</v>
      </c>
      <c r="H55" s="273">
        <v>123.16510656177782</v>
      </c>
      <c r="I55" s="273">
        <v>-45.635485561449215</v>
      </c>
      <c r="J55" s="273">
        <v>60.81171329949553</v>
      </c>
      <c r="K55" s="273">
        <v>8.0567542339871743</v>
      </c>
      <c r="L55" s="273">
        <v>28.934951238245166</v>
      </c>
      <c r="M55" s="273">
        <v>-54.760131905885821</v>
      </c>
      <c r="N55" s="273">
        <v>131.90585241392165</v>
      </c>
      <c r="O55" s="273">
        <v>-63.141067919693128</v>
      </c>
      <c r="P55" s="273">
        <v>6.1360767789918613</v>
      </c>
      <c r="Q55" s="273">
        <v>-22.948357013802344</v>
      </c>
      <c r="R55" s="273">
        <v>102.99961072582727</v>
      </c>
      <c r="S55" s="273">
        <v>-23.978618275730433</v>
      </c>
      <c r="T55" s="273">
        <v>-64.39695826456024</v>
      </c>
      <c r="U55" s="273">
        <v>91.399370187162148</v>
      </c>
      <c r="V55" s="273">
        <v>-25.984094593207541</v>
      </c>
      <c r="W55" s="273">
        <v>52.244318251197505</v>
      </c>
    </row>
    <row r="56" spans="1:23" s="203" customFormat="1" ht="9.9499999999999993" customHeight="1">
      <c r="A56" s="159"/>
      <c r="B56" s="141" t="s">
        <v>118</v>
      </c>
      <c r="C56" s="273">
        <v>-1.5111368553168969</v>
      </c>
      <c r="D56" s="273">
        <v>0.5355023763264688</v>
      </c>
      <c r="E56" s="273">
        <v>-5.3205774246208097</v>
      </c>
      <c r="F56" s="273">
        <v>-9.2284148878461263</v>
      </c>
      <c r="G56" s="273">
        <v>-5.8455101375878504</v>
      </c>
      <c r="H56" s="273">
        <v>4.4704554160130083</v>
      </c>
      <c r="I56" s="273">
        <v>2.8418798435580817</v>
      </c>
      <c r="J56" s="273">
        <v>6.0539117079295046</v>
      </c>
      <c r="K56" s="273">
        <v>4.6940316154482131</v>
      </c>
      <c r="L56" s="273">
        <v>-7.2890603374467062</v>
      </c>
      <c r="M56" s="273">
        <v>3.564154585649848</v>
      </c>
      <c r="N56" s="273">
        <v>3.0676531788224715</v>
      </c>
      <c r="O56" s="273">
        <v>5.6803922564615306</v>
      </c>
      <c r="P56" s="273">
        <v>-1.060384164968442</v>
      </c>
      <c r="Q56" s="273">
        <v>4.0212569987175373</v>
      </c>
      <c r="R56" s="273">
        <v>-8.8053280892046342</v>
      </c>
      <c r="S56" s="273">
        <v>12.267595152991184</v>
      </c>
      <c r="T56" s="273">
        <v>3.0831697237380329</v>
      </c>
      <c r="U56" s="273">
        <v>-4.0825090404320914</v>
      </c>
      <c r="V56" s="273">
        <v>1.4210789901171195</v>
      </c>
      <c r="W56" s="273">
        <v>5.4224604312212765</v>
      </c>
    </row>
    <row r="57" spans="1:23" s="203" customFormat="1" ht="9.9499999999999993" customHeight="1">
      <c r="A57" s="159"/>
      <c r="B57" s="141" t="s">
        <v>119</v>
      </c>
      <c r="C57" s="273">
        <v>45.19547793517571</v>
      </c>
      <c r="D57" s="273">
        <v>9.5407463242015424</v>
      </c>
      <c r="E57" s="273">
        <v>31.122792756419692</v>
      </c>
      <c r="F57" s="273">
        <v>32.463143369101807</v>
      </c>
      <c r="G57" s="273">
        <v>-1.618755736429689</v>
      </c>
      <c r="H57" s="273">
        <v>-2.3912451502385079</v>
      </c>
      <c r="I57" s="273">
        <v>-16.859962727106392</v>
      </c>
      <c r="J57" s="273">
        <v>18.179104959545668</v>
      </c>
      <c r="K57" s="273">
        <v>1.9844699090274087</v>
      </c>
      <c r="L57" s="273">
        <v>6.4662673680152549</v>
      </c>
      <c r="M57" s="273">
        <v>7.9219228685580179</v>
      </c>
      <c r="N57" s="273">
        <v>4.0997613407177003</v>
      </c>
      <c r="O57" s="273">
        <v>1.4483569483441316</v>
      </c>
      <c r="P57" s="273">
        <v>7.0506602870168411</v>
      </c>
      <c r="Q57" s="273">
        <v>7.1260599585218243</v>
      </c>
      <c r="R57" s="273">
        <v>7.115971367282703</v>
      </c>
      <c r="S57" s="273">
        <v>5.7645885720077006</v>
      </c>
      <c r="T57" s="273">
        <v>1.0755726575554458</v>
      </c>
      <c r="U57" s="273">
        <v>-17.555205136728137</v>
      </c>
      <c r="V57" s="273">
        <v>-8.4330591622556845</v>
      </c>
      <c r="W57" s="273">
        <v>-0.32831761932671233</v>
      </c>
    </row>
    <row r="58" spans="1:23" s="203" customFormat="1" ht="9.9499999999999993" customHeight="1">
      <c r="A58" s="159"/>
      <c r="B58" s="141" t="s">
        <v>60</v>
      </c>
      <c r="C58" s="273">
        <v>0.49628361665254861</v>
      </c>
      <c r="D58" s="273">
        <v>11.30174936327888</v>
      </c>
      <c r="E58" s="273">
        <v>-15.323562164587933</v>
      </c>
      <c r="F58" s="273">
        <v>22.690279058648912</v>
      </c>
      <c r="G58" s="273">
        <v>-9.7098730258483705</v>
      </c>
      <c r="H58" s="273">
        <v>16.577924814674795</v>
      </c>
      <c r="I58" s="273">
        <v>32.541190307520694</v>
      </c>
      <c r="J58" s="273">
        <v>18.114778544638654</v>
      </c>
      <c r="K58" s="273">
        <v>8.8715570369957586</v>
      </c>
      <c r="L58" s="273">
        <v>-18.504657500766484</v>
      </c>
      <c r="M58" s="273">
        <v>-2.0716564723517572</v>
      </c>
      <c r="N58" s="273">
        <v>3.200678846139593</v>
      </c>
      <c r="O58" s="273">
        <v>12.911541112753566</v>
      </c>
      <c r="P58" s="273">
        <v>-2.9574679615373634</v>
      </c>
      <c r="Q58" s="273">
        <v>-14.12174738101144</v>
      </c>
      <c r="R58" s="273">
        <v>-10.082618338882565</v>
      </c>
      <c r="S58" s="273">
        <v>8.7870149058945977</v>
      </c>
      <c r="T58" s="273">
        <v>19.183903277744129</v>
      </c>
      <c r="U58" s="273">
        <v>6.8530984793444327</v>
      </c>
      <c r="V58" s="273">
        <v>10.075447522472448</v>
      </c>
      <c r="W58" s="273">
        <v>-6.892584600112583</v>
      </c>
    </row>
    <row r="59" spans="1:23" s="203" customFormat="1" ht="9.9499999999999993" customHeight="1">
      <c r="A59" s="159"/>
      <c r="B59" s="141" t="s">
        <v>120</v>
      </c>
      <c r="C59" s="273">
        <v>-42.175977826489074</v>
      </c>
      <c r="D59" s="273">
        <v>5.289175213074726</v>
      </c>
      <c r="E59" s="273">
        <v>42.589975315129692</v>
      </c>
      <c r="F59" s="273">
        <v>-33.860251704628944</v>
      </c>
      <c r="G59" s="273">
        <v>7.6529415214968477</v>
      </c>
      <c r="H59" s="273">
        <v>260.55703875229864</v>
      </c>
      <c r="I59" s="273">
        <v>-46.745965619196916</v>
      </c>
      <c r="J59" s="273">
        <v>-10.363920122016134</v>
      </c>
      <c r="K59" s="273">
        <v>61.688252588925742</v>
      </c>
      <c r="L59" s="273">
        <v>-30.813477107419416</v>
      </c>
      <c r="M59" s="273">
        <v>51.001224270770095</v>
      </c>
      <c r="N59" s="273">
        <v>-24.985030879959368</v>
      </c>
      <c r="O59" s="273">
        <v>13.231060854467035</v>
      </c>
      <c r="P59" s="273">
        <v>17.880404940099325</v>
      </c>
      <c r="Q59" s="273">
        <v>-18.290585852762863</v>
      </c>
      <c r="R59" s="273">
        <v>-13.818127779735978</v>
      </c>
      <c r="S59" s="273">
        <v>-7.7468794333310109</v>
      </c>
      <c r="T59" s="273">
        <v>-81.922779530658516</v>
      </c>
      <c r="U59" s="273">
        <v>46.026496663014235</v>
      </c>
      <c r="V59" s="273">
        <v>-19.774072962427358</v>
      </c>
      <c r="W59" s="273">
        <v>9.2143391606013267</v>
      </c>
    </row>
    <row r="60" spans="1:23" s="203" customFormat="1" ht="9.9499999999999993" customHeight="1">
      <c r="A60" s="159"/>
      <c r="B60" s="141" t="s">
        <v>121</v>
      </c>
      <c r="C60" s="273">
        <v>-21.718496507582586</v>
      </c>
      <c r="D60" s="273">
        <v>4.1297193922845032</v>
      </c>
      <c r="E60" s="273">
        <v>7.849558247807753</v>
      </c>
      <c r="F60" s="273">
        <v>15.036747486277191</v>
      </c>
      <c r="G60" s="273">
        <v>-2.3621900582280975</v>
      </c>
      <c r="H60" s="273">
        <v>7.9874882923836266</v>
      </c>
      <c r="I60" s="273">
        <v>0.41263840833638543</v>
      </c>
      <c r="J60" s="273">
        <v>18.496256141017597</v>
      </c>
      <c r="K60" s="273">
        <v>11.23237054677162</v>
      </c>
      <c r="L60" s="273">
        <v>8.6815441660427872</v>
      </c>
      <c r="M60" s="273">
        <v>13.195101946983922</v>
      </c>
      <c r="N60" s="273">
        <v>11.403032718778272</v>
      </c>
      <c r="O60" s="273">
        <v>39.361630305611413</v>
      </c>
      <c r="P60" s="273">
        <v>21.612458048041905</v>
      </c>
      <c r="Q60" s="273">
        <v>-6.8465077365317262</v>
      </c>
      <c r="R60" s="273">
        <v>5.3576374453521813</v>
      </c>
      <c r="S60" s="273">
        <v>11.260990064204313</v>
      </c>
      <c r="T60" s="273">
        <v>-2.0139785794758502</v>
      </c>
      <c r="U60" s="273">
        <v>-8.3756977970965494</v>
      </c>
      <c r="V60" s="273">
        <v>-1.630084419257638</v>
      </c>
      <c r="W60" s="273">
        <v>11.629371044653357</v>
      </c>
    </row>
    <row r="61" spans="1:23" s="203" customFormat="1" ht="9.9499999999999993" customHeight="1">
      <c r="A61" s="159"/>
      <c r="B61" s="141" t="s">
        <v>129</v>
      </c>
      <c r="C61" s="273">
        <v>-11.466475455653391</v>
      </c>
      <c r="D61" s="273">
        <v>41.8712787511353</v>
      </c>
      <c r="E61" s="273">
        <v>9.7514043919165303</v>
      </c>
      <c r="F61" s="273">
        <v>32.482363791971672</v>
      </c>
      <c r="G61" s="273">
        <v>6.3919237938500073</v>
      </c>
      <c r="H61" s="273">
        <v>8.4711567166115174</v>
      </c>
      <c r="I61" s="273">
        <v>12.019625830967428</v>
      </c>
      <c r="J61" s="273">
        <v>0.29524720695055517</v>
      </c>
      <c r="K61" s="273">
        <v>10.592115141411341</v>
      </c>
      <c r="L61" s="273">
        <v>4.301645110473018</v>
      </c>
      <c r="M61" s="273">
        <v>4.9261180423818329</v>
      </c>
      <c r="N61" s="273">
        <v>6.6759598269454878</v>
      </c>
      <c r="O61" s="273">
        <v>4.9659370975456252</v>
      </c>
      <c r="P61" s="273">
        <v>7.6165547225821584</v>
      </c>
      <c r="Q61" s="273">
        <v>-4.7070787141068493</v>
      </c>
      <c r="R61" s="273">
        <v>2.0615185227802924</v>
      </c>
      <c r="S61" s="273">
        <v>-7.2584203373761813</v>
      </c>
      <c r="T61" s="273">
        <v>-4.5675485636334283</v>
      </c>
      <c r="U61" s="273">
        <v>-0.82158392490736531</v>
      </c>
      <c r="V61" s="273">
        <v>-10.475045972015396</v>
      </c>
      <c r="W61" s="273">
        <v>9.8011746561045499</v>
      </c>
    </row>
    <row r="62" spans="1:23" s="203" customFormat="1" ht="9.9499999999999993" customHeight="1">
      <c r="A62" s="159"/>
      <c r="B62" s="141" t="s">
        <v>139</v>
      </c>
      <c r="C62" s="273">
        <v>-2.6827471699623961</v>
      </c>
      <c r="D62" s="273">
        <v>39.12309548075519</v>
      </c>
      <c r="E62" s="273">
        <v>-14.595598968528368</v>
      </c>
      <c r="F62" s="273">
        <v>-10.490251634229331</v>
      </c>
      <c r="G62" s="273">
        <v>7.4079554612483056</v>
      </c>
      <c r="H62" s="273">
        <v>-5.5833499043846269</v>
      </c>
      <c r="I62" s="273">
        <v>5.8182704512123484</v>
      </c>
      <c r="J62" s="273">
        <v>5.6968099085736634</v>
      </c>
      <c r="K62" s="273">
        <v>21.912892147145733</v>
      </c>
      <c r="L62" s="273">
        <v>5.2570538857232396</v>
      </c>
      <c r="M62" s="273">
        <v>-1.5835599449843141</v>
      </c>
      <c r="N62" s="273">
        <v>-12.938370065478644</v>
      </c>
      <c r="O62" s="273">
        <v>44.351445331838768</v>
      </c>
      <c r="P62" s="273">
        <v>-24.847647134198102</v>
      </c>
      <c r="Q62" s="273">
        <v>11.880444285492086</v>
      </c>
      <c r="R62" s="273">
        <v>29.429041940902746</v>
      </c>
      <c r="S62" s="273">
        <v>2.6517860759911693</v>
      </c>
      <c r="T62" s="273">
        <v>-19.304415032524236</v>
      </c>
      <c r="U62" s="273">
        <v>7.0256045441744908</v>
      </c>
      <c r="V62" s="273">
        <v>0.18411454979652131</v>
      </c>
      <c r="W62" s="273">
        <v>-7.5141790771970474</v>
      </c>
    </row>
    <row r="63" spans="1:23" s="203" customFormat="1" ht="9.9499999999999993" customHeight="1">
      <c r="A63" s="159"/>
      <c r="B63" s="141" t="s">
        <v>167</v>
      </c>
      <c r="C63" s="273">
        <v>-24.981435534051389</v>
      </c>
      <c r="D63" s="273">
        <v>7.4916064792884374</v>
      </c>
      <c r="E63" s="273">
        <v>37.393783720673035</v>
      </c>
      <c r="F63" s="273">
        <v>-11.050684912601394</v>
      </c>
      <c r="G63" s="273">
        <v>-2.5700535143483139</v>
      </c>
      <c r="H63" s="273">
        <v>9.9800791966210056</v>
      </c>
      <c r="I63" s="273">
        <v>32.521932974954851</v>
      </c>
      <c r="J63" s="273">
        <v>11.463179933186684</v>
      </c>
      <c r="K63" s="273">
        <v>30.723280652738104</v>
      </c>
      <c r="L63" s="273">
        <v>1.3916506791614269</v>
      </c>
      <c r="M63" s="273">
        <v>70.532206647152634</v>
      </c>
      <c r="N63" s="273">
        <v>-26.757741927944799</v>
      </c>
      <c r="O63" s="273">
        <v>-18.261177121224247</v>
      </c>
      <c r="P63" s="273">
        <v>4.2048451619481231</v>
      </c>
      <c r="Q63" s="273">
        <v>44.879936307874658</v>
      </c>
      <c r="R63" s="273">
        <v>-3.9110270111885392</v>
      </c>
      <c r="S63" s="273">
        <v>-1.8669472436471768</v>
      </c>
      <c r="T63" s="273">
        <v>3.944666701297983</v>
      </c>
      <c r="U63" s="273">
        <v>-6.5025029842005093</v>
      </c>
      <c r="V63" s="273">
        <v>31.980856252473643</v>
      </c>
      <c r="W63" s="273">
        <v>13.877795571533724</v>
      </c>
    </row>
    <row r="64" spans="1:23" s="203" customFormat="1" ht="9.9499999999999993" customHeight="1">
      <c r="A64" s="159"/>
      <c r="B64" s="141" t="s">
        <v>140</v>
      </c>
      <c r="C64" s="273">
        <v>6.6584901592657175</v>
      </c>
      <c r="D64" s="273">
        <v>21.057033146408742</v>
      </c>
      <c r="E64" s="273">
        <v>3.9560598887249609</v>
      </c>
      <c r="F64" s="273">
        <v>3.2688239380908701</v>
      </c>
      <c r="G64" s="273">
        <v>-2.1008906016159123</v>
      </c>
      <c r="H64" s="273">
        <v>2.3561977948753698</v>
      </c>
      <c r="I64" s="273">
        <v>1.2483720595614312</v>
      </c>
      <c r="J64" s="273">
        <v>-2.8564371780135822</v>
      </c>
      <c r="K64" s="273">
        <v>0.68349226998534185</v>
      </c>
      <c r="L64" s="273">
        <v>-1.3562115920021434</v>
      </c>
      <c r="M64" s="273">
        <v>0.43619650878152783</v>
      </c>
      <c r="N64" s="273">
        <v>1.9718364643075637</v>
      </c>
      <c r="O64" s="273">
        <v>1.3733783860247151</v>
      </c>
      <c r="P64" s="273">
        <v>8.343364062405767</v>
      </c>
      <c r="Q64" s="273">
        <v>0.66474667037119683</v>
      </c>
      <c r="R64" s="273">
        <v>-9.532137508012184</v>
      </c>
      <c r="S64" s="273">
        <v>9.9957506196425072</v>
      </c>
      <c r="T64" s="273">
        <v>-2.081240634572934</v>
      </c>
      <c r="U64" s="273">
        <v>-6.5481262176402488</v>
      </c>
      <c r="V64" s="273">
        <v>-5.4351555865236101</v>
      </c>
      <c r="W64" s="273">
        <v>12.86756428562088</v>
      </c>
    </row>
    <row r="65" spans="1:23" s="203" customFormat="1" ht="9.9499999999999993" customHeight="1">
      <c r="A65" s="159"/>
      <c r="B65" s="141" t="s">
        <v>45</v>
      </c>
      <c r="C65" s="273">
        <v>3.1611555099347433</v>
      </c>
      <c r="D65" s="273">
        <v>-1.6222286187425161</v>
      </c>
      <c r="E65" s="273">
        <v>-6.5222982394035451</v>
      </c>
      <c r="F65" s="273">
        <v>4.2043142137507372</v>
      </c>
      <c r="G65" s="273">
        <v>1.9427223284870232</v>
      </c>
      <c r="H65" s="273">
        <v>7.5406970767395221</v>
      </c>
      <c r="I65" s="273">
        <v>-0.2179481108142034</v>
      </c>
      <c r="J65" s="273">
        <v>24.05082172124424</v>
      </c>
      <c r="K65" s="273">
        <v>-12.559398988052873</v>
      </c>
      <c r="L65" s="273">
        <v>-0.37927541949751564</v>
      </c>
      <c r="M65" s="273">
        <v>-2.4674700095401181</v>
      </c>
      <c r="N65" s="273">
        <v>-0.57104920513200152</v>
      </c>
      <c r="O65" s="273">
        <v>31.035079560288438</v>
      </c>
      <c r="P65" s="273">
        <v>14.001922408541812</v>
      </c>
      <c r="Q65" s="273">
        <v>8.9182969054406147</v>
      </c>
      <c r="R65" s="273">
        <v>7.4905789179233073</v>
      </c>
      <c r="S65" s="273">
        <v>-7.8355456892936104</v>
      </c>
      <c r="T65" s="273">
        <v>3.2762458837148234</v>
      </c>
      <c r="U65" s="273">
        <v>29.750586671876754</v>
      </c>
      <c r="V65" s="273">
        <v>-20.152018965661643</v>
      </c>
      <c r="W65" s="273">
        <v>63.066074306917997</v>
      </c>
    </row>
    <row r="66" spans="1:23" s="203" customFormat="1" ht="9.9499999999999993" customHeight="1">
      <c r="A66" s="159"/>
      <c r="B66" s="141" t="s">
        <v>43</v>
      </c>
      <c r="C66" s="273">
        <v>8.3347108065423114</v>
      </c>
      <c r="D66" s="273">
        <v>-16.838810248490745</v>
      </c>
      <c r="E66" s="273">
        <v>2.2340503843031101</v>
      </c>
      <c r="F66" s="273">
        <v>-10.420418486979887</v>
      </c>
      <c r="G66" s="273">
        <v>9.4596900744198464</v>
      </c>
      <c r="H66" s="273">
        <v>-8.8934742785545033</v>
      </c>
      <c r="I66" s="273">
        <v>1.0104952516506893</v>
      </c>
      <c r="J66" s="273">
        <v>-11.438229078591844</v>
      </c>
      <c r="K66" s="273">
        <v>25.992907504683593</v>
      </c>
      <c r="L66" s="273">
        <v>-4.0498359606453871</v>
      </c>
      <c r="M66" s="273">
        <v>11.536615283572861</v>
      </c>
      <c r="N66" s="273">
        <v>3.1626970948787525</v>
      </c>
      <c r="O66" s="273">
        <v>5.4802264866491646</v>
      </c>
      <c r="P66" s="273">
        <v>2.5527952320623992</v>
      </c>
      <c r="Q66" s="273">
        <v>3.8021543502217758</v>
      </c>
      <c r="R66" s="273">
        <v>19.454164744825597</v>
      </c>
      <c r="S66" s="273">
        <v>-8.3622770292399053</v>
      </c>
      <c r="T66" s="273">
        <v>13.925566593518646</v>
      </c>
      <c r="U66" s="273">
        <v>-1.0876665123437879</v>
      </c>
      <c r="V66" s="273">
        <v>-7.0497805655298507</v>
      </c>
      <c r="W66" s="273">
        <v>4.5719147752401712</v>
      </c>
    </row>
    <row r="67" spans="1:23" s="203" customFormat="1" ht="9.9499999999999993" customHeight="1">
      <c r="A67" s="159"/>
      <c r="B67" s="141" t="s">
        <v>44</v>
      </c>
      <c r="C67" s="273">
        <v>-24.914442162902116</v>
      </c>
      <c r="D67" s="273">
        <v>118.23154056517775</v>
      </c>
      <c r="E67" s="273">
        <v>56.417084377610685</v>
      </c>
      <c r="F67" s="273">
        <v>-35.757919684881657</v>
      </c>
      <c r="G67" s="273">
        <v>-6.9690932709794868</v>
      </c>
      <c r="H67" s="273">
        <v>0.52459260320074641</v>
      </c>
      <c r="I67" s="273">
        <v>-10.856708516412084</v>
      </c>
      <c r="J67" s="273">
        <v>20.959425969972134</v>
      </c>
      <c r="K67" s="273">
        <v>-19.536710494042197</v>
      </c>
      <c r="L67" s="273">
        <v>-6.7857568270631159</v>
      </c>
      <c r="M67" s="273">
        <v>2.76830824996257</v>
      </c>
      <c r="N67" s="273">
        <v>39.556369665204841</v>
      </c>
      <c r="O67" s="273">
        <v>16.667848280751496</v>
      </c>
      <c r="P67" s="273">
        <v>-13.17756441419543</v>
      </c>
      <c r="Q67" s="273">
        <v>-25.164701709583593</v>
      </c>
      <c r="R67" s="273">
        <v>39.059047042718717</v>
      </c>
      <c r="S67" s="273">
        <v>-6.6559879388058736</v>
      </c>
      <c r="T67" s="273">
        <v>4.6911218151881817</v>
      </c>
      <c r="U67" s="273">
        <v>20.110185817193972</v>
      </c>
      <c r="V67" s="273">
        <v>-51.14683989106625</v>
      </c>
      <c r="W67" s="273">
        <v>69.706923204822829</v>
      </c>
    </row>
    <row r="68" spans="1:23" s="203" customFormat="1" ht="9.9499999999999993" customHeight="1">
      <c r="A68" s="159"/>
      <c r="B68" s="141" t="s">
        <v>168</v>
      </c>
      <c r="C68" s="273">
        <v>0</v>
      </c>
      <c r="D68" s="273">
        <v>0</v>
      </c>
      <c r="E68" s="273">
        <v>0</v>
      </c>
      <c r="F68" s="273">
        <v>0</v>
      </c>
      <c r="G68" s="273">
        <v>0</v>
      </c>
      <c r="H68" s="273">
        <v>0</v>
      </c>
      <c r="I68" s="273">
        <v>0</v>
      </c>
      <c r="J68" s="273">
        <v>0</v>
      </c>
      <c r="K68" s="273">
        <v>0</v>
      </c>
      <c r="L68" s="273">
        <v>0</v>
      </c>
      <c r="M68" s="273">
        <v>0</v>
      </c>
      <c r="N68" s="273">
        <v>0</v>
      </c>
      <c r="O68" s="273">
        <v>0</v>
      </c>
      <c r="P68" s="273">
        <v>42.102082303170164</v>
      </c>
      <c r="Q68" s="273">
        <v>272.78062171357874</v>
      </c>
      <c r="R68" s="273">
        <v>7.5852363892375596</v>
      </c>
      <c r="S68" s="273">
        <v>81.353630254732082</v>
      </c>
      <c r="T68" s="273">
        <v>96.018051748231571</v>
      </c>
      <c r="U68" s="273">
        <v>92.922228803134544</v>
      </c>
      <c r="V68" s="273">
        <v>8.3238982518109683</v>
      </c>
      <c r="W68" s="273">
        <v>24.530666759338704</v>
      </c>
    </row>
    <row r="69" spans="1:23" s="203" customFormat="1" ht="9.9499999999999993" customHeight="1">
      <c r="A69" s="159"/>
      <c r="B69" s="141" t="s">
        <v>181</v>
      </c>
      <c r="C69" s="273">
        <v>-4.6244243455171645</v>
      </c>
      <c r="D69" s="273">
        <v>-11.380674549015058</v>
      </c>
      <c r="E69" s="273">
        <v>3.1704708811051585</v>
      </c>
      <c r="F69" s="273">
        <v>-1.4912362681710367</v>
      </c>
      <c r="G69" s="273">
        <v>0.96527860431339096</v>
      </c>
      <c r="H69" s="273">
        <v>19.099560073463451</v>
      </c>
      <c r="I69" s="273">
        <v>8.0273181283840209</v>
      </c>
      <c r="J69" s="273">
        <v>-1.8071797200693962</v>
      </c>
      <c r="K69" s="273">
        <v>5.1307017187985915</v>
      </c>
      <c r="L69" s="273">
        <v>18.732715040969381</v>
      </c>
      <c r="M69" s="273">
        <v>-1.0465418616744548</v>
      </c>
      <c r="N69" s="273">
        <v>28.613446758194794</v>
      </c>
      <c r="O69" s="273">
        <v>-2.1814383651725611</v>
      </c>
      <c r="P69" s="273">
        <v>-7.4318805921336217E-2</v>
      </c>
      <c r="Q69" s="273">
        <v>6.7815400746962906</v>
      </c>
      <c r="R69" s="273">
        <v>-5.1209976849708738</v>
      </c>
      <c r="S69" s="273">
        <v>20.212338899829675</v>
      </c>
      <c r="T69" s="273">
        <v>14.934588995791831</v>
      </c>
      <c r="U69" s="273">
        <v>39.185507552945296</v>
      </c>
      <c r="V69" s="273">
        <v>14.52547016715191</v>
      </c>
      <c r="W69" s="273">
        <v>9.4986210605773067</v>
      </c>
    </row>
    <row r="70" spans="1:23" s="203" customFormat="1" ht="9.9499999999999993" customHeight="1">
      <c r="A70" s="159"/>
      <c r="B70" s="141" t="s">
        <v>182</v>
      </c>
      <c r="C70" s="273">
        <v>1.7470654957668641</v>
      </c>
      <c r="D70" s="273">
        <v>0.93809946370422281</v>
      </c>
      <c r="E70" s="273">
        <v>1.8741793096497483</v>
      </c>
      <c r="F70" s="273">
        <v>-4.3204753264848623</v>
      </c>
      <c r="G70" s="273">
        <v>-5.3402351138636783</v>
      </c>
      <c r="H70" s="273">
        <v>-4.2620355870054976</v>
      </c>
      <c r="I70" s="273">
        <v>-5.3182151393520005</v>
      </c>
      <c r="J70" s="273">
        <v>-4.7496946333662082</v>
      </c>
      <c r="K70" s="273">
        <v>12.576447150179227</v>
      </c>
      <c r="L70" s="273">
        <v>-10.716041153616739</v>
      </c>
      <c r="M70" s="273">
        <v>-0.25474132119660542</v>
      </c>
      <c r="N70" s="273">
        <v>7.9510668329968892</v>
      </c>
      <c r="O70" s="273">
        <v>-1.3132747742111817</v>
      </c>
      <c r="P70" s="273">
        <v>-6.0369908582061367</v>
      </c>
      <c r="Q70" s="273">
        <v>3.7562788428449734</v>
      </c>
      <c r="R70" s="273">
        <v>9.6326940396666458</v>
      </c>
      <c r="S70" s="273">
        <v>5.3871102209790633</v>
      </c>
      <c r="T70" s="273">
        <v>28.572499961727281</v>
      </c>
      <c r="U70" s="273">
        <v>-7.3193245850566635</v>
      </c>
      <c r="V70" s="273">
        <v>2.7368798595708066</v>
      </c>
      <c r="W70" s="273">
        <v>13.122228953511851</v>
      </c>
    </row>
    <row r="71" spans="1:23" s="203" customFormat="1" ht="9.9499999999999993" customHeight="1">
      <c r="A71" s="159"/>
      <c r="B71" s="141" t="s">
        <v>59</v>
      </c>
      <c r="C71" s="273">
        <v>9.3005414105941107</v>
      </c>
      <c r="D71" s="273">
        <v>-11.513322201098086</v>
      </c>
      <c r="E71" s="273">
        <v>-35.245854514645373</v>
      </c>
      <c r="F71" s="273">
        <v>0.94883399260279333</v>
      </c>
      <c r="G71" s="273">
        <v>42.329769013562959</v>
      </c>
      <c r="H71" s="273">
        <v>-59.660948044556463</v>
      </c>
      <c r="I71" s="273">
        <v>182.02084131175295</v>
      </c>
      <c r="J71" s="273">
        <v>64.691843137815468</v>
      </c>
      <c r="K71" s="273">
        <v>1.3166479180826363</v>
      </c>
      <c r="L71" s="273">
        <v>11.777056673856755</v>
      </c>
      <c r="M71" s="273">
        <v>121.58235778744277</v>
      </c>
      <c r="N71" s="273">
        <v>-38.439062250325286</v>
      </c>
      <c r="O71" s="273">
        <v>-9.400198214719147</v>
      </c>
      <c r="P71" s="273">
        <v>-13.800412383920113</v>
      </c>
      <c r="Q71" s="273">
        <v>-18.729994179994293</v>
      </c>
      <c r="R71" s="273">
        <v>-2.3466736019645662</v>
      </c>
      <c r="S71" s="273">
        <v>-30.488501318926374</v>
      </c>
      <c r="T71" s="273">
        <v>108.70944016274797</v>
      </c>
      <c r="U71" s="273">
        <v>70.178436443927581</v>
      </c>
      <c r="V71" s="273">
        <v>-3.7430400405343733</v>
      </c>
      <c r="W71" s="273">
        <v>-3.941157331455647</v>
      </c>
    </row>
    <row r="72" spans="1:23" s="203" customFormat="1" ht="9.9499999999999993" customHeight="1">
      <c r="A72" s="159"/>
      <c r="B72" s="141" t="s">
        <v>183</v>
      </c>
      <c r="C72" s="273">
        <v>-41.473903619714804</v>
      </c>
      <c r="D72" s="273">
        <v>-68.218585869310573</v>
      </c>
      <c r="E72" s="273">
        <v>99.538827459738187</v>
      </c>
      <c r="F72" s="273">
        <v>76.742493175614214</v>
      </c>
      <c r="G72" s="273">
        <v>108.58422570016475</v>
      </c>
      <c r="H72" s="273">
        <v>-18.146680027841288</v>
      </c>
      <c r="I72" s="273">
        <v>-23.376513726057791</v>
      </c>
      <c r="J72" s="273">
        <v>-64.740189210886712</v>
      </c>
      <c r="K72" s="273">
        <v>32.442688452867245</v>
      </c>
      <c r="L72" s="273">
        <v>25.156321102927535</v>
      </c>
      <c r="M72" s="273">
        <v>100.6692791446155</v>
      </c>
      <c r="N72" s="273">
        <v>24.068046840922051</v>
      </c>
      <c r="O72" s="273">
        <v>20.141929900475965</v>
      </c>
      <c r="P72" s="273">
        <v>-4.5459538696478896</v>
      </c>
      <c r="Q72" s="273">
        <v>151.57592408299175</v>
      </c>
      <c r="R72" s="273">
        <v>1.7376842726271491</v>
      </c>
      <c r="S72" s="273">
        <v>-70.066515929634264</v>
      </c>
      <c r="T72" s="273">
        <v>-43.640146790965332</v>
      </c>
      <c r="U72" s="273">
        <v>-14.754936389742412</v>
      </c>
      <c r="V72" s="273">
        <v>29.193404543217994</v>
      </c>
      <c r="W72" s="273">
        <v>21.654427590092105</v>
      </c>
    </row>
    <row r="73" spans="1:23" s="203" customFormat="1" ht="9.9499999999999993" customHeight="1">
      <c r="A73" s="159"/>
      <c r="B73" s="141" t="s">
        <v>184</v>
      </c>
      <c r="C73" s="273">
        <v>-11.130792382595111</v>
      </c>
      <c r="D73" s="273">
        <v>21.844928685706087</v>
      </c>
      <c r="E73" s="273">
        <v>-2.7856913531159155</v>
      </c>
      <c r="F73" s="273">
        <v>-7.1953365560776916</v>
      </c>
      <c r="G73" s="273">
        <v>-1.5963473172569742</v>
      </c>
      <c r="H73" s="273">
        <v>6.396798609067389E-2</v>
      </c>
      <c r="I73" s="273">
        <v>4.1046118077825655</v>
      </c>
      <c r="J73" s="273">
        <v>-6.5649980741811609</v>
      </c>
      <c r="K73" s="273">
        <v>9.3547101659554386</v>
      </c>
      <c r="L73" s="273">
        <v>-7.163778452103708</v>
      </c>
      <c r="M73" s="273">
        <v>6.6275224933257659</v>
      </c>
      <c r="N73" s="273">
        <v>11.916685171441355</v>
      </c>
      <c r="O73" s="273">
        <v>-1.2400777623904125</v>
      </c>
      <c r="P73" s="273">
        <v>10.815578214073884</v>
      </c>
      <c r="Q73" s="273">
        <v>8.3434424646789296</v>
      </c>
      <c r="R73" s="273">
        <v>31.16718064873254</v>
      </c>
      <c r="S73" s="273">
        <v>-2.6365804055094255</v>
      </c>
      <c r="T73" s="273">
        <v>3.2741299727545803</v>
      </c>
      <c r="U73" s="273">
        <v>-0.25694539874491218</v>
      </c>
      <c r="V73" s="273">
        <v>11.740148134966134</v>
      </c>
      <c r="W73" s="273">
        <v>-12.912014097061119</v>
      </c>
    </row>
    <row r="74" spans="1:23" s="203" customFormat="1" ht="9.9499999999999993" customHeight="1">
      <c r="A74" s="159"/>
      <c r="B74" s="141" t="s">
        <v>130</v>
      </c>
      <c r="C74" s="273">
        <v>-6.8066639745855806</v>
      </c>
      <c r="D74" s="273">
        <v>-25.400062554071777</v>
      </c>
      <c r="E74" s="273">
        <v>-0.74854483668334026</v>
      </c>
      <c r="F74" s="273">
        <v>45.382591618186538</v>
      </c>
      <c r="G74" s="273">
        <v>24.798646086087729</v>
      </c>
      <c r="H74" s="273">
        <v>1.5780301173651257</v>
      </c>
      <c r="I74" s="273">
        <v>6.5175122310836997</v>
      </c>
      <c r="J74" s="273">
        <v>30.941119369844671</v>
      </c>
      <c r="K74" s="273">
        <v>-2.8644235878376056</v>
      </c>
      <c r="L74" s="273">
        <v>16.677909154498295</v>
      </c>
      <c r="M74" s="273">
        <v>11.69276417409073</v>
      </c>
      <c r="N74" s="273">
        <v>-0.52898689356948303</v>
      </c>
      <c r="O74" s="273">
        <v>11.927321245495426</v>
      </c>
      <c r="P74" s="273">
        <v>-8.5930583141542343</v>
      </c>
      <c r="Q74" s="273">
        <v>15.2425106277017</v>
      </c>
      <c r="R74" s="273">
        <v>2.7869290725923257</v>
      </c>
      <c r="S74" s="273">
        <v>13.696546553959998</v>
      </c>
      <c r="T74" s="273">
        <v>0.59546730535315895</v>
      </c>
      <c r="U74" s="273">
        <v>1.3812835522539535</v>
      </c>
      <c r="V74" s="273">
        <v>11.565807712566144</v>
      </c>
      <c r="W74" s="273">
        <v>-24.953226595723756</v>
      </c>
    </row>
    <row r="75" spans="1:23" s="203" customFormat="1" ht="9.9499999999999993" customHeight="1">
      <c r="A75" s="159"/>
      <c r="B75" s="141" t="s">
        <v>185</v>
      </c>
      <c r="C75" s="273">
        <v>-47.336605763112452</v>
      </c>
      <c r="D75" s="273">
        <v>119.31992750496244</v>
      </c>
      <c r="E75" s="273">
        <v>39.193746409261543</v>
      </c>
      <c r="F75" s="273">
        <v>-14.416111272095044</v>
      </c>
      <c r="G75" s="273">
        <v>15.989793011185572</v>
      </c>
      <c r="H75" s="273">
        <v>23.495170377078665</v>
      </c>
      <c r="I75" s="273">
        <v>-24.285829588398233</v>
      </c>
      <c r="J75" s="273">
        <v>-20.911109055239365</v>
      </c>
      <c r="K75" s="273">
        <v>7.1242587371417976</v>
      </c>
      <c r="L75" s="273">
        <v>-2.3974055480361911</v>
      </c>
      <c r="M75" s="273">
        <v>-8.207087158318128</v>
      </c>
      <c r="N75" s="273">
        <v>38.213591044833016</v>
      </c>
      <c r="O75" s="273">
        <v>36.924176207405999</v>
      </c>
      <c r="P75" s="273">
        <v>-3.822708749432846</v>
      </c>
      <c r="Q75" s="273">
        <v>-25.235829039102764</v>
      </c>
      <c r="R75" s="273">
        <v>9.071005784122077</v>
      </c>
      <c r="S75" s="273">
        <v>-22.75860157933295</v>
      </c>
      <c r="T75" s="273">
        <v>35.564975285967918</v>
      </c>
      <c r="U75" s="273">
        <v>16.960464663721964</v>
      </c>
      <c r="V75" s="273">
        <v>5.5988323004674045</v>
      </c>
      <c r="W75" s="273">
        <v>-12.106369936354454</v>
      </c>
    </row>
    <row r="76" spans="1:23" s="203" customFormat="1" ht="9.9499999999999993" customHeight="1">
      <c r="A76" s="159"/>
      <c r="B76" s="141" t="s">
        <v>186</v>
      </c>
      <c r="C76" s="273">
        <v>12.771290023791803</v>
      </c>
      <c r="D76" s="273">
        <v>-26.883867746766953</v>
      </c>
      <c r="E76" s="273">
        <v>-21.58590308370044</v>
      </c>
      <c r="F76" s="273">
        <v>-10.81460674157303</v>
      </c>
      <c r="G76" s="273">
        <v>-35.937007874015748</v>
      </c>
      <c r="H76" s="273">
        <v>185.7276302851524</v>
      </c>
      <c r="I76" s="273">
        <v>-77.529810554570957</v>
      </c>
      <c r="J76" s="273">
        <v>-26.005053985756955</v>
      </c>
      <c r="K76" s="273">
        <v>251.12180482251887</v>
      </c>
      <c r="L76" s="273">
        <v>-81.378706648314562</v>
      </c>
      <c r="M76" s="273">
        <v>262.07660652105108</v>
      </c>
      <c r="N76" s="273">
        <v>-65.072565133764641</v>
      </c>
      <c r="O76" s="273">
        <v>105.75719649561952</v>
      </c>
      <c r="P76" s="273">
        <v>-11.094890510948908</v>
      </c>
      <c r="Q76" s="273">
        <v>-62.746305418719203</v>
      </c>
      <c r="R76" s="273">
        <v>-37.098255280073467</v>
      </c>
      <c r="S76" s="273">
        <v>355.32846715328469</v>
      </c>
      <c r="T76" s="273">
        <v>155.97948060275729</v>
      </c>
      <c r="U76" s="273">
        <v>-89.198647294589179</v>
      </c>
      <c r="V76" s="273">
        <v>-66.604049259027349</v>
      </c>
      <c r="W76" s="273">
        <v>713.33333333333326</v>
      </c>
    </row>
    <row r="77" spans="1:23" s="203" customFormat="1" ht="9.9499999999999993" customHeight="1">
      <c r="A77" s="159"/>
      <c r="B77" s="141" t="s">
        <v>51</v>
      </c>
      <c r="C77" s="273">
        <v>5.8362454979071332</v>
      </c>
      <c r="D77" s="273">
        <v>-34.943702681422174</v>
      </c>
      <c r="E77" s="273">
        <v>-10.753492602445336</v>
      </c>
      <c r="F77" s="273">
        <v>35.460628710302977</v>
      </c>
      <c r="G77" s="273">
        <v>-2.1093612957296171</v>
      </c>
      <c r="H77" s="273">
        <v>-11.510062270095933</v>
      </c>
      <c r="I77" s="273">
        <v>6.5423000032625467</v>
      </c>
      <c r="J77" s="273">
        <v>27.155422742679747</v>
      </c>
      <c r="K77" s="273">
        <v>-15.266567015445931</v>
      </c>
      <c r="L77" s="273">
        <v>11.824062095730902</v>
      </c>
      <c r="M77" s="273">
        <v>7.097399842945884</v>
      </c>
      <c r="N77" s="273">
        <v>7.0188796159431632E-2</v>
      </c>
      <c r="O77" s="273">
        <v>7.9060792203378361</v>
      </c>
      <c r="P77" s="273">
        <v>6.4825203639274243</v>
      </c>
      <c r="Q77" s="273">
        <v>-8.2676999755527447</v>
      </c>
      <c r="R77" s="273">
        <v>0.22748099172094083</v>
      </c>
      <c r="S77" s="273">
        <v>-10.982397154302459</v>
      </c>
      <c r="T77" s="273">
        <v>5.8189833027655125</v>
      </c>
      <c r="U77" s="273">
        <v>-14.244932933412024</v>
      </c>
      <c r="V77" s="273">
        <v>18.978563146244021</v>
      </c>
      <c r="W77" s="273">
        <v>17.907701254130835</v>
      </c>
    </row>
    <row r="78" spans="1:23" s="203" customFormat="1" ht="9.9499999999999993" customHeight="1">
      <c r="A78" s="159"/>
      <c r="B78" s="141" t="s">
        <v>204</v>
      </c>
      <c r="C78" s="273">
        <v>-20.403218271130331</v>
      </c>
      <c r="D78" s="273">
        <v>2.1767721254437378</v>
      </c>
      <c r="E78" s="273">
        <v>-45.316045380875202</v>
      </c>
      <c r="F78" s="273">
        <v>-28.659218296279075</v>
      </c>
      <c r="G78" s="273">
        <v>293.29077178737464</v>
      </c>
      <c r="H78" s="273">
        <v>16.597893205467273</v>
      </c>
      <c r="I78" s="273">
        <v>13.263936990536674</v>
      </c>
      <c r="J78" s="273">
        <v>36.381253815849021</v>
      </c>
      <c r="K78" s="273">
        <v>25.970635028459977</v>
      </c>
      <c r="L78" s="273">
        <v>-1.4337593514372138</v>
      </c>
      <c r="M78" s="273">
        <v>0.14056455422217784</v>
      </c>
      <c r="N78" s="273">
        <v>-8.9256051199265727</v>
      </c>
      <c r="O78" s="273">
        <v>2.034827804813788</v>
      </c>
      <c r="P78" s="273">
        <v>-3.1601207655578611</v>
      </c>
      <c r="Q78" s="273">
        <v>-4.9858952537895735</v>
      </c>
      <c r="R78" s="273">
        <v>-6.9902402927178748</v>
      </c>
      <c r="S78" s="273">
        <v>-14.961479432447987</v>
      </c>
      <c r="T78" s="273">
        <v>68.007042182642238</v>
      </c>
      <c r="U78" s="273">
        <v>-3.4228927534522668</v>
      </c>
      <c r="V78" s="273">
        <v>4.1058638718955098</v>
      </c>
      <c r="W78" s="273">
        <v>-6.0993813161135062</v>
      </c>
    </row>
    <row r="79" spans="1:23" s="203" customFormat="1" ht="9.9499999999999993" customHeight="1">
      <c r="A79" s="159"/>
      <c r="B79" s="141" t="s">
        <v>205</v>
      </c>
      <c r="C79" s="273">
        <v>10.28933341385021</v>
      </c>
      <c r="D79" s="273">
        <v>-9.1714817278309546</v>
      </c>
      <c r="E79" s="273">
        <v>-14.003810968005837</v>
      </c>
      <c r="F79" s="273">
        <v>-21.128498790541549</v>
      </c>
      <c r="G79" s="273">
        <v>-13.117950804281131</v>
      </c>
      <c r="H79" s="273">
        <v>-1.4346439000529232</v>
      </c>
      <c r="I79" s="273">
        <v>8.9498976757784057</v>
      </c>
      <c r="J79" s="273">
        <v>3.1484199033644522</v>
      </c>
      <c r="K79" s="273">
        <v>8.6076895286080415</v>
      </c>
      <c r="L79" s="273">
        <v>7.0132669834454653</v>
      </c>
      <c r="M79" s="273">
        <v>-39.286321830590268</v>
      </c>
      <c r="N79" s="273">
        <v>68.537767803241508</v>
      </c>
      <c r="O79" s="273">
        <v>7.0337871481035208</v>
      </c>
      <c r="P79" s="273">
        <v>-17.170720865713296</v>
      </c>
      <c r="Q79" s="273">
        <v>-8.5880507130852823</v>
      </c>
      <c r="R79" s="273">
        <v>-24.05674748563278</v>
      </c>
      <c r="S79" s="273">
        <v>13.006734768134965</v>
      </c>
      <c r="T79" s="273">
        <v>1.6769407380033297</v>
      </c>
      <c r="U79" s="273">
        <v>6.32798136315742</v>
      </c>
      <c r="V79" s="273">
        <v>-9.9614027100286542</v>
      </c>
      <c r="W79" s="273">
        <v>-1.9835605948621993</v>
      </c>
    </row>
    <row r="80" spans="1:23" s="203" customFormat="1" ht="9.9499999999999993" customHeight="1">
      <c r="A80" s="159"/>
      <c r="B80" s="141" t="s">
        <v>206</v>
      </c>
      <c r="C80" s="273">
        <v>-1.0785245430636414</v>
      </c>
      <c r="D80" s="273">
        <v>-6.4791438593347905E-2</v>
      </c>
      <c r="E80" s="273">
        <v>0.26827632461436934</v>
      </c>
      <c r="F80" s="273">
        <v>-77.547380156075803</v>
      </c>
      <c r="G80" s="273">
        <v>162.7606752730884</v>
      </c>
      <c r="H80" s="273">
        <v>51.436130007558575</v>
      </c>
      <c r="I80" s="273">
        <v>-32.140004991265279</v>
      </c>
      <c r="J80" s="273">
        <v>7.4655682842064586</v>
      </c>
      <c r="K80" s="273">
        <v>-26.409732559930198</v>
      </c>
      <c r="L80" s="273">
        <v>8.5355963352241382</v>
      </c>
      <c r="M80" s="273">
        <v>3.0188918533193831</v>
      </c>
      <c r="N80" s="273">
        <v>10.241974289945732</v>
      </c>
      <c r="O80" s="273">
        <v>35.961579815067047</v>
      </c>
      <c r="P80" s="273">
        <v>-12.847427245887811</v>
      </c>
      <c r="Q80" s="273">
        <v>-1.8305847128968211</v>
      </c>
      <c r="R80" s="273">
        <v>-14.572233616526098</v>
      </c>
      <c r="S80" s="273">
        <v>-29.757905007042286</v>
      </c>
      <c r="T80" s="273">
        <v>-58.534568488412319</v>
      </c>
      <c r="U80" s="273">
        <v>65.178894957052208</v>
      </c>
      <c r="V80" s="273">
        <v>1.4389210183473278</v>
      </c>
      <c r="W80" s="273">
        <v>2.8176497311560356</v>
      </c>
    </row>
    <row r="81" spans="1:23" s="203" customFormat="1" ht="9.9499999999999993" customHeight="1">
      <c r="A81" s="159"/>
      <c r="B81" s="141" t="s">
        <v>207</v>
      </c>
      <c r="C81" s="273">
        <v>-1.3916402913885073</v>
      </c>
      <c r="D81" s="273">
        <v>11.935088047614872</v>
      </c>
      <c r="E81" s="273">
        <v>0.30269389688597492</v>
      </c>
      <c r="F81" s="273">
        <v>-0.47084774113280714</v>
      </c>
      <c r="G81" s="273">
        <v>5.1214803897331462</v>
      </c>
      <c r="H81" s="273">
        <v>6.4109876218164441</v>
      </c>
      <c r="I81" s="273">
        <v>9.8859518330364882</v>
      </c>
      <c r="J81" s="273">
        <v>1.5653165990846762</v>
      </c>
      <c r="K81" s="273">
        <v>16.230733348469251</v>
      </c>
      <c r="L81" s="273">
        <v>8.4494429382376612</v>
      </c>
      <c r="M81" s="273">
        <v>5.879069317293073</v>
      </c>
      <c r="N81" s="273">
        <v>2.615667069915828</v>
      </c>
      <c r="O81" s="273">
        <v>6.1966456492804189</v>
      </c>
      <c r="P81" s="273">
        <v>0.29690970652875848</v>
      </c>
      <c r="Q81" s="273">
        <v>6.2126726869358384</v>
      </c>
      <c r="R81" s="273">
        <v>-1.3185590359266031</v>
      </c>
      <c r="S81" s="273">
        <v>2.9964785377190939</v>
      </c>
      <c r="T81" s="273">
        <v>5.3281938757293368</v>
      </c>
      <c r="U81" s="273">
        <v>8.427473309473644</v>
      </c>
      <c r="V81" s="273">
        <v>-0.99192019690143018</v>
      </c>
      <c r="W81" s="273">
        <v>3.5544708214651166</v>
      </c>
    </row>
    <row r="82" spans="1:23" s="203" customFormat="1" ht="14.1" customHeight="1">
      <c r="A82" s="390" t="s">
        <v>208</v>
      </c>
      <c r="B82" s="376"/>
      <c r="C82" s="389">
        <v>2.8889727967934986</v>
      </c>
      <c r="D82" s="389">
        <v>4.2016337549345639</v>
      </c>
      <c r="E82" s="389">
        <v>3.8690628387914927</v>
      </c>
      <c r="F82" s="389">
        <v>1.8090933071381876</v>
      </c>
      <c r="G82" s="389">
        <v>6.9893103883374774</v>
      </c>
      <c r="H82" s="389">
        <v>7.9985004783710512</v>
      </c>
      <c r="I82" s="389">
        <v>7.230681350730972</v>
      </c>
      <c r="J82" s="389">
        <v>6.2707331042481496</v>
      </c>
      <c r="K82" s="389">
        <v>6.2767819130685076</v>
      </c>
      <c r="L82" s="389">
        <v>3.8236949983210478</v>
      </c>
      <c r="M82" s="389">
        <v>8.2279990352757117</v>
      </c>
      <c r="N82" s="389">
        <v>5.5087592240036454</v>
      </c>
      <c r="O82" s="389">
        <v>3.0982622239652535</v>
      </c>
      <c r="P82" s="389">
        <v>3.4376223864021282</v>
      </c>
      <c r="Q82" s="389">
        <v>5.2399638615853172</v>
      </c>
      <c r="R82" s="389">
        <v>4.3158269363891222</v>
      </c>
      <c r="S82" s="389">
        <v>2.3383285652696983</v>
      </c>
      <c r="T82" s="389">
        <v>5.524766760235611</v>
      </c>
      <c r="U82" s="389">
        <v>4.3491069690329454</v>
      </c>
      <c r="V82" s="389">
        <v>-1.1426575086299851</v>
      </c>
      <c r="W82" s="389">
        <v>1.0238812419957943</v>
      </c>
    </row>
    <row r="83" spans="1:23" s="203" customFormat="1" ht="9.9499999999999993" customHeight="1">
      <c r="A83" s="159"/>
      <c r="B83" s="141" t="s">
        <v>299</v>
      </c>
      <c r="C83" s="273">
        <v>2.2857389153523977</v>
      </c>
      <c r="D83" s="273">
        <v>6.6791855696916924</v>
      </c>
      <c r="E83" s="273">
        <v>6.4256213144386454</v>
      </c>
      <c r="F83" s="273">
        <v>-2.1001952709131078</v>
      </c>
      <c r="G83" s="273">
        <v>11.879785501389527</v>
      </c>
      <c r="H83" s="273">
        <v>8.236470899492133</v>
      </c>
      <c r="I83" s="273">
        <v>11.393299591577467</v>
      </c>
      <c r="J83" s="273">
        <v>11.495556139240048</v>
      </c>
      <c r="K83" s="273">
        <v>11.344536999054622</v>
      </c>
      <c r="L83" s="273">
        <v>4.6720518381638154</v>
      </c>
      <c r="M83" s="273">
        <v>11.628999122121098</v>
      </c>
      <c r="N83" s="273">
        <v>8.62944352545858</v>
      </c>
      <c r="O83" s="273">
        <v>2.9946204587552039</v>
      </c>
      <c r="P83" s="273">
        <v>5.2584441836408535</v>
      </c>
      <c r="Q83" s="273">
        <v>8.3011382553106916</v>
      </c>
      <c r="R83" s="273">
        <v>6.7567714122777511</v>
      </c>
      <c r="S83" s="273">
        <v>2.6757925077419475</v>
      </c>
      <c r="T83" s="273">
        <v>8.1320547259192022</v>
      </c>
      <c r="U83" s="273">
        <v>4.7102184278708714</v>
      </c>
      <c r="V83" s="273">
        <v>-0.9342783271655053</v>
      </c>
      <c r="W83" s="273">
        <v>0.35370374247776226</v>
      </c>
    </row>
    <row r="84" spans="1:23" s="203" customFormat="1" ht="9.9499999999999993" customHeight="1">
      <c r="A84" s="159"/>
      <c r="B84" s="162" t="s">
        <v>301</v>
      </c>
      <c r="C84" s="273">
        <v>1.2099389713388753</v>
      </c>
      <c r="D84" s="273">
        <v>-1.7600334915048865</v>
      </c>
      <c r="E84" s="273">
        <v>0.78602738617274959</v>
      </c>
      <c r="F84" s="273">
        <v>6.6499113581181435</v>
      </c>
      <c r="G84" s="273">
        <v>-1.1919016884778366</v>
      </c>
      <c r="H84" s="273">
        <v>1.5214686567275315</v>
      </c>
      <c r="I84" s="273">
        <v>-0.51560963075466537</v>
      </c>
      <c r="J84" s="273">
        <v>-1.6746784874487441</v>
      </c>
      <c r="K84" s="273">
        <v>-0.30859225785125899</v>
      </c>
      <c r="L84" s="273">
        <v>1.3351389854170614</v>
      </c>
      <c r="M84" s="273">
        <v>0.93482795287211928</v>
      </c>
      <c r="N84" s="273">
        <v>3.4610041900246857</v>
      </c>
      <c r="O84" s="273">
        <v>-1.1952465845354143</v>
      </c>
      <c r="P84" s="273">
        <v>-2.3335245381290393</v>
      </c>
      <c r="Q84" s="273">
        <v>-4.2040999493509474</v>
      </c>
      <c r="R84" s="273">
        <v>2.8781845626670188</v>
      </c>
      <c r="S84" s="273">
        <v>-1.7986064533964119</v>
      </c>
      <c r="T84" s="273">
        <v>0.64381522222141108</v>
      </c>
      <c r="U84" s="273">
        <v>0.10653683091761401</v>
      </c>
      <c r="V84" s="273">
        <v>-4.7953137103284522</v>
      </c>
      <c r="W84" s="273">
        <v>1.7603080092023049</v>
      </c>
    </row>
    <row r="85" spans="1:23" s="203" customFormat="1" ht="9.9499999999999993" customHeight="1">
      <c r="A85" s="157"/>
      <c r="B85" s="141" t="s">
        <v>291</v>
      </c>
      <c r="C85" s="273">
        <v>1.021243243188974</v>
      </c>
      <c r="D85" s="273">
        <v>-0.74126418451412324</v>
      </c>
      <c r="E85" s="273">
        <v>1.1654208708334002</v>
      </c>
      <c r="F85" s="273">
        <v>4.5310787948041886</v>
      </c>
      <c r="G85" s="273">
        <v>5.1698108151616351</v>
      </c>
      <c r="H85" s="273">
        <v>4.8274185242904055</v>
      </c>
      <c r="I85" s="273">
        <v>4.5018541209007168</v>
      </c>
      <c r="J85" s="273">
        <v>0.19651793009125562</v>
      </c>
      <c r="K85" s="273">
        <v>-1.12406250503998</v>
      </c>
      <c r="L85" s="273">
        <v>2.1868927208540168</v>
      </c>
      <c r="M85" s="273">
        <v>2.8489587101925062</v>
      </c>
      <c r="N85" s="273">
        <v>3.7880720946205093</v>
      </c>
      <c r="O85" s="273">
        <v>4.5431666521283054</v>
      </c>
      <c r="P85" s="273">
        <v>5.90658975798799</v>
      </c>
      <c r="Q85" s="273">
        <v>6.3408127918338053</v>
      </c>
      <c r="R85" s="273">
        <v>3.562071370524289</v>
      </c>
      <c r="S85" s="273">
        <v>6.7231090308572217</v>
      </c>
      <c r="T85" s="273">
        <v>4.1155272780509122</v>
      </c>
      <c r="U85" s="273">
        <v>5.0410793185545533</v>
      </c>
      <c r="V85" s="273">
        <v>-2.39867316235155</v>
      </c>
      <c r="W85" s="273">
        <v>2.9777481670120176</v>
      </c>
    </row>
    <row r="86" spans="1:23" s="203" customFormat="1" ht="9.9499999999999993" customHeight="1">
      <c r="A86" s="159"/>
      <c r="B86" s="141" t="s">
        <v>104</v>
      </c>
      <c r="C86" s="273">
        <v>-1.2158462158444072</v>
      </c>
      <c r="D86" s="273">
        <v>4.4731839353270519</v>
      </c>
      <c r="E86" s="273">
        <v>2.0154341543960674</v>
      </c>
      <c r="F86" s="273">
        <v>2.9510416065465117</v>
      </c>
      <c r="G86" s="273">
        <v>5.8933975660298232</v>
      </c>
      <c r="H86" s="273">
        <v>7.3691882521916829</v>
      </c>
      <c r="I86" s="273">
        <v>0.8003140844573986</v>
      </c>
      <c r="J86" s="273">
        <v>0.9009714979165695</v>
      </c>
      <c r="K86" s="273">
        <v>0.87689337435552517</v>
      </c>
      <c r="L86" s="273">
        <v>4.1462585090767279</v>
      </c>
      <c r="M86" s="273">
        <v>4.0495764143177349</v>
      </c>
      <c r="N86" s="273">
        <v>4.8265565130504617</v>
      </c>
      <c r="O86" s="273">
        <v>2.4263659550752381</v>
      </c>
      <c r="P86" s="273">
        <v>1.2291496510355993</v>
      </c>
      <c r="Q86" s="273">
        <v>8.3025138874348592E-2</v>
      </c>
      <c r="R86" s="273">
        <v>-2.082455743290168</v>
      </c>
      <c r="S86" s="273">
        <v>-1.0056043384074287</v>
      </c>
      <c r="T86" s="273">
        <v>8.0604865251965307E-2</v>
      </c>
      <c r="U86" s="273">
        <v>1.8119101772877455</v>
      </c>
      <c r="V86" s="273">
        <v>-4.9255112781467432</v>
      </c>
      <c r="W86" s="273">
        <v>1.4431909379249319</v>
      </c>
    </row>
    <row r="87" spans="1:23" s="203" customFormat="1" ht="9.9499999999999993" customHeight="1">
      <c r="A87" s="159"/>
      <c r="B87" s="141" t="s">
        <v>106</v>
      </c>
      <c r="C87" s="273">
        <v>-3.335762863133096</v>
      </c>
      <c r="D87" s="273">
        <v>-3.4236358606213213</v>
      </c>
      <c r="E87" s="273">
        <v>9.0702412030046808</v>
      </c>
      <c r="F87" s="273">
        <v>1.8764126045720753</v>
      </c>
      <c r="G87" s="273">
        <v>2.5379804379078719</v>
      </c>
      <c r="H87" s="273">
        <v>0.79232604158339104</v>
      </c>
      <c r="I87" s="273">
        <v>1.6353409261069762</v>
      </c>
      <c r="J87" s="273">
        <v>-5.8606825156056752</v>
      </c>
      <c r="K87" s="273">
        <v>-3.347349921269438</v>
      </c>
      <c r="L87" s="273">
        <v>0.44165399165627672</v>
      </c>
      <c r="M87" s="273">
        <v>2.2488416971692127</v>
      </c>
      <c r="N87" s="273">
        <v>2.3434377097806047</v>
      </c>
      <c r="O87" s="273">
        <v>3.5123568006882211</v>
      </c>
      <c r="P87" s="273">
        <v>-4.5854825524303866</v>
      </c>
      <c r="Q87" s="273">
        <v>-5.2362109436633446</v>
      </c>
      <c r="R87" s="273">
        <v>-1.6367495992796188</v>
      </c>
      <c r="S87" s="273">
        <v>-8.3304536389782857</v>
      </c>
      <c r="T87" s="273">
        <v>-9.4336810044580162</v>
      </c>
      <c r="U87" s="273">
        <v>4.4906443092955328</v>
      </c>
      <c r="V87" s="273">
        <v>-2.6824353869973172</v>
      </c>
      <c r="W87" s="273">
        <v>-0.3088453279822545</v>
      </c>
    </row>
    <row r="88" spans="1:23" s="203" customFormat="1" ht="9.9499999999999993" customHeight="1">
      <c r="A88" s="159"/>
      <c r="B88" s="141" t="s">
        <v>108</v>
      </c>
      <c r="C88" s="273">
        <v>4.6696615612111358</v>
      </c>
      <c r="D88" s="273">
        <v>6.0565827528386906</v>
      </c>
      <c r="E88" s="273">
        <v>-2.0351712769800523</v>
      </c>
      <c r="F88" s="273">
        <v>1.6677299182682681</v>
      </c>
      <c r="G88" s="273">
        <v>4.4924413544209729</v>
      </c>
      <c r="H88" s="273">
        <v>2.9829278069278597</v>
      </c>
      <c r="I88" s="273">
        <v>4.01730654783925</v>
      </c>
      <c r="J88" s="273">
        <v>0.5702347909137373</v>
      </c>
      <c r="K88" s="273">
        <v>7.8599235769570397</v>
      </c>
      <c r="L88" s="273">
        <v>4.6160095102743437</v>
      </c>
      <c r="M88" s="273">
        <v>5.7600086088279934</v>
      </c>
      <c r="N88" s="273">
        <v>5.043720709108146</v>
      </c>
      <c r="O88" s="273">
        <v>1.5970714898071225</v>
      </c>
      <c r="P88" s="273">
        <v>2.9937556045264824</v>
      </c>
      <c r="Q88" s="273">
        <v>-5.6644686819238066</v>
      </c>
      <c r="R88" s="273">
        <v>4.7089288614859282</v>
      </c>
      <c r="S88" s="273">
        <v>3.1098612612318277</v>
      </c>
      <c r="T88" s="273">
        <v>-0.48797260657175157</v>
      </c>
      <c r="U88" s="273">
        <v>-0.51088146908456755</v>
      </c>
      <c r="V88" s="273">
        <v>-1.6470163729144449</v>
      </c>
      <c r="W88" s="273">
        <v>2.573230928453385</v>
      </c>
    </row>
    <row r="89" spans="1:23" s="203" customFormat="1" ht="9.9499999999999993" customHeight="1">
      <c r="A89" s="159"/>
      <c r="B89" s="141" t="s">
        <v>110</v>
      </c>
      <c r="C89" s="273">
        <v>-0.3140185301168219</v>
      </c>
      <c r="D89" s="273">
        <v>-1.8107700573686381</v>
      </c>
      <c r="E89" s="273">
        <v>8.7773415575800318</v>
      </c>
      <c r="F89" s="273">
        <v>6.1334721298625716</v>
      </c>
      <c r="G89" s="273">
        <v>4.6433065247473149</v>
      </c>
      <c r="H89" s="273">
        <v>-8.2223061272435061E-2</v>
      </c>
      <c r="I89" s="273">
        <v>5.616629199884926</v>
      </c>
      <c r="J89" s="273">
        <v>-3.6010193513028921</v>
      </c>
      <c r="K89" s="273">
        <v>5.0775047826108199</v>
      </c>
      <c r="L89" s="273">
        <v>-1.9111332731563291</v>
      </c>
      <c r="M89" s="273">
        <v>2.6781340909169504</v>
      </c>
      <c r="N89" s="273">
        <v>5.1159075243913055</v>
      </c>
      <c r="O89" s="273">
        <v>-3.8738414219571027</v>
      </c>
      <c r="P89" s="273">
        <v>-2.4056572516602759</v>
      </c>
      <c r="Q89" s="273">
        <v>-5.9110356331516511</v>
      </c>
      <c r="R89" s="273">
        <v>2.1761064516703454</v>
      </c>
      <c r="S89" s="273">
        <v>0.1399599238051108</v>
      </c>
      <c r="T89" s="273">
        <v>5.5810976306802651E-2</v>
      </c>
      <c r="U89" s="273">
        <v>-3.986800928823675</v>
      </c>
      <c r="V89" s="273">
        <v>-1.4140372682168612</v>
      </c>
      <c r="W89" s="273">
        <v>4.1636272693547305</v>
      </c>
    </row>
    <row r="90" spans="1:23" s="203" customFormat="1" ht="9.9499999999999993" customHeight="1">
      <c r="A90" s="159"/>
      <c r="B90" s="141" t="s">
        <v>132</v>
      </c>
      <c r="C90" s="273">
        <v>4.0966924710620134</v>
      </c>
      <c r="D90" s="273">
        <v>3.9949166998040964</v>
      </c>
      <c r="E90" s="273">
        <v>-0.72715697604638363</v>
      </c>
      <c r="F90" s="273">
        <v>6.7893250005605532</v>
      </c>
      <c r="G90" s="273">
        <v>-1.0621082334591692</v>
      </c>
      <c r="H90" s="273">
        <v>17.377256740148784</v>
      </c>
      <c r="I90" s="273">
        <v>8.8800298304000833</v>
      </c>
      <c r="J90" s="273">
        <v>1.9755029640014188</v>
      </c>
      <c r="K90" s="273">
        <v>0.56126130492641924</v>
      </c>
      <c r="L90" s="273">
        <v>5.5686346012913779</v>
      </c>
      <c r="M90" s="273">
        <v>12.484733983537</v>
      </c>
      <c r="N90" s="273">
        <v>-1.8237266285202169</v>
      </c>
      <c r="O90" s="273">
        <v>12.369072653260393</v>
      </c>
      <c r="P90" s="273">
        <v>1.7468657803362486</v>
      </c>
      <c r="Q90" s="273">
        <v>8.590363888594954</v>
      </c>
      <c r="R90" s="273">
        <v>3.2226976326896306</v>
      </c>
      <c r="S90" s="273">
        <v>4.195078915356687</v>
      </c>
      <c r="T90" s="273">
        <v>6.0593558758873733</v>
      </c>
      <c r="U90" s="273">
        <v>10.181741753130936</v>
      </c>
      <c r="V90" s="273">
        <v>1.9100522771897888</v>
      </c>
      <c r="W90" s="273">
        <v>1.3083156167432719</v>
      </c>
    </row>
    <row r="91" spans="1:23" s="203" customFormat="1" ht="9.9499999999999993" customHeight="1">
      <c r="A91" s="159"/>
      <c r="B91" s="141" t="s">
        <v>133</v>
      </c>
      <c r="C91" s="273">
        <v>11.302028195964397</v>
      </c>
      <c r="D91" s="273">
        <v>5.0307487686791275</v>
      </c>
      <c r="E91" s="273">
        <v>6.0382310303767506</v>
      </c>
      <c r="F91" s="273">
        <v>5.352040124637214</v>
      </c>
      <c r="G91" s="273">
        <v>6.8803266492571957</v>
      </c>
      <c r="H91" s="273">
        <v>9.3307259128534668</v>
      </c>
      <c r="I91" s="273">
        <v>7.5486862245281339</v>
      </c>
      <c r="J91" s="273">
        <v>8.0288152943969635</v>
      </c>
      <c r="K91" s="273">
        <v>6.0679222859423732</v>
      </c>
      <c r="L91" s="273">
        <v>1.936805563109778</v>
      </c>
      <c r="M91" s="273">
        <v>4.6305885666469759</v>
      </c>
      <c r="N91" s="273">
        <v>2.1832815527215832</v>
      </c>
      <c r="O91" s="273">
        <v>0.61272563568235405</v>
      </c>
      <c r="P91" s="273">
        <v>2.2033261540208349</v>
      </c>
      <c r="Q91" s="273">
        <v>2.1951891251060118</v>
      </c>
      <c r="R91" s="273">
        <v>2.9827673185209846</v>
      </c>
      <c r="S91" s="273">
        <v>2.5387401904481743</v>
      </c>
      <c r="T91" s="273">
        <v>3.0066135402600169</v>
      </c>
      <c r="U91" s="273">
        <v>2.6021023349608985</v>
      </c>
      <c r="V91" s="273">
        <v>0.60078114497452706</v>
      </c>
      <c r="W91" s="273">
        <v>2.0053025644184652</v>
      </c>
    </row>
    <row r="92" spans="1:23" s="203" customFormat="1" ht="9.9499999999999993" customHeight="1">
      <c r="A92" s="159"/>
      <c r="B92" s="141" t="s">
        <v>134</v>
      </c>
      <c r="C92" s="273">
        <v>15.598880263654236</v>
      </c>
      <c r="D92" s="273">
        <v>-11.038143839917103</v>
      </c>
      <c r="E92" s="273">
        <v>1.2317155905220201</v>
      </c>
      <c r="F92" s="273">
        <v>-5.4829164587345769</v>
      </c>
      <c r="G92" s="273">
        <v>0.80118482001358959</v>
      </c>
      <c r="H92" s="273">
        <v>-2.710777013026866</v>
      </c>
      <c r="I92" s="273">
        <v>13.173227234099816</v>
      </c>
      <c r="J92" s="273">
        <v>11.792391319770079</v>
      </c>
      <c r="K92" s="273">
        <v>12.31385072459501</v>
      </c>
      <c r="L92" s="273">
        <v>-4.2824492238168315</v>
      </c>
      <c r="M92" s="273">
        <v>6.9297230196891935</v>
      </c>
      <c r="N92" s="273">
        <v>-1.3997751989820451</v>
      </c>
      <c r="O92" s="273">
        <v>-17.238104819430767</v>
      </c>
      <c r="P92" s="273">
        <v>-3.8233594933716031</v>
      </c>
      <c r="Q92" s="273">
        <v>-2.9143002694532294</v>
      </c>
      <c r="R92" s="273">
        <v>0.83794018721952135</v>
      </c>
      <c r="S92" s="273">
        <v>9.6580681981477401</v>
      </c>
      <c r="T92" s="273">
        <v>3.9811205768143898</v>
      </c>
      <c r="U92" s="273">
        <v>-2.0238760584486148</v>
      </c>
      <c r="V92" s="273">
        <v>-5.1831686579971725</v>
      </c>
      <c r="W92" s="273">
        <v>-0.43229602903420705</v>
      </c>
    </row>
    <row r="93" spans="1:23" s="203" customFormat="1" ht="9.9499999999999993" customHeight="1">
      <c r="A93" s="159"/>
      <c r="B93" s="141" t="s">
        <v>135</v>
      </c>
      <c r="C93" s="273">
        <v>13.488325740318885</v>
      </c>
      <c r="D93" s="273">
        <v>-15.094926625369109</v>
      </c>
      <c r="E93" s="273">
        <v>-2.0553889251699986</v>
      </c>
      <c r="F93" s="273">
        <v>-9.9413902043321905</v>
      </c>
      <c r="G93" s="273">
        <v>-10.277943181349203</v>
      </c>
      <c r="H93" s="273">
        <v>-6.5793886640443278</v>
      </c>
      <c r="I93" s="273">
        <v>28.108031950329583</v>
      </c>
      <c r="J93" s="273">
        <v>5.6921557874411111</v>
      </c>
      <c r="K93" s="273">
        <v>2.8597694225650505</v>
      </c>
      <c r="L93" s="273">
        <v>-9.1643918565882938</v>
      </c>
      <c r="M93" s="273">
        <v>1.6519505381575428</v>
      </c>
      <c r="N93" s="273">
        <v>3.2777393605389671</v>
      </c>
      <c r="O93" s="273">
        <v>-5.2586096357658541</v>
      </c>
      <c r="P93" s="273">
        <v>3.4579517277720351</v>
      </c>
      <c r="Q93" s="273">
        <v>-22.147498957174161</v>
      </c>
      <c r="R93" s="273">
        <v>4.8511585546404445</v>
      </c>
      <c r="S93" s="273">
        <v>9.6113315247726483</v>
      </c>
      <c r="T93" s="273">
        <v>-7.5445754872340398</v>
      </c>
      <c r="U93" s="273">
        <v>-2.6545394457399674</v>
      </c>
      <c r="V93" s="273">
        <v>3.1216050697380204</v>
      </c>
      <c r="W93" s="273">
        <v>2.0965544121847257</v>
      </c>
    </row>
    <row r="94" spans="1:23" s="203" customFormat="1" ht="10.5" customHeight="1">
      <c r="A94" s="160"/>
      <c r="B94" s="160" t="s">
        <v>196</v>
      </c>
      <c r="C94" s="274">
        <v>4.8786356980468515</v>
      </c>
      <c r="D94" s="274">
        <v>-8.7685236160474638</v>
      </c>
      <c r="E94" s="274">
        <v>0.49144544389529976</v>
      </c>
      <c r="F94" s="274">
        <v>-1.9240425464409738</v>
      </c>
      <c r="G94" s="274">
        <v>-2.866485172648181</v>
      </c>
      <c r="H94" s="274">
        <v>-5.1177204066863657</v>
      </c>
      <c r="I94" s="274">
        <v>4.1317848174693639</v>
      </c>
      <c r="J94" s="274">
        <v>-7.1907451216412177</v>
      </c>
      <c r="K94" s="274">
        <v>0.828739251090993</v>
      </c>
      <c r="L94" s="274">
        <v>-0.42486088004078937</v>
      </c>
      <c r="M94" s="274">
        <v>-0.79915298184697336</v>
      </c>
      <c r="N94" s="274">
        <v>5.9228894614867134</v>
      </c>
      <c r="O94" s="274">
        <v>-5.5327694764579878</v>
      </c>
      <c r="P94" s="274">
        <v>-7.6670474301632758</v>
      </c>
      <c r="Q94" s="274">
        <v>-11.383532100797389</v>
      </c>
      <c r="R94" s="274">
        <v>6.7134691894642717</v>
      </c>
      <c r="S94" s="274">
        <v>-8.9758723561386144</v>
      </c>
      <c r="T94" s="274">
        <v>-0.23964176232700307</v>
      </c>
      <c r="U94" s="274">
        <v>-4.2519449966785139</v>
      </c>
      <c r="V94" s="274">
        <v>-3.7888623596733839</v>
      </c>
      <c r="W94" s="274">
        <v>6.8418763834624752</v>
      </c>
    </row>
    <row r="95" spans="1:23" s="203" customFormat="1" ht="9" customHeight="1">
      <c r="A95" s="132" t="s">
        <v>100</v>
      </c>
      <c r="B95" s="207"/>
      <c r="C95" s="33"/>
      <c r="D95" s="33"/>
      <c r="E95" s="33"/>
      <c r="F95" s="33"/>
      <c r="G95" s="33"/>
      <c r="H95" s="33"/>
      <c r="I95" s="33"/>
    </row>
    <row r="96" spans="1:23" s="203" customFormat="1" ht="9" customHeight="1">
      <c r="A96" s="206" t="s">
        <v>348</v>
      </c>
      <c r="B96" s="207"/>
      <c r="C96" s="33"/>
      <c r="D96" s="33"/>
      <c r="E96" s="33"/>
      <c r="F96" s="33"/>
    </row>
    <row r="97" spans="1:6" s="203" customFormat="1" ht="17.25" customHeight="1">
      <c r="B97" s="9"/>
      <c r="C97" s="33"/>
      <c r="D97" s="33"/>
      <c r="E97" s="33"/>
      <c r="F97" s="33"/>
    </row>
    <row r="98" spans="1:6" s="203" customFormat="1" ht="17.25" customHeight="1">
      <c r="B98" s="9"/>
      <c r="C98" s="33"/>
      <c r="D98" s="33"/>
    </row>
    <row r="99" spans="1:6" s="203" customFormat="1" ht="17.25" customHeight="1">
      <c r="A99" s="35"/>
      <c r="B99" s="35"/>
      <c r="C99" s="36"/>
      <c r="D99" s="36"/>
    </row>
    <row r="100" spans="1:6" s="203" customFormat="1" ht="17.25" customHeight="1">
      <c r="A100" s="9"/>
      <c r="B100" s="205"/>
    </row>
    <row r="101" spans="1:6" s="203" customFormat="1" ht="17.25" customHeight="1">
      <c r="A101" s="31"/>
      <c r="B101" s="205"/>
    </row>
    <row r="102" spans="1:6" s="203" customFormat="1" ht="17.25" customHeight="1"/>
    <row r="103" spans="1:6" s="203" customFormat="1" ht="17.25" customHeight="1">
      <c r="C103" s="113"/>
      <c r="D103" s="113"/>
    </row>
    <row r="104" spans="1:6" s="203" customFormat="1" ht="17.25" customHeight="1">
      <c r="C104" s="113"/>
      <c r="D104" s="113"/>
    </row>
    <row r="105" spans="1:6" s="203" customFormat="1" ht="17.25" customHeight="1">
      <c r="C105" s="113"/>
      <c r="D105" s="113"/>
    </row>
    <row r="106" spans="1:6" s="203" customFormat="1" ht="17.25" customHeight="1">
      <c r="C106" s="113"/>
      <c r="D106" s="113"/>
    </row>
    <row r="107" spans="1:6" s="203" customFormat="1" ht="17.25" customHeight="1">
      <c r="C107" s="113"/>
      <c r="D107" s="113"/>
    </row>
    <row r="108" spans="1:6" s="203" customFormat="1" ht="17.25" customHeight="1">
      <c r="C108" s="113"/>
      <c r="D108" s="113"/>
    </row>
    <row r="109" spans="1:6" s="203" customFormat="1" ht="17.25" customHeight="1">
      <c r="C109" s="113"/>
      <c r="D109" s="113"/>
    </row>
    <row r="110" spans="1:6" s="203" customFormat="1" ht="17.25" customHeight="1"/>
    <row r="111" spans="1:6" s="203" customFormat="1" ht="17.25" customHeight="1"/>
    <row r="112" spans="1:6" s="203" customFormat="1" ht="17.25" customHeight="1"/>
    <row r="113" s="203" customFormat="1" ht="17.25" customHeight="1"/>
    <row r="114" s="203" customFormat="1" ht="17.25" customHeight="1"/>
    <row r="115" s="203" customFormat="1" ht="17.25" customHeight="1"/>
    <row r="116" s="203" customFormat="1" ht="17.25" customHeight="1"/>
    <row r="117" s="203" customFormat="1" ht="17.25" customHeight="1"/>
    <row r="118" s="203" customFormat="1" ht="17.25" customHeight="1"/>
    <row r="119" s="203" customFormat="1" ht="17.25" customHeight="1"/>
    <row r="120" s="203" customFormat="1" ht="17.25" customHeight="1"/>
    <row r="121" s="203" customFormat="1" ht="17.25" customHeight="1"/>
    <row r="122" s="203" customFormat="1" ht="17.25" customHeight="1"/>
    <row r="123" s="203" customFormat="1" ht="17.25" customHeight="1"/>
    <row r="124" s="203" customFormat="1" ht="17.25" customHeight="1"/>
    <row r="125" s="203" customFormat="1" ht="17.25" customHeight="1"/>
    <row r="126" s="203" customFormat="1" ht="17.25" customHeight="1"/>
    <row r="127" s="203" customFormat="1" ht="17.25" customHeight="1"/>
    <row r="128" s="203" customFormat="1" ht="17.25" customHeight="1"/>
    <row r="129" spans="1:1" s="203" customFormat="1" ht="17.25" customHeight="1">
      <c r="A129" s="37"/>
    </row>
    <row r="130" spans="1:1" s="203" customFormat="1" ht="17.25" customHeight="1"/>
    <row r="131" spans="1:1" s="203" customFormat="1" ht="17.25" customHeight="1"/>
    <row r="132" spans="1:1" s="203" customFormat="1" ht="17.25" customHeight="1"/>
    <row r="133" spans="1:1" s="203" customFormat="1" ht="17.25" customHeight="1"/>
    <row r="134" spans="1:1" s="203" customFormat="1" ht="17.25" customHeight="1"/>
    <row r="135" spans="1:1" s="203" customFormat="1" ht="17.25" customHeight="1"/>
    <row r="136" spans="1:1" s="203" customFormat="1" ht="17.25" customHeight="1"/>
    <row r="137" spans="1:1" s="203" customFormat="1" ht="17.25" customHeight="1"/>
    <row r="138" spans="1:1" s="203" customFormat="1" ht="17.25" customHeight="1"/>
    <row r="139" spans="1:1" s="203" customFormat="1" ht="17.25" customHeight="1"/>
    <row r="140" spans="1:1" s="203" customFormat="1" ht="17.25" customHeight="1"/>
    <row r="141" spans="1:1" s="203" customFormat="1" ht="17.25" customHeight="1"/>
    <row r="142" spans="1:1" s="203" customFormat="1" ht="17.25" customHeight="1"/>
    <row r="143" spans="1:1" s="203" customFormat="1" ht="17.25" customHeight="1"/>
    <row r="144" spans="1:1" s="203" customFormat="1" ht="17.25" customHeight="1"/>
    <row r="145" s="203" customFormat="1" ht="17.25" customHeight="1"/>
    <row r="146" s="203" customFormat="1" ht="17.25" customHeight="1"/>
    <row r="147" s="203" customFormat="1" ht="17.25" customHeight="1"/>
    <row r="148" s="203" customFormat="1" ht="17.25" customHeight="1"/>
    <row r="149" s="203" customFormat="1" ht="17.25" customHeight="1"/>
    <row r="150" s="203" customFormat="1" ht="17.25" customHeight="1"/>
    <row r="151" s="203" customFormat="1" ht="17.25" customHeight="1"/>
    <row r="152" s="203" customFormat="1" ht="17.25" customHeight="1"/>
    <row r="153" s="203" customFormat="1" ht="17.25" customHeight="1"/>
    <row r="154" s="203" customFormat="1" ht="17.25" customHeight="1"/>
    <row r="155" s="203" customFormat="1" ht="17.25" customHeight="1"/>
    <row r="156" s="203" customFormat="1" ht="17.25" customHeight="1"/>
    <row r="157" s="203" customFormat="1" ht="17.25" customHeight="1"/>
    <row r="158" s="203" customFormat="1" ht="17.25" customHeight="1"/>
    <row r="159" s="203" customFormat="1" ht="17.25" customHeight="1"/>
    <row r="160" s="203" customFormat="1" ht="17.25" customHeight="1"/>
    <row r="161" s="203" customFormat="1" ht="17.25" customHeight="1"/>
    <row r="162" s="203" customFormat="1" ht="17.25" customHeight="1"/>
    <row r="163" s="203" customFormat="1" ht="17.25" customHeight="1"/>
    <row r="164" s="203" customFormat="1" ht="17.25" customHeight="1"/>
    <row r="165" s="203" customFormat="1" ht="17.25" customHeight="1"/>
    <row r="166" s="203" customFormat="1" ht="17.25" customHeight="1"/>
    <row r="167" s="203" customFormat="1" ht="17.25" customHeight="1"/>
    <row r="168" s="203" customFormat="1" ht="17.25" customHeight="1"/>
    <row r="169" s="203" customFormat="1" ht="17.25" customHeight="1"/>
    <row r="170" s="203" customFormat="1" ht="17.25" customHeight="1"/>
    <row r="171" s="203" customFormat="1" ht="17.25" customHeight="1"/>
    <row r="172" s="203" customFormat="1" ht="17.25" customHeight="1"/>
    <row r="173" s="203" customFormat="1" ht="17.25" customHeight="1"/>
    <row r="174" s="203" customFormat="1" ht="17.25" customHeight="1"/>
    <row r="175" s="203" customFormat="1" ht="17.25" customHeight="1"/>
    <row r="176" s="203" customFormat="1" ht="17.25" customHeight="1"/>
    <row r="177" s="203" customFormat="1" ht="17.25" customHeight="1"/>
    <row r="178" s="203" customFormat="1" ht="17.25" customHeight="1"/>
    <row r="179" s="203" customFormat="1" ht="17.25" customHeight="1"/>
    <row r="180" s="203" customFormat="1" ht="17.25" customHeight="1"/>
    <row r="181" s="203" customFormat="1" ht="17.25" customHeight="1"/>
    <row r="182" s="203" customFormat="1" ht="17.25" customHeight="1"/>
    <row r="183" s="203" customFormat="1" ht="17.25" customHeight="1"/>
    <row r="184" s="203" customFormat="1" ht="17.25" customHeight="1"/>
    <row r="185" s="203" customFormat="1" ht="17.25" customHeight="1"/>
    <row r="186" s="203" customFormat="1" ht="17.25" customHeight="1"/>
    <row r="187" s="203" customFormat="1" ht="17.25" customHeight="1"/>
    <row r="188" s="203" customFormat="1" ht="17.25" customHeight="1"/>
    <row r="189" s="203" customFormat="1" ht="17.25" customHeight="1"/>
    <row r="190" s="203" customFormat="1" ht="17.25" customHeight="1"/>
    <row r="191" s="203" customFormat="1" ht="17.25" customHeight="1"/>
    <row r="192" s="203" customFormat="1" ht="17.25" customHeight="1"/>
    <row r="193" spans="1:23" s="203" customFormat="1" ht="17.25" customHeight="1"/>
    <row r="194" spans="1:23" s="203" customFormat="1" ht="17.25" customHeight="1"/>
    <row r="195" spans="1:23" s="203" customFormat="1" ht="17.25" customHeight="1"/>
    <row r="196" spans="1:23" s="203" customFormat="1" ht="17.25" customHeight="1"/>
    <row r="197" spans="1:23" s="203" customFormat="1" ht="17.25" customHeight="1"/>
    <row r="198" spans="1:23" s="203" customFormat="1" ht="17.25" customHeight="1"/>
    <row r="199" spans="1:23" s="203" customFormat="1" ht="17.25" customHeight="1"/>
    <row r="200" spans="1:23" s="203" customFormat="1" ht="17.25" customHeight="1"/>
    <row r="201" spans="1:23" s="203" customFormat="1" ht="17.25" customHeight="1"/>
    <row r="202" spans="1:23" s="203" customFormat="1" ht="17.25" customHeight="1"/>
    <row r="203" spans="1:23" s="203" customFormat="1" ht="17.25" customHeight="1"/>
    <row r="204" spans="1:23" s="203" customFormat="1" ht="17.25" customHeight="1"/>
    <row r="205" spans="1:23" ht="17.2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</row>
  </sheetData>
  <mergeCells count="3">
    <mergeCell ref="A51:B51"/>
    <mergeCell ref="A3:B3"/>
    <mergeCell ref="A4:B4"/>
  </mergeCells>
  <phoneticPr fontId="10" type="noConversion"/>
  <pageMargins left="0" right="0" top="0" bottom="0" header="0" footer="0"/>
  <pageSetup paperSize="9" orientation="landscape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8"/>
  <sheetViews>
    <sheetView showGridLines="0" topLeftCell="A37" zoomScaleNormal="100" workbookViewId="0">
      <selection activeCell="E6" sqref="E6"/>
    </sheetView>
  </sheetViews>
  <sheetFormatPr baseColWidth="10" defaultColWidth="10.85546875" defaultRowHeight="17.25" customHeight="1"/>
  <cols>
    <col min="1" max="1" width="22.42578125" style="204" customWidth="1"/>
    <col min="2" max="16384" width="10.85546875" style="204"/>
  </cols>
  <sheetData>
    <row r="1" spans="1:7" ht="14.25" customHeight="1">
      <c r="A1" s="327" t="s">
        <v>490</v>
      </c>
      <c r="B1" s="327"/>
      <c r="C1" s="327"/>
      <c r="D1" s="327"/>
      <c r="E1" s="327"/>
      <c r="F1" s="327"/>
      <c r="G1" s="327"/>
    </row>
    <row r="2" spans="1:7" ht="13.35" customHeight="1">
      <c r="A2" s="521" t="s">
        <v>491</v>
      </c>
      <c r="B2" s="521"/>
      <c r="C2" s="521"/>
      <c r="D2" s="521"/>
      <c r="E2" s="521"/>
      <c r="F2" s="521"/>
      <c r="G2" s="521"/>
    </row>
    <row r="3" spans="1:7" ht="13.35" customHeight="1">
      <c r="A3" s="522" t="s">
        <v>360</v>
      </c>
      <c r="B3" s="522"/>
      <c r="C3" s="522"/>
      <c r="D3" s="522"/>
      <c r="E3" s="522"/>
      <c r="F3" s="522"/>
      <c r="G3" s="522"/>
    </row>
    <row r="4" spans="1:7" ht="3.95" customHeight="1">
      <c r="A4" s="328"/>
      <c r="B4" s="328"/>
      <c r="C4" s="328"/>
      <c r="D4" s="328"/>
      <c r="E4" s="329"/>
      <c r="F4" s="329"/>
      <c r="G4" s="328"/>
    </row>
    <row r="5" spans="1:7" ht="14.1" customHeight="1">
      <c r="A5" s="523" t="s">
        <v>375</v>
      </c>
      <c r="B5" s="525" t="s">
        <v>488</v>
      </c>
      <c r="C5" s="526"/>
      <c r="D5" s="527"/>
      <c r="E5" s="525" t="s">
        <v>485</v>
      </c>
      <c r="F5" s="526"/>
      <c r="G5" s="527"/>
    </row>
    <row r="6" spans="1:7" ht="14.1" customHeight="1">
      <c r="A6" s="524"/>
      <c r="B6" s="391" t="s">
        <v>492</v>
      </c>
      <c r="C6" s="391" t="s">
        <v>493</v>
      </c>
      <c r="D6" s="392" t="s">
        <v>54</v>
      </c>
      <c r="E6" s="391" t="s">
        <v>492</v>
      </c>
      <c r="F6" s="391" t="s">
        <v>493</v>
      </c>
      <c r="G6" s="392" t="s">
        <v>54</v>
      </c>
    </row>
    <row r="7" spans="1:7" ht="17.100000000000001" customHeight="1">
      <c r="A7" s="393" t="s">
        <v>376</v>
      </c>
      <c r="B7" s="393">
        <v>8959.997721797894</v>
      </c>
      <c r="C7" s="393">
        <v>9267.6154320953901</v>
      </c>
      <c r="D7" s="484">
        <v>3.4332342468025745</v>
      </c>
      <c r="E7" s="393">
        <v>1212.2775097217784</v>
      </c>
      <c r="F7" s="393">
        <v>1150.595487011376</v>
      </c>
      <c r="G7" s="484">
        <v>-5.0881107845148987</v>
      </c>
    </row>
    <row r="8" spans="1:7" ht="15" customHeight="1">
      <c r="A8" s="330"/>
      <c r="B8" s="468"/>
      <c r="C8" s="468"/>
      <c r="D8" s="469"/>
      <c r="E8" s="468"/>
      <c r="F8" s="468"/>
      <c r="G8" s="469"/>
    </row>
    <row r="9" spans="1:7" ht="11.25" customHeight="1">
      <c r="A9" s="470" t="s">
        <v>362</v>
      </c>
      <c r="B9" s="452">
        <v>1484.3117482354501</v>
      </c>
      <c r="C9" s="452">
        <v>1632.940857779</v>
      </c>
      <c r="D9" s="453">
        <v>10.013335117790456</v>
      </c>
      <c r="E9" s="454">
        <v>206.17013752094999</v>
      </c>
      <c r="F9" s="454">
        <v>196.93502599999999</v>
      </c>
      <c r="G9" s="455">
        <v>-4.4793642920335941</v>
      </c>
    </row>
    <row r="10" spans="1:7" ht="11.25" customHeight="1">
      <c r="A10" s="470" t="s">
        <v>377</v>
      </c>
      <c r="B10" s="452">
        <v>1185.3538100077501</v>
      </c>
      <c r="C10" s="452">
        <v>1291.366432306</v>
      </c>
      <c r="D10" s="453">
        <v>8.9435425442768732</v>
      </c>
      <c r="E10" s="454">
        <v>160.85514294674999</v>
      </c>
      <c r="F10" s="454">
        <v>154.60599999999999</v>
      </c>
      <c r="G10" s="455">
        <v>-3.884950665717124</v>
      </c>
    </row>
    <row r="11" spans="1:7" ht="11.25" customHeight="1">
      <c r="A11" s="471" t="s">
        <v>378</v>
      </c>
      <c r="B11" s="456">
        <v>1185.3538100077501</v>
      </c>
      <c r="C11" s="456">
        <v>1291.366432306</v>
      </c>
      <c r="D11" s="457">
        <v>8.9435425442768732</v>
      </c>
      <c r="E11" s="458">
        <v>160.85514294674999</v>
      </c>
      <c r="F11" s="458">
        <v>154.60599999999999</v>
      </c>
      <c r="G11" s="459">
        <v>-3.884950665717124</v>
      </c>
    </row>
    <row r="12" spans="1:7" ht="11.25" customHeight="1">
      <c r="A12" s="470" t="s">
        <v>379</v>
      </c>
      <c r="B12" s="460">
        <v>298.95793822770003</v>
      </c>
      <c r="C12" s="452">
        <v>341.57442547300002</v>
      </c>
      <c r="D12" s="453">
        <v>14.255011088831271</v>
      </c>
      <c r="E12" s="454">
        <v>45.3149945742</v>
      </c>
      <c r="F12" s="454">
        <v>42.329025999999999</v>
      </c>
      <c r="G12" s="455">
        <v>-6.5893609880294584</v>
      </c>
    </row>
    <row r="13" spans="1:7" ht="11.25" customHeight="1">
      <c r="A13" s="471" t="s">
        <v>380</v>
      </c>
      <c r="B13" s="461">
        <v>227.95005056250002</v>
      </c>
      <c r="C13" s="456">
        <v>281.83899547300001</v>
      </c>
      <c r="D13" s="457">
        <v>23.640681270971918</v>
      </c>
      <c r="E13" s="458">
        <v>28.364712368999999</v>
      </c>
      <c r="F13" s="458">
        <v>34.234605999999999</v>
      </c>
      <c r="G13" s="459">
        <v>20.694352738846213</v>
      </c>
    </row>
    <row r="14" spans="1:7" ht="11.25" customHeight="1">
      <c r="A14" s="471" t="s">
        <v>381</v>
      </c>
      <c r="B14" s="461">
        <v>71.007887665200002</v>
      </c>
      <c r="C14" s="456">
        <v>59.735430000000001</v>
      </c>
      <c r="D14" s="457">
        <v>-15.874937328581428</v>
      </c>
      <c r="E14" s="458">
        <v>16.950282205200001</v>
      </c>
      <c r="F14" s="458">
        <v>8.0944199999999995</v>
      </c>
      <c r="G14" s="459">
        <v>-52.246104802215058</v>
      </c>
    </row>
    <row r="15" spans="1:7" ht="11.25" customHeight="1">
      <c r="A15" s="471"/>
      <c r="B15" s="472"/>
      <c r="C15" s="472"/>
      <c r="D15" s="473"/>
      <c r="E15" s="472"/>
      <c r="F15" s="472"/>
      <c r="G15" s="473"/>
    </row>
    <row r="16" spans="1:7" ht="11.25" customHeight="1">
      <c r="A16" s="470" t="s">
        <v>382</v>
      </c>
      <c r="B16" s="460">
        <v>2437.9385258232001</v>
      </c>
      <c r="C16" s="452">
        <v>2508.8976799772799</v>
      </c>
      <c r="D16" s="453">
        <v>2.9106211416926486</v>
      </c>
      <c r="E16" s="454">
        <v>285.62482342208</v>
      </c>
      <c r="F16" s="454">
        <v>326.95104917920003</v>
      </c>
      <c r="G16" s="455">
        <v>14.468709428679638</v>
      </c>
    </row>
    <row r="17" spans="1:7" ht="11.25" customHeight="1">
      <c r="A17" s="471" t="s">
        <v>383</v>
      </c>
      <c r="B17" s="461">
        <v>1407.9593384640002</v>
      </c>
      <c r="C17" s="456">
        <v>1399.7348400960002</v>
      </c>
      <c r="D17" s="457">
        <v>-0.58414317397634807</v>
      </c>
      <c r="E17" s="458">
        <v>157.80481775999999</v>
      </c>
      <c r="F17" s="458">
        <v>178.830911872</v>
      </c>
      <c r="G17" s="459">
        <v>13.324114187678271</v>
      </c>
    </row>
    <row r="18" spans="1:7" ht="11.25" customHeight="1">
      <c r="A18" s="471" t="s">
        <v>384</v>
      </c>
      <c r="B18" s="461">
        <v>544.2380816000001</v>
      </c>
      <c r="C18" s="456">
        <v>548.37423328</v>
      </c>
      <c r="D18" s="457">
        <v>0.75998939064316762</v>
      </c>
      <c r="E18" s="458">
        <v>68.98083840000001</v>
      </c>
      <c r="F18" s="458">
        <v>70.798220608000008</v>
      </c>
      <c r="G18" s="459">
        <v>2.6346189030952649</v>
      </c>
    </row>
    <row r="19" spans="1:7" ht="11.25" customHeight="1">
      <c r="A19" s="471" t="s">
        <v>385</v>
      </c>
      <c r="B19" s="461">
        <v>188.96266655999997</v>
      </c>
      <c r="C19" s="461">
        <v>188.23654559999997</v>
      </c>
      <c r="D19" s="457">
        <v>-0.38426688891450844</v>
      </c>
      <c r="E19" s="458">
        <v>24.617922239999999</v>
      </c>
      <c r="F19" s="458">
        <v>25.038297599999996</v>
      </c>
      <c r="G19" s="459">
        <v>1.7075988619257076</v>
      </c>
    </row>
    <row r="20" spans="1:7" ht="11.25" customHeight="1">
      <c r="A20" s="471" t="s">
        <v>386</v>
      </c>
      <c r="B20" s="461">
        <v>42.841642139999998</v>
      </c>
      <c r="C20" s="461">
        <v>41.224383240000002</v>
      </c>
      <c r="D20" s="457">
        <v>-3.7749694437833159</v>
      </c>
      <c r="E20" s="458">
        <v>5.4920106399999984</v>
      </c>
      <c r="F20" s="458">
        <v>5.2650777999999994</v>
      </c>
      <c r="G20" s="459">
        <v>-4.1320539029399805</v>
      </c>
    </row>
    <row r="21" spans="1:7" ht="11.25" customHeight="1">
      <c r="A21" s="471" t="s">
        <v>387</v>
      </c>
      <c r="B21" s="461">
        <v>42.388258367680002</v>
      </c>
      <c r="C21" s="461">
        <v>41.036387207040001</v>
      </c>
      <c r="D21" s="457">
        <v>-3.1892585652227967</v>
      </c>
      <c r="E21" s="458">
        <v>2.5915862188800003</v>
      </c>
      <c r="F21" s="458">
        <v>8.6072293856000019</v>
      </c>
      <c r="G21" s="459">
        <v>232.12205416494953</v>
      </c>
    </row>
    <row r="22" spans="1:7" ht="11.25" customHeight="1">
      <c r="A22" s="471" t="s">
        <v>494</v>
      </c>
      <c r="B22" s="461">
        <v>211.54853869151992</v>
      </c>
      <c r="C22" s="461">
        <v>290.29129055423999</v>
      </c>
      <c r="D22" s="457">
        <v>37.222073170423897</v>
      </c>
      <c r="E22" s="458">
        <v>26.137648163199998</v>
      </c>
      <c r="F22" s="458">
        <v>38.411311913600002</v>
      </c>
      <c r="G22" s="459">
        <v>46.957796943951813</v>
      </c>
    </row>
    <row r="23" spans="1:7" ht="11.25" customHeight="1">
      <c r="A23" s="471"/>
      <c r="B23" s="472"/>
      <c r="C23" s="472"/>
      <c r="D23" s="473"/>
      <c r="E23" s="474"/>
      <c r="F23" s="474"/>
      <c r="G23" s="475"/>
    </row>
    <row r="24" spans="1:7" ht="11.25" customHeight="1">
      <c r="A24" s="470" t="s">
        <v>364</v>
      </c>
      <c r="B24" s="476"/>
      <c r="C24" s="476"/>
      <c r="D24" s="477"/>
      <c r="E24" s="476"/>
      <c r="F24" s="476"/>
      <c r="G24" s="478"/>
    </row>
    <row r="25" spans="1:7" ht="11.25" customHeight="1">
      <c r="A25" s="471" t="s">
        <v>495</v>
      </c>
      <c r="B25" s="460">
        <v>97.531945856865988</v>
      </c>
      <c r="C25" s="460">
        <v>64.726672775188987</v>
      </c>
      <c r="D25" s="453">
        <v>-33.635413293015517</v>
      </c>
      <c r="E25" s="454">
        <v>13.533430434739998</v>
      </c>
      <c r="F25" s="454">
        <v>8.2434156416499995</v>
      </c>
      <c r="G25" s="455">
        <v>-39.088498800057778</v>
      </c>
    </row>
    <row r="26" spans="1:7" ht="11.25" customHeight="1">
      <c r="A26" s="470"/>
      <c r="B26" s="460"/>
      <c r="C26" s="460"/>
      <c r="D26" s="453"/>
      <c r="E26" s="458"/>
      <c r="F26" s="458"/>
      <c r="G26" s="459"/>
    </row>
    <row r="27" spans="1:7" ht="11.25" customHeight="1">
      <c r="A27" s="470" t="s">
        <v>365</v>
      </c>
      <c r="B27" s="476"/>
      <c r="C27" s="476"/>
      <c r="D27" s="477"/>
      <c r="E27" s="476"/>
      <c r="F27" s="476"/>
      <c r="G27" s="477"/>
    </row>
    <row r="28" spans="1:7" ht="11.25" customHeight="1">
      <c r="A28" s="471" t="s">
        <v>388</v>
      </c>
      <c r="B28" s="462">
        <v>907.0384786914002</v>
      </c>
      <c r="C28" s="462">
        <v>841.13425480480009</v>
      </c>
      <c r="D28" s="463">
        <v>-7.2658685860473415</v>
      </c>
      <c r="E28" s="454">
        <v>126.11949528380001</v>
      </c>
      <c r="F28" s="454">
        <v>127.54981641260001</v>
      </c>
      <c r="G28" s="455">
        <v>1.134099946706435</v>
      </c>
    </row>
    <row r="29" spans="1:7" ht="11.25" customHeight="1">
      <c r="A29" s="470"/>
      <c r="B29" s="476"/>
      <c r="C29" s="476"/>
      <c r="D29" s="477"/>
      <c r="E29" s="476"/>
      <c r="F29" s="476"/>
      <c r="G29" s="477"/>
    </row>
    <row r="30" spans="1:7" ht="11.25" customHeight="1">
      <c r="A30" s="470" t="s">
        <v>389</v>
      </c>
      <c r="B30" s="460">
        <v>247.10965899335744</v>
      </c>
      <c r="C30" s="460">
        <v>254.63133667893004</v>
      </c>
      <c r="D30" s="453">
        <v>3.0438622740257992</v>
      </c>
      <c r="E30" s="454">
        <v>31.204615860499999</v>
      </c>
      <c r="F30" s="454">
        <v>34.0624833842</v>
      </c>
      <c r="G30" s="455">
        <v>9.1584768627695148</v>
      </c>
    </row>
    <row r="31" spans="1:7" ht="11.25" customHeight="1">
      <c r="A31" s="471" t="s">
        <v>390</v>
      </c>
      <c r="B31" s="461">
        <v>8.7953425906999989</v>
      </c>
      <c r="C31" s="461">
        <v>10.103080245499999</v>
      </c>
      <c r="D31" s="457">
        <v>14.868524350407597</v>
      </c>
      <c r="E31" s="458">
        <v>1.1091509575</v>
      </c>
      <c r="F31" s="458">
        <v>1.28439032</v>
      </c>
      <c r="G31" s="459">
        <v>15.79941497728905</v>
      </c>
    </row>
    <row r="32" spans="1:7" ht="11.25" customHeight="1">
      <c r="A32" s="471" t="s">
        <v>391</v>
      </c>
      <c r="B32" s="461">
        <v>40.443644494400012</v>
      </c>
      <c r="C32" s="461">
        <v>42.929449399429998</v>
      </c>
      <c r="D32" s="457">
        <v>6.1463424874436789</v>
      </c>
      <c r="E32" s="458">
        <v>4.9934254111000005</v>
      </c>
      <c r="F32" s="458">
        <v>6.0331698724999994</v>
      </c>
      <c r="G32" s="459">
        <v>20.822268799464339</v>
      </c>
    </row>
    <row r="33" spans="1:7" ht="11.25" customHeight="1">
      <c r="A33" s="471" t="s">
        <v>392</v>
      </c>
      <c r="B33" s="461">
        <v>103.8463881</v>
      </c>
      <c r="C33" s="461">
        <v>99.995503140000011</v>
      </c>
      <c r="D33" s="457">
        <v>-3.7082512261203848</v>
      </c>
      <c r="E33" s="458">
        <v>12.849109468</v>
      </c>
      <c r="F33" s="458">
        <v>13.201465211999999</v>
      </c>
      <c r="G33" s="459">
        <v>2.7422580909402416</v>
      </c>
    </row>
    <row r="34" spans="1:7" ht="11.25" customHeight="1">
      <c r="A34" s="471" t="s">
        <v>393</v>
      </c>
      <c r="B34" s="461">
        <v>39.192342831280797</v>
      </c>
      <c r="C34" s="461">
        <v>45.133261527600006</v>
      </c>
      <c r="D34" s="457">
        <v>15.158365811133766</v>
      </c>
      <c r="E34" s="458">
        <v>5.0287195638000002</v>
      </c>
      <c r="F34" s="458">
        <v>6.1621510770000008</v>
      </c>
      <c r="G34" s="459">
        <v>22.539167253612202</v>
      </c>
    </row>
    <row r="35" spans="1:7" ht="11.25" customHeight="1">
      <c r="A35" s="471" t="s">
        <v>394</v>
      </c>
      <c r="B35" s="461">
        <v>41.811013204976597</v>
      </c>
      <c r="C35" s="461">
        <v>42.4563746165</v>
      </c>
      <c r="D35" s="457">
        <v>1.5435201447033808</v>
      </c>
      <c r="E35" s="458">
        <v>5.5111293276000008</v>
      </c>
      <c r="F35" s="458">
        <v>5.5746456493000007</v>
      </c>
      <c r="G35" s="459">
        <v>1.1525100922946452</v>
      </c>
    </row>
    <row r="36" spans="1:7" ht="11.25" customHeight="1">
      <c r="A36" s="471" t="s">
        <v>395</v>
      </c>
      <c r="B36" s="461">
        <v>8.5637302972000011</v>
      </c>
      <c r="C36" s="461">
        <v>9.4041138724000017</v>
      </c>
      <c r="D36" s="457">
        <v>9.813288672516606</v>
      </c>
      <c r="E36" s="458">
        <v>1.1266714744999999</v>
      </c>
      <c r="F36" s="458">
        <v>1.2086150674000002</v>
      </c>
      <c r="G36" s="459">
        <v>7.2730689251155223</v>
      </c>
    </row>
    <row r="37" spans="1:7" ht="11.25" customHeight="1">
      <c r="A37" s="471" t="s">
        <v>396</v>
      </c>
      <c r="B37" s="461">
        <v>0.11018549999999999</v>
      </c>
      <c r="C37" s="461">
        <v>0.117492311</v>
      </c>
      <c r="D37" s="457">
        <v>6.6313725490196207</v>
      </c>
      <c r="E37" s="458">
        <v>2.0714874000000001E-2</v>
      </c>
      <c r="F37" s="458">
        <v>1.8623509999999999E-2</v>
      </c>
      <c r="G37" s="459">
        <v>-10.095953274927005</v>
      </c>
    </row>
    <row r="38" spans="1:7" ht="11.25" customHeight="1">
      <c r="A38" s="471" t="s">
        <v>397</v>
      </c>
      <c r="B38" s="461">
        <v>4.3470119748</v>
      </c>
      <c r="C38" s="461">
        <v>4.4920615664999994</v>
      </c>
      <c r="D38" s="457">
        <v>3.3367654043942041</v>
      </c>
      <c r="E38" s="458">
        <v>0.56569478400000006</v>
      </c>
      <c r="F38" s="458">
        <v>0.57942267599999997</v>
      </c>
      <c r="G38" s="459">
        <v>2.4267312318014822</v>
      </c>
    </row>
    <row r="39" spans="1:7" ht="11.25" customHeight="1">
      <c r="A39" s="471"/>
      <c r="B39" s="472"/>
      <c r="C39" s="472"/>
      <c r="D39" s="473"/>
      <c r="E39" s="472"/>
      <c r="F39" s="472"/>
      <c r="G39" s="473"/>
    </row>
    <row r="40" spans="1:7" ht="11.25" customHeight="1">
      <c r="A40" s="470" t="s">
        <v>367</v>
      </c>
      <c r="B40" s="460">
        <v>133.97985660000001</v>
      </c>
      <c r="C40" s="460">
        <v>222.5868059</v>
      </c>
      <c r="D40" s="453">
        <v>66.134530629136364</v>
      </c>
      <c r="E40" s="454">
        <v>21.538786000000002</v>
      </c>
      <c r="F40" s="454">
        <v>18.3752517</v>
      </c>
      <c r="G40" s="455">
        <v>-14.687616562976213</v>
      </c>
    </row>
    <row r="41" spans="1:7" ht="11.25" customHeight="1">
      <c r="A41" s="471" t="s">
        <v>398</v>
      </c>
      <c r="B41" s="461">
        <v>102.36290320000002</v>
      </c>
      <c r="C41" s="461">
        <v>189.30806380000001</v>
      </c>
      <c r="D41" s="457">
        <v>84.938154235547287</v>
      </c>
      <c r="E41" s="458">
        <v>19.611059600000001</v>
      </c>
      <c r="F41" s="458">
        <v>16.611000000000001</v>
      </c>
      <c r="G41" s="459">
        <v>-15.297794515906727</v>
      </c>
    </row>
    <row r="42" spans="1:7" ht="11.25" customHeight="1">
      <c r="A42" s="471" t="s">
        <v>399</v>
      </c>
      <c r="B42" s="461">
        <v>31.6169534</v>
      </c>
      <c r="C42" s="461">
        <v>33.278742100000002</v>
      </c>
      <c r="D42" s="457">
        <v>5.2560051532352992</v>
      </c>
      <c r="E42" s="458">
        <v>1.9277264000000003</v>
      </c>
      <c r="F42" s="458">
        <v>1.7642517</v>
      </c>
      <c r="G42" s="459">
        <v>-8.4801816274342805</v>
      </c>
    </row>
    <row r="43" spans="1:7" ht="11.25" customHeight="1">
      <c r="A43" s="471"/>
      <c r="B43" s="461"/>
      <c r="C43" s="461"/>
      <c r="D43" s="457"/>
      <c r="E43" s="458"/>
      <c r="F43" s="458"/>
      <c r="G43" s="459"/>
    </row>
    <row r="44" spans="1:7" ht="11.25" customHeight="1">
      <c r="A44" s="470" t="s">
        <v>368</v>
      </c>
      <c r="B44" s="460">
        <v>675.84258255062355</v>
      </c>
      <c r="C44" s="460">
        <v>576.84712115869752</v>
      </c>
      <c r="D44" s="453">
        <v>-14.647709976828938</v>
      </c>
      <c r="E44" s="454">
        <v>95.455123090280026</v>
      </c>
      <c r="F44" s="454">
        <v>67.312949927070008</v>
      </c>
      <c r="G44" s="455">
        <v>-29.482098238555064</v>
      </c>
    </row>
    <row r="45" spans="1:7" ht="11.25" customHeight="1">
      <c r="A45" s="471" t="s">
        <v>400</v>
      </c>
      <c r="B45" s="461">
        <v>50.271567695279998</v>
      </c>
      <c r="C45" s="461">
        <v>37.059618816090008</v>
      </c>
      <c r="D45" s="457">
        <v>-26.281155501801589</v>
      </c>
      <c r="E45" s="458">
        <v>5.9532268380299991</v>
      </c>
      <c r="F45" s="458">
        <v>4.7132060870699997</v>
      </c>
      <c r="G45" s="459">
        <v>-20.829388576940879</v>
      </c>
    </row>
    <row r="46" spans="1:7" ht="11.25" customHeight="1">
      <c r="A46" s="471" t="s">
        <v>401</v>
      </c>
      <c r="B46" s="461">
        <v>625.57101485534361</v>
      </c>
      <c r="C46" s="461">
        <v>539.78750234260747</v>
      </c>
      <c r="D46" s="457">
        <v>-13.712833631298061</v>
      </c>
      <c r="E46" s="458">
        <v>89.50189625225002</v>
      </c>
      <c r="F46" s="458">
        <v>62.599743840000002</v>
      </c>
      <c r="G46" s="459">
        <v>-30.057634015294632</v>
      </c>
    </row>
    <row r="47" spans="1:7" ht="11.25" customHeight="1">
      <c r="A47" s="471"/>
      <c r="B47" s="472"/>
      <c r="C47" s="472"/>
      <c r="D47" s="473"/>
      <c r="E47" s="474"/>
      <c r="F47" s="474"/>
      <c r="G47" s="475"/>
    </row>
    <row r="48" spans="1:7" ht="11.25" customHeight="1">
      <c r="A48" s="470" t="s">
        <v>402</v>
      </c>
      <c r="B48" s="460">
        <v>1567.2128829312539</v>
      </c>
      <c r="C48" s="460">
        <v>1670.8962825622982</v>
      </c>
      <c r="D48" s="453">
        <v>6.6157827542304926</v>
      </c>
      <c r="E48" s="454">
        <v>231.05694566264202</v>
      </c>
      <c r="F48" s="454">
        <v>203.81611702799998</v>
      </c>
      <c r="G48" s="455">
        <v>-11.789660144826552</v>
      </c>
    </row>
    <row r="49" spans="1:7" ht="11.25" customHeight="1">
      <c r="A49" s="471" t="s">
        <v>403</v>
      </c>
      <c r="B49" s="461">
        <v>1518.5889938458602</v>
      </c>
      <c r="C49" s="461">
        <v>1620.8067263547182</v>
      </c>
      <c r="D49" s="457">
        <v>6.7310992587921614</v>
      </c>
      <c r="E49" s="458">
        <v>222.92349057926202</v>
      </c>
      <c r="F49" s="458">
        <v>197.86966154999999</v>
      </c>
      <c r="G49" s="459">
        <v>-11.238756832741215</v>
      </c>
    </row>
    <row r="50" spans="1:7" ht="11.25" customHeight="1">
      <c r="A50" s="471" t="s">
        <v>404</v>
      </c>
      <c r="B50" s="461">
        <v>4.3697181600000006</v>
      </c>
      <c r="C50" s="461">
        <v>5.1567248474400005</v>
      </c>
      <c r="D50" s="457">
        <v>18.010467920887606</v>
      </c>
      <c r="E50" s="458">
        <v>0.70850353080000006</v>
      </c>
      <c r="F50" s="458">
        <v>0.44218891799999999</v>
      </c>
      <c r="G50" s="459">
        <v>-37.588325424333945</v>
      </c>
    </row>
    <row r="51" spans="1:7" ht="11.25" customHeight="1">
      <c r="A51" s="471" t="s">
        <v>405</v>
      </c>
      <c r="B51" s="461">
        <v>44.254170925393787</v>
      </c>
      <c r="C51" s="461">
        <v>44.932831360139993</v>
      </c>
      <c r="D51" s="457">
        <v>1.533551347940354</v>
      </c>
      <c r="E51" s="458">
        <v>7.4249515525799996</v>
      </c>
      <c r="F51" s="458">
        <v>5.5042665599999996</v>
      </c>
      <c r="G51" s="459">
        <v>-25.867980133993008</v>
      </c>
    </row>
    <row r="52" spans="1:7" ht="11.25" customHeight="1">
      <c r="A52" s="471"/>
      <c r="B52" s="472"/>
      <c r="C52" s="472"/>
      <c r="D52" s="473"/>
      <c r="E52" s="472"/>
      <c r="F52" s="472"/>
      <c r="G52" s="473"/>
    </row>
    <row r="53" spans="1:7" ht="11.25" customHeight="1">
      <c r="A53" s="470" t="s">
        <v>406</v>
      </c>
      <c r="B53" s="460">
        <v>1409.0320421157417</v>
      </c>
      <c r="C53" s="460">
        <v>1494.954420459195</v>
      </c>
      <c r="D53" s="453">
        <v>6.0979719250696451</v>
      </c>
      <c r="E53" s="454">
        <v>201.57415244678637</v>
      </c>
      <c r="F53" s="454">
        <v>167.34937773865599</v>
      </c>
      <c r="G53" s="455">
        <v>-16.978751636902157</v>
      </c>
    </row>
    <row r="54" spans="1:7" ht="11.25" customHeight="1">
      <c r="A54" s="471" t="s">
        <v>407</v>
      </c>
      <c r="B54" s="461">
        <v>1187.3987903419736</v>
      </c>
      <c r="C54" s="461">
        <v>1275.172350540427</v>
      </c>
      <c r="D54" s="457">
        <v>7.3920877225396531</v>
      </c>
      <c r="E54" s="458">
        <v>179.34837453494038</v>
      </c>
      <c r="F54" s="458">
        <v>139.41743755100998</v>
      </c>
      <c r="G54" s="459">
        <v>-22.264454354533946</v>
      </c>
    </row>
    <row r="55" spans="1:7" ht="11.25" customHeight="1">
      <c r="A55" s="479" t="s">
        <v>408</v>
      </c>
      <c r="B55" s="464">
        <v>221.633251773768</v>
      </c>
      <c r="C55" s="464">
        <v>219.78206991876806</v>
      </c>
      <c r="D55" s="465">
        <v>-0.83524554198641798</v>
      </c>
      <c r="E55" s="466">
        <v>22.225777911845999</v>
      </c>
      <c r="F55" s="466">
        <v>27.931940187645996</v>
      </c>
      <c r="G55" s="467">
        <v>25.673622306640166</v>
      </c>
    </row>
    <row r="56" spans="1:7" ht="9" customHeight="1">
      <c r="A56" s="446" t="s">
        <v>94</v>
      </c>
      <c r="B56" s="446"/>
      <c r="C56" s="446"/>
      <c r="D56" s="446"/>
      <c r="E56" s="331"/>
      <c r="F56" s="331"/>
      <c r="G56" s="480"/>
    </row>
    <row r="57" spans="1:7" ht="9" customHeight="1">
      <c r="A57" s="481" t="s">
        <v>409</v>
      </c>
      <c r="B57" s="481"/>
      <c r="C57" s="481"/>
      <c r="D57" s="481"/>
      <c r="E57" s="482"/>
      <c r="F57" s="482"/>
      <c r="G57" s="483"/>
    </row>
    <row r="58" spans="1:7" ht="9" customHeight="1">
      <c r="A58" s="520" t="s">
        <v>496</v>
      </c>
      <c r="B58" s="520"/>
      <c r="C58" s="520"/>
      <c r="D58" s="520"/>
      <c r="E58" s="520"/>
      <c r="F58" s="520"/>
      <c r="G58" s="520"/>
    </row>
  </sheetData>
  <mergeCells count="6">
    <mergeCell ref="A58:G58"/>
    <mergeCell ref="A2:G2"/>
    <mergeCell ref="A3:G3"/>
    <mergeCell ref="A5:A6"/>
    <mergeCell ref="B5:D5"/>
    <mergeCell ref="E5:G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zoomScale="120" zoomScaleNormal="120" workbookViewId="0">
      <selection activeCell="B19" sqref="B19"/>
    </sheetView>
  </sheetViews>
  <sheetFormatPr baseColWidth="10" defaultColWidth="11.42578125" defaultRowHeight="17.25" customHeight="1"/>
  <cols>
    <col min="1" max="1" width="6.28515625" style="112" customWidth="1"/>
    <col min="2" max="2" width="64.42578125" style="112" customWidth="1"/>
    <col min="3" max="3" width="6.28515625" style="112" customWidth="1"/>
    <col min="4" max="4" width="2" style="112" customWidth="1"/>
    <col min="5" max="5" width="40.85546875" style="112" customWidth="1"/>
    <col min="6" max="16384" width="11.42578125" style="112"/>
  </cols>
  <sheetData>
    <row r="1" spans="1:5" ht="16.5" customHeight="1">
      <c r="A1" s="260" t="s">
        <v>80</v>
      </c>
      <c r="B1" s="224"/>
      <c r="C1" s="225"/>
      <c r="D1" s="225"/>
      <c r="E1" s="111"/>
    </row>
    <row r="2" spans="1:5" ht="17.25" customHeight="1">
      <c r="A2" s="110"/>
      <c r="B2" s="110"/>
      <c r="C2" s="111"/>
      <c r="D2" s="111"/>
      <c r="E2" s="111"/>
    </row>
    <row r="3" spans="1:5" ht="17.25" customHeight="1">
      <c r="A3" s="78"/>
      <c r="B3" s="78"/>
      <c r="C3" s="79"/>
      <c r="D3" s="111"/>
      <c r="E3" s="111"/>
    </row>
    <row r="4" spans="1:5" ht="17.25" customHeight="1">
      <c r="A4" s="111"/>
      <c r="B4" s="111"/>
      <c r="C4" s="111"/>
      <c r="D4" s="111"/>
      <c r="E4" s="111"/>
    </row>
    <row r="5" spans="1:5" ht="17.25" customHeight="1">
      <c r="A5" s="111"/>
      <c r="B5" s="111"/>
      <c r="C5" s="111"/>
      <c r="D5" s="111"/>
      <c r="E5" s="111"/>
    </row>
    <row r="6" spans="1:5" ht="17.25" customHeight="1">
      <c r="A6" s="28" t="s">
        <v>231</v>
      </c>
      <c r="B6" s="259" t="s">
        <v>232</v>
      </c>
      <c r="C6" s="258"/>
      <c r="D6" s="111"/>
      <c r="E6" s="111"/>
    </row>
    <row r="7" spans="1:5" ht="17.25" customHeight="1">
      <c r="A7" s="80"/>
      <c r="B7" s="257"/>
      <c r="C7" s="257"/>
      <c r="D7" s="111"/>
      <c r="E7" s="111"/>
    </row>
    <row r="8" spans="1:5" ht="20.25" customHeight="1">
      <c r="A8" s="81" t="s">
        <v>233</v>
      </c>
      <c r="B8" s="29" t="s">
        <v>497</v>
      </c>
      <c r="C8" s="82"/>
      <c r="D8" s="111"/>
      <c r="E8" s="111"/>
    </row>
    <row r="9" spans="1:5" ht="20.25" customHeight="1">
      <c r="A9" s="81" t="s">
        <v>272</v>
      </c>
      <c r="B9" s="29" t="s">
        <v>499</v>
      </c>
      <c r="C9" s="82"/>
      <c r="D9" s="111"/>
      <c r="E9" s="111"/>
    </row>
    <row r="10" spans="1:5" ht="20.25" customHeight="1">
      <c r="A10" s="81" t="s">
        <v>273</v>
      </c>
      <c r="B10" s="30" t="s">
        <v>498</v>
      </c>
      <c r="C10" s="82"/>
      <c r="D10" s="111"/>
      <c r="E10" s="111"/>
    </row>
    <row r="11" spans="1:5" ht="28.5" customHeight="1">
      <c r="A11" s="81" t="s">
        <v>102</v>
      </c>
      <c r="B11" s="29" t="s">
        <v>500</v>
      </c>
      <c r="C11" s="82"/>
      <c r="D11" s="111"/>
      <c r="E11" s="111"/>
    </row>
    <row r="12" spans="1:5" ht="19.5" customHeight="1">
      <c r="A12" s="81" t="s">
        <v>40</v>
      </c>
      <c r="B12" s="29" t="s">
        <v>473</v>
      </c>
      <c r="C12" s="82"/>
      <c r="D12" s="111"/>
      <c r="E12" s="111"/>
    </row>
    <row r="13" spans="1:5" ht="27.75" customHeight="1">
      <c r="A13" s="81" t="s">
        <v>41</v>
      </c>
      <c r="B13" s="29" t="s">
        <v>474</v>
      </c>
      <c r="C13" s="82"/>
      <c r="D13" s="111"/>
      <c r="E13" s="111"/>
    </row>
    <row r="14" spans="1:5" ht="17.25" customHeight="1">
      <c r="A14" s="81" t="s">
        <v>125</v>
      </c>
      <c r="B14" s="29" t="s">
        <v>501</v>
      </c>
      <c r="C14" s="82"/>
      <c r="D14" s="111"/>
      <c r="E14" s="111"/>
    </row>
    <row r="15" spans="1:5" ht="17.25" customHeight="1">
      <c r="A15" s="81" t="s">
        <v>126</v>
      </c>
      <c r="B15" s="29" t="s">
        <v>502</v>
      </c>
      <c r="C15" s="82"/>
      <c r="D15" s="111"/>
      <c r="E15" s="111"/>
    </row>
    <row r="16" spans="1:5" ht="17.25" customHeight="1">
      <c r="A16" s="81" t="s">
        <v>127</v>
      </c>
      <c r="B16" s="29" t="s">
        <v>503</v>
      </c>
      <c r="C16" s="82"/>
      <c r="D16" s="111"/>
      <c r="E16" s="111"/>
    </row>
    <row r="17" spans="1:5" ht="17.25" customHeight="1">
      <c r="A17" s="81" t="s">
        <v>128</v>
      </c>
      <c r="B17" s="29" t="s">
        <v>504</v>
      </c>
      <c r="C17" s="82"/>
      <c r="D17" s="111"/>
      <c r="E17" s="111"/>
    </row>
    <row r="18" spans="1:5" ht="17.25" customHeight="1">
      <c r="A18" s="81" t="s">
        <v>42</v>
      </c>
      <c r="B18" s="280" t="s">
        <v>505</v>
      </c>
      <c r="C18" s="82"/>
      <c r="D18" s="111"/>
      <c r="E18" s="111"/>
    </row>
    <row r="19" spans="1:5" ht="17.25" customHeight="1">
      <c r="A19" s="111"/>
      <c r="B19" s="27"/>
      <c r="C19" s="111"/>
      <c r="D19" s="111"/>
      <c r="E19" s="111"/>
    </row>
    <row r="20" spans="1:5" ht="17.25" customHeight="1">
      <c r="A20" s="111"/>
      <c r="B20" s="290"/>
      <c r="C20" s="111"/>
      <c r="D20" s="111"/>
      <c r="E20" s="111"/>
    </row>
    <row r="21" spans="1:5" ht="17.25" customHeight="1">
      <c r="A21" s="111"/>
      <c r="B21" s="111"/>
      <c r="C21" s="111"/>
      <c r="D21" s="111"/>
      <c r="E21" s="111"/>
    </row>
    <row r="22" spans="1:5" ht="17.25" customHeight="1">
      <c r="A22" s="111"/>
      <c r="B22" s="111"/>
      <c r="C22" s="111"/>
      <c r="D22" s="111"/>
      <c r="E22" s="111"/>
    </row>
    <row r="23" spans="1:5" ht="17.25" customHeight="1">
      <c r="A23" s="111"/>
      <c r="B23" s="111"/>
      <c r="C23" s="111"/>
      <c r="D23" s="111"/>
      <c r="E23" s="111"/>
    </row>
    <row r="24" spans="1:5" ht="17.25" customHeight="1">
      <c r="A24" s="111"/>
      <c r="B24" s="111"/>
      <c r="C24" s="111"/>
      <c r="D24" s="111"/>
      <c r="E24" s="111"/>
    </row>
    <row r="25" spans="1:5" ht="17.25" customHeight="1">
      <c r="A25" s="111"/>
      <c r="B25" s="111"/>
      <c r="C25" s="111"/>
      <c r="D25" s="111"/>
      <c r="E25" s="111"/>
    </row>
    <row r="26" spans="1:5" ht="17.25" customHeight="1">
      <c r="A26" s="111"/>
      <c r="B26" s="111"/>
      <c r="C26" s="111"/>
      <c r="D26" s="111"/>
      <c r="E26" s="111"/>
    </row>
    <row r="27" spans="1:5" ht="17.25" customHeight="1">
      <c r="A27" s="111"/>
      <c r="B27" s="111"/>
      <c r="C27" s="111"/>
      <c r="D27" s="111"/>
      <c r="E27" s="111"/>
    </row>
    <row r="28" spans="1:5" ht="17.25" customHeight="1">
      <c r="A28" s="111"/>
      <c r="B28" s="111"/>
      <c r="C28" s="111"/>
      <c r="D28" s="111"/>
      <c r="E28" s="111"/>
    </row>
    <row r="29" spans="1:5" ht="17.25" customHeight="1">
      <c r="A29" s="111"/>
      <c r="B29" s="111"/>
      <c r="C29" s="111"/>
      <c r="D29" s="111"/>
      <c r="E29" s="111"/>
    </row>
    <row r="30" spans="1:5" ht="17.25" customHeight="1">
      <c r="A30" s="111"/>
      <c r="B30" s="111"/>
      <c r="C30" s="111"/>
      <c r="D30" s="111"/>
      <c r="E30" s="111"/>
    </row>
    <row r="31" spans="1:5" ht="17.25" customHeight="1">
      <c r="A31" s="111"/>
      <c r="B31" s="111"/>
      <c r="C31" s="111"/>
      <c r="D31" s="111"/>
      <c r="E31" s="111"/>
    </row>
    <row r="32" spans="1:5" ht="17.25" customHeight="1">
      <c r="A32" s="111"/>
      <c r="B32" s="111"/>
      <c r="C32" s="111"/>
      <c r="D32" s="111"/>
      <c r="E32" s="111"/>
    </row>
    <row r="33" spans="1:5" ht="17.25" customHeight="1">
      <c r="A33" s="111"/>
      <c r="B33" s="111"/>
      <c r="C33" s="111"/>
      <c r="D33" s="111"/>
      <c r="E33" s="111"/>
    </row>
    <row r="34" spans="1:5" ht="17.25" customHeight="1">
      <c r="A34" s="111"/>
      <c r="B34" s="111"/>
      <c r="C34" s="111"/>
      <c r="D34" s="111"/>
      <c r="E34" s="111"/>
    </row>
    <row r="35" spans="1:5" ht="17.25" customHeight="1">
      <c r="A35" s="111"/>
      <c r="B35" s="111"/>
      <c r="C35" s="111"/>
      <c r="D35" s="111"/>
      <c r="E35" s="111"/>
    </row>
    <row r="36" spans="1:5" ht="17.25" customHeight="1">
      <c r="A36" s="111"/>
      <c r="B36" s="111"/>
      <c r="C36" s="111"/>
      <c r="D36" s="111"/>
      <c r="E36" s="111"/>
    </row>
    <row r="37" spans="1:5" ht="17.25" customHeight="1">
      <c r="A37" s="111"/>
      <c r="B37" s="111"/>
      <c r="C37" s="111"/>
      <c r="D37" s="111"/>
      <c r="E37" s="111"/>
    </row>
    <row r="38" spans="1:5" ht="17.25" customHeight="1">
      <c r="A38" s="111"/>
      <c r="B38" s="111"/>
      <c r="C38" s="111"/>
      <c r="D38" s="111"/>
      <c r="E38" s="111"/>
    </row>
    <row r="39" spans="1:5" ht="17.25" customHeight="1">
      <c r="A39" s="111"/>
      <c r="B39" s="111"/>
      <c r="C39" s="111"/>
      <c r="D39" s="111"/>
      <c r="E39" s="111"/>
    </row>
    <row r="40" spans="1:5" ht="17.25" customHeight="1">
      <c r="A40" s="111"/>
      <c r="B40" s="111"/>
      <c r="C40" s="111"/>
      <c r="D40" s="111"/>
      <c r="E40" s="111"/>
    </row>
    <row r="41" spans="1:5" ht="17.25" customHeight="1">
      <c r="A41" s="111"/>
      <c r="B41" s="111"/>
      <c r="C41" s="111"/>
      <c r="D41" s="111"/>
      <c r="E41" s="111"/>
    </row>
    <row r="42" spans="1:5" ht="17.25" customHeight="1">
      <c r="A42" s="111"/>
      <c r="B42" s="111"/>
      <c r="C42" s="111"/>
      <c r="D42" s="111"/>
      <c r="E42" s="111"/>
    </row>
    <row r="43" spans="1:5" ht="17.25" customHeight="1">
      <c r="A43" s="111"/>
      <c r="B43" s="111"/>
      <c r="C43" s="111"/>
      <c r="D43" s="111"/>
      <c r="E43" s="111"/>
    </row>
    <row r="44" spans="1:5" ht="17.25" customHeight="1">
      <c r="A44" s="111"/>
      <c r="B44" s="111"/>
      <c r="C44" s="111"/>
      <c r="D44" s="111"/>
      <c r="E44" s="111"/>
    </row>
    <row r="45" spans="1:5" ht="17.25" customHeight="1">
      <c r="A45" s="111"/>
      <c r="B45" s="111"/>
      <c r="C45" s="111"/>
      <c r="D45" s="111"/>
      <c r="E45" s="111"/>
    </row>
    <row r="46" spans="1:5" ht="17.25" customHeight="1">
      <c r="A46" s="111"/>
      <c r="B46" s="111"/>
      <c r="C46" s="111"/>
      <c r="D46" s="111"/>
      <c r="E46" s="111"/>
    </row>
    <row r="47" spans="1:5" ht="17.25" customHeight="1">
      <c r="A47" s="111"/>
      <c r="B47" s="111"/>
      <c r="C47" s="111"/>
      <c r="D47" s="111"/>
      <c r="E47" s="111"/>
    </row>
    <row r="48" spans="1:5" ht="17.25" customHeight="1">
      <c r="A48" s="111"/>
      <c r="B48" s="111"/>
      <c r="C48" s="111"/>
      <c r="D48" s="111"/>
      <c r="E48" s="111"/>
    </row>
    <row r="49" spans="1:5" ht="17.25" customHeight="1">
      <c r="A49" s="111"/>
      <c r="B49" s="111"/>
      <c r="C49" s="111"/>
      <c r="D49" s="111"/>
      <c r="E49" s="111"/>
    </row>
    <row r="50" spans="1:5" ht="17.25" customHeight="1">
      <c r="A50" s="111"/>
      <c r="B50" s="111"/>
      <c r="C50" s="111"/>
      <c r="D50" s="111"/>
      <c r="E50" s="111"/>
    </row>
    <row r="51" spans="1:5" ht="17.25" customHeight="1">
      <c r="A51" s="111"/>
      <c r="B51" s="111"/>
      <c r="C51" s="111"/>
      <c r="D51" s="111"/>
      <c r="E51" s="111"/>
    </row>
    <row r="52" spans="1:5" ht="17.25" customHeight="1">
      <c r="A52" s="111"/>
      <c r="B52" s="111"/>
      <c r="C52" s="111"/>
      <c r="D52" s="111"/>
      <c r="E52" s="111"/>
    </row>
    <row r="53" spans="1:5" ht="17.25" customHeight="1">
      <c r="A53" s="111"/>
      <c r="B53" s="111"/>
      <c r="C53" s="111"/>
      <c r="D53" s="111"/>
      <c r="E53" s="111"/>
    </row>
    <row r="54" spans="1:5" ht="17.25" customHeight="1">
      <c r="A54" s="111"/>
      <c r="B54" s="111"/>
      <c r="C54" s="111"/>
      <c r="D54" s="111"/>
      <c r="E54" s="111"/>
    </row>
    <row r="55" spans="1:5" ht="17.25" customHeight="1">
      <c r="A55" s="111"/>
      <c r="B55" s="111"/>
      <c r="C55" s="111"/>
      <c r="D55" s="111"/>
      <c r="E55" s="111"/>
    </row>
    <row r="56" spans="1:5" ht="17.25" customHeight="1">
      <c r="A56" s="111"/>
      <c r="B56" s="111"/>
      <c r="C56" s="111"/>
      <c r="D56" s="111"/>
      <c r="E56" s="111"/>
    </row>
    <row r="57" spans="1:5" ht="17.25" customHeight="1">
      <c r="A57" s="111"/>
      <c r="B57" s="111"/>
      <c r="C57" s="111"/>
      <c r="D57" s="111"/>
      <c r="E57" s="111"/>
    </row>
    <row r="58" spans="1:5" ht="17.25" customHeight="1">
      <c r="A58" s="111"/>
      <c r="B58" s="111"/>
      <c r="C58" s="111"/>
      <c r="D58" s="111"/>
      <c r="E58" s="111"/>
    </row>
    <row r="59" spans="1:5" ht="17.25" customHeight="1">
      <c r="A59" s="111"/>
      <c r="B59" s="111"/>
      <c r="C59" s="111"/>
      <c r="D59" s="111"/>
      <c r="E59" s="111"/>
    </row>
    <row r="60" spans="1:5" ht="17.25" customHeight="1">
      <c r="A60" s="111"/>
      <c r="B60" s="111"/>
      <c r="C60" s="111"/>
      <c r="D60" s="111"/>
      <c r="E60" s="111"/>
    </row>
    <row r="61" spans="1:5" ht="17.25" customHeight="1">
      <c r="A61" s="111"/>
      <c r="B61" s="111"/>
      <c r="C61" s="111"/>
      <c r="D61" s="111"/>
      <c r="E61" s="111"/>
    </row>
    <row r="62" spans="1:5" ht="17.25" customHeight="1">
      <c r="A62" s="111"/>
      <c r="B62" s="111"/>
      <c r="C62" s="111"/>
      <c r="D62" s="111"/>
      <c r="E62" s="111"/>
    </row>
    <row r="63" spans="1:5" ht="17.25" customHeight="1">
      <c r="A63" s="111"/>
      <c r="B63" s="111"/>
      <c r="C63" s="111"/>
      <c r="D63" s="111"/>
      <c r="E63" s="111"/>
    </row>
    <row r="64" spans="1:5" ht="17.25" customHeight="1">
      <c r="A64" s="111"/>
      <c r="B64" s="111"/>
      <c r="C64" s="111"/>
      <c r="D64" s="111"/>
      <c r="E64" s="111"/>
    </row>
    <row r="65" spans="1:5" ht="17.25" customHeight="1">
      <c r="A65" s="111"/>
      <c r="B65" s="111"/>
      <c r="C65" s="111"/>
      <c r="D65" s="111"/>
      <c r="E65" s="111"/>
    </row>
    <row r="66" spans="1:5" ht="17.25" customHeight="1">
      <c r="A66" s="111"/>
      <c r="B66" s="111"/>
      <c r="C66" s="111"/>
      <c r="D66" s="111"/>
      <c r="E66" s="111"/>
    </row>
    <row r="67" spans="1:5" ht="17.25" customHeight="1">
      <c r="A67" s="111"/>
      <c r="B67" s="111"/>
      <c r="C67" s="111"/>
      <c r="D67" s="111"/>
      <c r="E67" s="111"/>
    </row>
    <row r="68" spans="1:5" ht="17.25" customHeight="1">
      <c r="A68" s="111"/>
      <c r="B68" s="111"/>
      <c r="C68" s="111"/>
      <c r="D68" s="111"/>
      <c r="E68" s="111"/>
    </row>
    <row r="69" spans="1:5" ht="17.25" customHeight="1">
      <c r="A69" s="111"/>
      <c r="B69" s="111"/>
      <c r="C69" s="111"/>
      <c r="D69" s="111"/>
      <c r="E69" s="111"/>
    </row>
    <row r="70" spans="1:5" ht="17.25" customHeight="1">
      <c r="A70" s="111"/>
      <c r="B70" s="111"/>
      <c r="C70" s="111"/>
      <c r="D70" s="111"/>
      <c r="E70" s="111"/>
    </row>
    <row r="71" spans="1:5" ht="17.25" customHeight="1">
      <c r="A71" s="111"/>
      <c r="B71" s="111"/>
      <c r="C71" s="111"/>
      <c r="D71" s="111"/>
      <c r="E71" s="111"/>
    </row>
    <row r="72" spans="1:5" ht="17.25" customHeight="1">
      <c r="A72" s="111"/>
      <c r="B72" s="111"/>
      <c r="C72" s="111"/>
      <c r="D72" s="111"/>
      <c r="E72" s="111"/>
    </row>
    <row r="73" spans="1:5" ht="17.25" customHeight="1">
      <c r="A73" s="111"/>
      <c r="B73" s="111"/>
      <c r="C73" s="111"/>
      <c r="D73" s="111"/>
      <c r="E73" s="111"/>
    </row>
    <row r="74" spans="1:5" ht="17.25" customHeight="1">
      <c r="A74" s="111"/>
      <c r="B74" s="111"/>
      <c r="C74" s="111"/>
      <c r="D74" s="111"/>
      <c r="E74" s="111"/>
    </row>
    <row r="75" spans="1:5" ht="17.25" customHeight="1">
      <c r="A75" s="111"/>
      <c r="B75" s="111"/>
      <c r="C75" s="111"/>
      <c r="D75" s="111"/>
      <c r="E75" s="111"/>
    </row>
    <row r="76" spans="1:5" ht="17.25" customHeight="1">
      <c r="A76" s="111"/>
      <c r="B76" s="111"/>
      <c r="C76" s="111"/>
      <c r="D76" s="111"/>
      <c r="E76" s="111"/>
    </row>
    <row r="77" spans="1:5" ht="17.25" customHeight="1">
      <c r="A77" s="111"/>
      <c r="B77" s="111"/>
      <c r="C77" s="111"/>
      <c r="D77" s="111"/>
      <c r="E77" s="111"/>
    </row>
    <row r="78" spans="1:5" ht="17.25" customHeight="1">
      <c r="A78" s="111"/>
      <c r="B78" s="111"/>
      <c r="C78" s="111"/>
      <c r="D78" s="111"/>
      <c r="E78" s="111"/>
    </row>
    <row r="79" spans="1:5" ht="17.25" customHeight="1">
      <c r="A79" s="111"/>
      <c r="B79" s="111"/>
      <c r="C79" s="111"/>
      <c r="D79" s="111"/>
      <c r="E79" s="111"/>
    </row>
    <row r="80" spans="1:5" ht="17.25" customHeight="1">
      <c r="A80" s="111"/>
      <c r="B80" s="111"/>
      <c r="C80" s="111"/>
      <c r="D80" s="111"/>
      <c r="E80" s="111"/>
    </row>
    <row r="81" spans="1:5" ht="17.25" customHeight="1">
      <c r="A81" s="111"/>
      <c r="B81" s="111"/>
      <c r="C81" s="111"/>
      <c r="D81" s="111"/>
      <c r="E81" s="111"/>
    </row>
    <row r="82" spans="1:5" ht="17.25" customHeight="1">
      <c r="A82" s="111"/>
      <c r="B82" s="111"/>
      <c r="C82" s="111"/>
      <c r="D82" s="111"/>
      <c r="E82" s="111"/>
    </row>
    <row r="83" spans="1:5" ht="17.25" customHeight="1">
      <c r="A83" s="111"/>
      <c r="B83" s="111"/>
      <c r="C83" s="111"/>
      <c r="D83" s="111"/>
      <c r="E83" s="111"/>
    </row>
    <row r="84" spans="1:5" ht="17.25" customHeight="1">
      <c r="A84" s="111"/>
      <c r="B84" s="111"/>
      <c r="C84" s="111"/>
      <c r="D84" s="111"/>
      <c r="E84" s="111"/>
    </row>
    <row r="85" spans="1:5" ht="17.25" customHeight="1">
      <c r="A85" s="111"/>
      <c r="B85" s="111"/>
      <c r="C85" s="111"/>
      <c r="D85" s="111"/>
      <c r="E85" s="111"/>
    </row>
    <row r="86" spans="1:5" ht="17.25" customHeight="1">
      <c r="A86" s="111"/>
      <c r="B86" s="111"/>
      <c r="C86" s="111"/>
      <c r="D86" s="111"/>
      <c r="E86" s="111"/>
    </row>
    <row r="87" spans="1:5" ht="17.25" customHeight="1">
      <c r="A87" s="111"/>
      <c r="B87" s="111"/>
      <c r="C87" s="111"/>
      <c r="D87" s="111"/>
      <c r="E87" s="111"/>
    </row>
    <row r="88" spans="1:5" ht="17.25" customHeight="1">
      <c r="A88" s="111"/>
      <c r="B88" s="111"/>
      <c r="C88" s="111"/>
      <c r="D88" s="111"/>
      <c r="E88" s="111"/>
    </row>
    <row r="89" spans="1:5" ht="17.25" customHeight="1">
      <c r="A89" s="111"/>
      <c r="B89" s="111"/>
      <c r="C89" s="111"/>
      <c r="D89" s="111"/>
      <c r="E89" s="111"/>
    </row>
    <row r="90" spans="1:5" ht="17.25" customHeight="1">
      <c r="A90" s="111"/>
      <c r="B90" s="111"/>
      <c r="C90" s="111"/>
      <c r="D90" s="111"/>
      <c r="E90" s="111"/>
    </row>
    <row r="91" spans="1:5" ht="17.25" customHeight="1">
      <c r="A91" s="111"/>
      <c r="B91" s="111"/>
      <c r="C91" s="111"/>
      <c r="D91" s="111"/>
      <c r="E91" s="111"/>
    </row>
    <row r="92" spans="1:5" ht="17.25" customHeight="1">
      <c r="A92" s="111"/>
      <c r="B92" s="111"/>
      <c r="C92" s="111"/>
      <c r="D92" s="111"/>
      <c r="E92" s="111"/>
    </row>
    <row r="93" spans="1:5" ht="17.25" customHeight="1">
      <c r="A93" s="111"/>
      <c r="B93" s="111"/>
      <c r="C93" s="111"/>
      <c r="D93" s="111"/>
      <c r="E93" s="111"/>
    </row>
    <row r="94" spans="1:5" ht="17.25" customHeight="1">
      <c r="A94" s="111"/>
      <c r="B94" s="111"/>
      <c r="C94" s="111"/>
      <c r="D94" s="111"/>
      <c r="E94" s="111"/>
    </row>
    <row r="95" spans="1:5" ht="17.25" customHeight="1">
      <c r="A95" s="111"/>
      <c r="B95" s="111"/>
      <c r="C95" s="111"/>
      <c r="D95" s="111"/>
      <c r="E95" s="111"/>
    </row>
    <row r="96" spans="1:5" ht="17.25" customHeight="1">
      <c r="A96" s="111"/>
      <c r="B96" s="111"/>
      <c r="C96" s="111"/>
      <c r="D96" s="111"/>
      <c r="E96" s="111"/>
    </row>
    <row r="97" spans="1:5" ht="17.25" customHeight="1">
      <c r="A97" s="111"/>
      <c r="B97" s="111"/>
      <c r="C97" s="111"/>
      <c r="D97" s="111"/>
      <c r="E97" s="111"/>
    </row>
    <row r="98" spans="1:5" ht="17.25" customHeight="1">
      <c r="A98" s="111"/>
      <c r="B98" s="111"/>
      <c r="C98" s="111"/>
      <c r="D98" s="111"/>
      <c r="E98" s="111"/>
    </row>
    <row r="99" spans="1:5" ht="17.25" customHeight="1">
      <c r="A99" s="111"/>
      <c r="B99" s="111"/>
      <c r="C99" s="111"/>
      <c r="D99" s="111"/>
      <c r="E99" s="111"/>
    </row>
    <row r="100" spans="1:5" ht="17.25" customHeight="1">
      <c r="A100" s="111"/>
      <c r="B100" s="111"/>
      <c r="C100" s="111"/>
      <c r="D100" s="111"/>
      <c r="E100" s="111"/>
    </row>
    <row r="101" spans="1:5" ht="17.25" customHeight="1">
      <c r="A101" s="111"/>
      <c r="B101" s="111"/>
      <c r="C101" s="111"/>
      <c r="D101" s="111"/>
      <c r="E101" s="111"/>
    </row>
    <row r="102" spans="1:5" ht="17.25" customHeight="1">
      <c r="A102" s="111"/>
      <c r="B102" s="111"/>
      <c r="C102" s="111"/>
      <c r="D102" s="111"/>
      <c r="E102" s="111"/>
    </row>
    <row r="103" spans="1:5" ht="17.25" customHeight="1">
      <c r="A103" s="111"/>
      <c r="B103" s="111"/>
      <c r="C103" s="111"/>
      <c r="D103" s="111"/>
      <c r="E103" s="111"/>
    </row>
    <row r="104" spans="1:5" ht="17.25" customHeight="1">
      <c r="A104" s="111"/>
      <c r="B104" s="111"/>
      <c r="C104" s="111"/>
      <c r="D104" s="111"/>
      <c r="E104" s="111"/>
    </row>
    <row r="105" spans="1:5" ht="17.25" customHeight="1">
      <c r="A105" s="111"/>
      <c r="B105" s="111"/>
      <c r="C105" s="111"/>
      <c r="D105" s="111"/>
      <c r="E105" s="111"/>
    </row>
    <row r="106" spans="1:5" ht="17.25" customHeight="1">
      <c r="A106" s="111"/>
      <c r="B106" s="111"/>
      <c r="C106" s="111"/>
      <c r="D106" s="111"/>
      <c r="E106" s="111"/>
    </row>
    <row r="107" spans="1:5" ht="17.25" customHeight="1">
      <c r="A107" s="111"/>
      <c r="B107" s="111"/>
      <c r="C107" s="111"/>
      <c r="D107" s="111"/>
      <c r="E107" s="111"/>
    </row>
    <row r="108" spans="1:5" ht="17.25" customHeight="1">
      <c r="A108" s="111"/>
      <c r="B108" s="111"/>
      <c r="C108" s="111"/>
      <c r="D108" s="111"/>
      <c r="E108" s="111"/>
    </row>
    <row r="109" spans="1:5" ht="17.25" customHeight="1">
      <c r="A109" s="111"/>
      <c r="B109" s="111"/>
      <c r="C109" s="111"/>
      <c r="D109" s="111"/>
      <c r="E109" s="111"/>
    </row>
    <row r="110" spans="1:5" ht="17.25" customHeight="1">
      <c r="A110" s="111"/>
      <c r="B110" s="111"/>
      <c r="C110" s="111"/>
      <c r="D110" s="111"/>
      <c r="E110" s="111"/>
    </row>
    <row r="111" spans="1:5" ht="17.25" customHeight="1">
      <c r="A111" s="111"/>
      <c r="B111" s="111"/>
      <c r="C111" s="111"/>
      <c r="D111" s="111"/>
      <c r="E111" s="111"/>
    </row>
    <row r="112" spans="1:5" ht="17.25" customHeight="1">
      <c r="A112" s="111"/>
      <c r="B112" s="111"/>
      <c r="C112" s="111"/>
      <c r="D112" s="111"/>
      <c r="E112" s="111"/>
    </row>
    <row r="113" spans="1:5" ht="17.25" customHeight="1">
      <c r="A113" s="111"/>
      <c r="B113" s="111"/>
      <c r="C113" s="111"/>
      <c r="D113" s="111"/>
      <c r="E113" s="111"/>
    </row>
    <row r="114" spans="1:5" ht="17.25" customHeight="1">
      <c r="A114" s="111"/>
      <c r="B114" s="111"/>
      <c r="C114" s="111"/>
      <c r="D114" s="111"/>
      <c r="E114" s="111"/>
    </row>
    <row r="115" spans="1:5" ht="17.25" customHeight="1">
      <c r="A115" s="111"/>
      <c r="B115" s="111"/>
      <c r="C115" s="111"/>
      <c r="D115" s="111"/>
      <c r="E115" s="111"/>
    </row>
    <row r="116" spans="1:5" ht="17.25" customHeight="1">
      <c r="A116" s="111"/>
      <c r="B116" s="111"/>
      <c r="C116" s="111"/>
      <c r="D116" s="111"/>
      <c r="E116" s="111"/>
    </row>
    <row r="117" spans="1:5" ht="17.25" customHeight="1">
      <c r="A117" s="111"/>
      <c r="B117" s="111"/>
      <c r="C117" s="111"/>
      <c r="D117" s="111"/>
      <c r="E117" s="111"/>
    </row>
    <row r="118" spans="1:5" ht="17.25" customHeight="1">
      <c r="A118" s="111"/>
      <c r="B118" s="111"/>
      <c r="C118" s="111"/>
      <c r="D118" s="111"/>
      <c r="E118" s="111"/>
    </row>
    <row r="119" spans="1:5" ht="17.25" customHeight="1">
      <c r="A119" s="111"/>
      <c r="B119" s="111"/>
      <c r="C119" s="111"/>
      <c r="D119" s="111"/>
      <c r="E119" s="111"/>
    </row>
    <row r="120" spans="1:5" ht="17.25" customHeight="1">
      <c r="A120" s="111"/>
      <c r="B120" s="111"/>
      <c r="C120" s="111"/>
      <c r="D120" s="111"/>
      <c r="E120" s="111"/>
    </row>
    <row r="121" spans="1:5" ht="17.25" customHeight="1">
      <c r="A121" s="111"/>
      <c r="B121" s="111"/>
      <c r="C121" s="111"/>
      <c r="D121" s="111"/>
      <c r="E121" s="111"/>
    </row>
    <row r="122" spans="1:5" ht="17.25" customHeight="1">
      <c r="A122" s="111"/>
      <c r="B122" s="111"/>
      <c r="C122" s="111"/>
      <c r="D122" s="111"/>
      <c r="E122" s="111"/>
    </row>
    <row r="123" spans="1:5" ht="17.25" customHeight="1">
      <c r="A123" s="111"/>
      <c r="B123" s="111"/>
      <c r="C123" s="111"/>
      <c r="D123" s="111"/>
      <c r="E123" s="111"/>
    </row>
    <row r="124" spans="1:5" ht="17.25" customHeight="1">
      <c r="A124" s="111"/>
      <c r="B124" s="111"/>
      <c r="C124" s="111"/>
      <c r="D124" s="111"/>
      <c r="E124" s="111"/>
    </row>
    <row r="125" spans="1:5" ht="17.25" customHeight="1">
      <c r="A125" s="111"/>
      <c r="B125" s="111"/>
      <c r="C125" s="111"/>
      <c r="D125" s="111"/>
      <c r="E125" s="111"/>
    </row>
    <row r="126" spans="1:5" ht="17.25" customHeight="1">
      <c r="A126" s="111"/>
      <c r="B126" s="111"/>
      <c r="C126" s="111"/>
      <c r="D126" s="111"/>
      <c r="E126" s="111"/>
    </row>
    <row r="127" spans="1:5" ht="17.25" customHeight="1">
      <c r="A127" s="111"/>
      <c r="B127" s="111"/>
      <c r="C127" s="111"/>
      <c r="D127" s="111"/>
      <c r="E127" s="111"/>
    </row>
    <row r="128" spans="1:5" ht="17.25" customHeight="1">
      <c r="A128" s="111"/>
      <c r="B128" s="111"/>
      <c r="C128" s="111"/>
      <c r="D128" s="111"/>
      <c r="E128" s="111"/>
    </row>
    <row r="129" spans="1:5" ht="17.25" customHeight="1">
      <c r="A129" s="111"/>
      <c r="B129" s="111"/>
      <c r="C129" s="111"/>
      <c r="D129" s="111"/>
      <c r="E129" s="111"/>
    </row>
    <row r="130" spans="1:5" ht="17.25" customHeight="1">
      <c r="A130" s="111"/>
      <c r="B130" s="111"/>
      <c r="C130" s="111"/>
      <c r="D130" s="111"/>
      <c r="E130" s="111"/>
    </row>
    <row r="131" spans="1:5" ht="17.25" customHeight="1">
      <c r="A131" s="111"/>
      <c r="B131" s="111"/>
      <c r="C131" s="111"/>
      <c r="D131" s="111"/>
      <c r="E131" s="111"/>
    </row>
    <row r="132" spans="1:5" ht="17.25" customHeight="1">
      <c r="A132" s="111"/>
      <c r="B132" s="111"/>
      <c r="C132" s="111"/>
      <c r="D132" s="111"/>
      <c r="E132" s="111"/>
    </row>
    <row r="133" spans="1:5" ht="17.25" customHeight="1">
      <c r="A133" s="111"/>
      <c r="B133" s="111"/>
      <c r="C133" s="111"/>
      <c r="D133" s="111"/>
      <c r="E133" s="111"/>
    </row>
    <row r="134" spans="1:5" ht="17.25" customHeight="1">
      <c r="A134" s="111"/>
      <c r="B134" s="111"/>
      <c r="C134" s="111"/>
      <c r="D134" s="111"/>
      <c r="E134" s="111"/>
    </row>
    <row r="135" spans="1:5" ht="17.25" customHeight="1">
      <c r="A135" s="111"/>
      <c r="B135" s="111"/>
      <c r="C135" s="111"/>
      <c r="D135" s="111"/>
      <c r="E135" s="111"/>
    </row>
    <row r="136" spans="1:5" ht="17.25" customHeight="1">
      <c r="A136" s="111"/>
      <c r="B136" s="111"/>
      <c r="C136" s="111"/>
      <c r="D136" s="111"/>
      <c r="E136" s="111"/>
    </row>
    <row r="137" spans="1:5" ht="17.25" customHeight="1">
      <c r="A137" s="111"/>
      <c r="B137" s="111"/>
      <c r="C137" s="111"/>
      <c r="D137" s="111"/>
      <c r="E137" s="111"/>
    </row>
    <row r="138" spans="1:5" ht="17.25" customHeight="1">
      <c r="A138" s="111"/>
      <c r="B138" s="111"/>
      <c r="C138" s="111"/>
      <c r="D138" s="111"/>
      <c r="E138" s="111"/>
    </row>
    <row r="139" spans="1:5" ht="17.25" customHeight="1">
      <c r="A139" s="111"/>
      <c r="B139" s="111"/>
      <c r="C139" s="111"/>
      <c r="D139" s="111"/>
      <c r="E139" s="111"/>
    </row>
    <row r="140" spans="1:5" ht="17.25" customHeight="1">
      <c r="A140" s="111"/>
      <c r="B140" s="111"/>
      <c r="C140" s="111"/>
      <c r="D140" s="111"/>
      <c r="E140" s="111"/>
    </row>
    <row r="141" spans="1:5" ht="17.25" customHeight="1">
      <c r="A141" s="111"/>
      <c r="B141" s="111"/>
      <c r="C141" s="111"/>
      <c r="D141" s="111"/>
      <c r="E141" s="111"/>
    </row>
    <row r="142" spans="1:5" ht="17.25" customHeight="1">
      <c r="A142" s="111"/>
      <c r="B142" s="111"/>
      <c r="C142" s="111"/>
      <c r="D142" s="111"/>
      <c r="E142" s="111"/>
    </row>
    <row r="143" spans="1:5" ht="17.25" customHeight="1">
      <c r="A143" s="111"/>
      <c r="B143" s="111"/>
      <c r="C143" s="111"/>
      <c r="D143" s="111"/>
      <c r="E143" s="111"/>
    </row>
    <row r="144" spans="1:5" ht="17.25" customHeight="1">
      <c r="A144" s="111"/>
      <c r="B144" s="111"/>
      <c r="C144" s="111"/>
      <c r="D144" s="111"/>
      <c r="E144" s="111"/>
    </row>
    <row r="145" spans="1:5" ht="17.25" customHeight="1">
      <c r="A145" s="111"/>
      <c r="B145" s="111"/>
      <c r="C145" s="111"/>
      <c r="D145" s="111"/>
      <c r="E145" s="111"/>
    </row>
    <row r="146" spans="1:5" ht="17.25" customHeight="1">
      <c r="A146" s="111"/>
      <c r="B146" s="111"/>
      <c r="C146" s="111"/>
      <c r="D146" s="111"/>
      <c r="E146" s="111"/>
    </row>
    <row r="147" spans="1:5" ht="17.25" customHeight="1">
      <c r="A147" s="111"/>
      <c r="B147" s="111"/>
      <c r="C147" s="111"/>
      <c r="D147" s="111"/>
      <c r="E147" s="111"/>
    </row>
    <row r="148" spans="1:5" ht="17.25" customHeight="1">
      <c r="A148" s="111"/>
      <c r="B148" s="111"/>
      <c r="C148" s="111"/>
      <c r="D148" s="111"/>
      <c r="E148" s="111"/>
    </row>
    <row r="149" spans="1:5" ht="17.25" customHeight="1">
      <c r="A149" s="111"/>
      <c r="B149" s="111"/>
      <c r="C149" s="111"/>
      <c r="D149" s="111"/>
      <c r="E149" s="111"/>
    </row>
    <row r="150" spans="1:5" ht="17.25" customHeight="1">
      <c r="A150" s="111"/>
      <c r="B150" s="111"/>
      <c r="C150" s="111"/>
      <c r="D150" s="111"/>
      <c r="E150" s="111"/>
    </row>
    <row r="151" spans="1:5" ht="17.25" customHeight="1">
      <c r="A151" s="111"/>
      <c r="B151" s="111"/>
      <c r="C151" s="111"/>
      <c r="D151" s="111"/>
      <c r="E151" s="111"/>
    </row>
    <row r="152" spans="1:5" ht="17.25" customHeight="1">
      <c r="A152" s="111"/>
      <c r="B152" s="111"/>
      <c r="C152" s="111"/>
      <c r="D152" s="111"/>
      <c r="E152" s="111"/>
    </row>
    <row r="153" spans="1:5" ht="17.25" customHeight="1">
      <c r="A153" s="111"/>
      <c r="B153" s="111"/>
      <c r="C153" s="111"/>
      <c r="D153" s="111"/>
      <c r="E153" s="111"/>
    </row>
    <row r="154" spans="1:5" ht="17.25" customHeight="1">
      <c r="A154" s="111"/>
      <c r="B154" s="111"/>
      <c r="C154" s="111"/>
      <c r="D154" s="111"/>
      <c r="E154" s="111"/>
    </row>
    <row r="155" spans="1:5" ht="17.25" customHeight="1">
      <c r="A155" s="111"/>
      <c r="B155" s="111"/>
      <c r="C155" s="111"/>
      <c r="D155" s="111"/>
      <c r="E155" s="111"/>
    </row>
    <row r="156" spans="1:5" ht="17.25" customHeight="1">
      <c r="A156" s="111"/>
      <c r="B156" s="111"/>
      <c r="C156" s="111"/>
      <c r="D156" s="111"/>
      <c r="E156" s="111"/>
    </row>
    <row r="157" spans="1:5" ht="17.25" customHeight="1">
      <c r="A157" s="111"/>
      <c r="B157" s="111"/>
      <c r="C157" s="111"/>
      <c r="D157" s="111"/>
      <c r="E157" s="111"/>
    </row>
    <row r="158" spans="1:5" ht="17.25" customHeight="1">
      <c r="A158" s="111"/>
      <c r="B158" s="111"/>
      <c r="C158" s="111"/>
      <c r="D158" s="111"/>
      <c r="E158" s="111"/>
    </row>
    <row r="159" spans="1:5" ht="17.25" customHeight="1">
      <c r="A159" s="111"/>
      <c r="B159" s="111"/>
      <c r="C159" s="111"/>
      <c r="D159" s="111"/>
      <c r="E159" s="111"/>
    </row>
    <row r="160" spans="1:5" ht="17.25" customHeight="1">
      <c r="A160" s="111"/>
      <c r="B160" s="111"/>
      <c r="C160" s="111"/>
      <c r="D160" s="111"/>
      <c r="E160" s="111"/>
    </row>
    <row r="161" spans="1:5" ht="17.25" customHeight="1">
      <c r="A161" s="111"/>
      <c r="B161" s="111"/>
      <c r="C161" s="111"/>
      <c r="D161" s="111"/>
      <c r="E161" s="111"/>
    </row>
    <row r="162" spans="1:5" ht="17.25" customHeight="1">
      <c r="A162" s="111"/>
      <c r="B162" s="111"/>
      <c r="C162" s="111"/>
      <c r="D162" s="111"/>
      <c r="E162" s="111"/>
    </row>
    <row r="163" spans="1:5" ht="17.25" customHeight="1">
      <c r="A163" s="111"/>
      <c r="B163" s="111"/>
      <c r="C163" s="111"/>
      <c r="D163" s="111"/>
      <c r="E163" s="111"/>
    </row>
    <row r="164" spans="1:5" ht="17.25" customHeight="1">
      <c r="A164" s="111"/>
      <c r="B164" s="111"/>
      <c r="C164" s="111"/>
      <c r="D164" s="111"/>
      <c r="E164" s="111"/>
    </row>
    <row r="165" spans="1:5" ht="17.25" customHeight="1">
      <c r="A165" s="111"/>
      <c r="B165" s="111"/>
      <c r="C165" s="111"/>
      <c r="D165" s="111"/>
      <c r="E165" s="111"/>
    </row>
    <row r="166" spans="1:5" ht="17.25" customHeight="1">
      <c r="A166" s="111"/>
      <c r="B166" s="111"/>
      <c r="C166" s="111"/>
      <c r="D166" s="111"/>
      <c r="E166" s="111"/>
    </row>
    <row r="167" spans="1:5" ht="17.25" customHeight="1">
      <c r="A167" s="111"/>
      <c r="B167" s="111"/>
      <c r="C167" s="111"/>
      <c r="D167" s="111"/>
      <c r="E167" s="111"/>
    </row>
    <row r="168" spans="1:5" ht="17.25" customHeight="1">
      <c r="A168" s="111"/>
      <c r="B168" s="111"/>
      <c r="C168" s="111"/>
      <c r="D168" s="111"/>
      <c r="E168" s="111"/>
    </row>
    <row r="169" spans="1:5" ht="17.25" customHeight="1">
      <c r="A169" s="111"/>
      <c r="B169" s="111"/>
      <c r="C169" s="111"/>
      <c r="D169" s="111"/>
      <c r="E169" s="111"/>
    </row>
    <row r="170" spans="1:5" ht="17.25" customHeight="1">
      <c r="A170" s="111"/>
      <c r="B170" s="111"/>
      <c r="C170" s="111"/>
      <c r="D170" s="111"/>
      <c r="E170" s="111"/>
    </row>
    <row r="171" spans="1:5" ht="17.25" customHeight="1">
      <c r="A171" s="111"/>
      <c r="B171" s="111"/>
      <c r="C171" s="111"/>
      <c r="D171" s="111"/>
      <c r="E171" s="111"/>
    </row>
    <row r="172" spans="1:5" ht="17.25" customHeight="1">
      <c r="A172" s="111"/>
      <c r="B172" s="111"/>
      <c r="C172" s="111"/>
      <c r="D172" s="111"/>
      <c r="E172" s="111"/>
    </row>
    <row r="173" spans="1:5" ht="17.25" customHeight="1">
      <c r="A173" s="111"/>
      <c r="B173" s="111"/>
      <c r="C173" s="111"/>
      <c r="D173" s="111"/>
      <c r="E173" s="111"/>
    </row>
    <row r="174" spans="1:5" ht="17.25" customHeight="1">
      <c r="A174" s="111"/>
      <c r="B174" s="111"/>
      <c r="C174" s="111"/>
      <c r="D174" s="111"/>
      <c r="E174" s="111"/>
    </row>
    <row r="175" spans="1:5" ht="17.25" customHeight="1">
      <c r="A175" s="111"/>
      <c r="B175" s="111"/>
      <c r="C175" s="111"/>
      <c r="D175" s="111"/>
      <c r="E175" s="111"/>
    </row>
    <row r="176" spans="1:5" ht="17.25" customHeight="1">
      <c r="A176" s="111"/>
      <c r="B176" s="111"/>
      <c r="C176" s="111"/>
      <c r="D176" s="111"/>
      <c r="E176" s="111"/>
    </row>
    <row r="177" spans="1:5" ht="17.25" customHeight="1">
      <c r="A177" s="111"/>
      <c r="B177" s="111"/>
      <c r="C177" s="111"/>
      <c r="D177" s="111"/>
      <c r="E177" s="111"/>
    </row>
    <row r="178" spans="1:5" ht="17.25" customHeight="1">
      <c r="A178" s="111"/>
      <c r="B178" s="111"/>
      <c r="C178" s="111"/>
      <c r="D178" s="111"/>
      <c r="E178" s="111"/>
    </row>
    <row r="179" spans="1:5" ht="17.25" customHeight="1">
      <c r="A179" s="111"/>
      <c r="B179" s="111"/>
      <c r="C179" s="111"/>
      <c r="D179" s="111"/>
      <c r="E179" s="111"/>
    </row>
    <row r="180" spans="1:5" ht="17.25" customHeight="1">
      <c r="A180" s="111"/>
      <c r="B180" s="111"/>
      <c r="C180" s="111"/>
      <c r="D180" s="111"/>
      <c r="E180" s="111"/>
    </row>
    <row r="181" spans="1:5" ht="17.25" customHeight="1">
      <c r="A181" s="111"/>
      <c r="B181" s="111"/>
      <c r="C181" s="111"/>
      <c r="D181" s="111"/>
      <c r="E181" s="111"/>
    </row>
    <row r="182" spans="1:5" ht="17.25" customHeight="1">
      <c r="A182" s="111"/>
      <c r="B182" s="111"/>
      <c r="C182" s="111"/>
      <c r="D182" s="111"/>
      <c r="E182" s="111"/>
    </row>
    <row r="183" spans="1:5" ht="17.25" customHeight="1">
      <c r="A183" s="111"/>
      <c r="B183" s="111"/>
      <c r="C183" s="111"/>
      <c r="D183" s="111"/>
      <c r="E183" s="111"/>
    </row>
    <row r="184" spans="1:5" ht="17.25" customHeight="1">
      <c r="A184" s="111"/>
      <c r="B184" s="111"/>
      <c r="C184" s="111"/>
      <c r="D184" s="111"/>
      <c r="E184" s="111"/>
    </row>
    <row r="185" spans="1:5" ht="17.25" customHeight="1">
      <c r="A185" s="111"/>
      <c r="B185" s="111"/>
      <c r="C185" s="111"/>
      <c r="D185" s="111"/>
      <c r="E185" s="111"/>
    </row>
    <row r="186" spans="1:5" ht="17.25" customHeight="1">
      <c r="A186" s="111"/>
      <c r="B186" s="111"/>
      <c r="C186" s="111"/>
      <c r="D186" s="111"/>
      <c r="E186" s="111"/>
    </row>
    <row r="187" spans="1:5" ht="17.25" customHeight="1">
      <c r="A187" s="111"/>
      <c r="B187" s="111"/>
      <c r="C187" s="111"/>
      <c r="D187" s="111"/>
      <c r="E187" s="111"/>
    </row>
    <row r="188" spans="1:5" ht="17.25" customHeight="1">
      <c r="A188" s="111"/>
      <c r="B188" s="111"/>
      <c r="C188" s="111"/>
      <c r="D188" s="111"/>
      <c r="E188" s="111"/>
    </row>
    <row r="189" spans="1:5" ht="17.25" customHeight="1">
      <c r="A189" s="111"/>
      <c r="B189" s="111"/>
      <c r="C189" s="111"/>
      <c r="D189" s="111"/>
      <c r="E189" s="111"/>
    </row>
    <row r="190" spans="1:5" ht="17.25" customHeight="1">
      <c r="A190" s="111"/>
      <c r="B190" s="111"/>
      <c r="C190" s="111"/>
      <c r="D190" s="111"/>
      <c r="E190" s="111"/>
    </row>
    <row r="191" spans="1:5" ht="17.25" customHeight="1">
      <c r="A191" s="111"/>
      <c r="B191" s="111"/>
      <c r="C191" s="111"/>
      <c r="D191" s="111"/>
      <c r="E191" s="111"/>
    </row>
    <row r="192" spans="1:5" ht="17.25" customHeight="1">
      <c r="A192" s="111"/>
      <c r="B192" s="111"/>
      <c r="C192" s="111"/>
      <c r="D192" s="111"/>
      <c r="E192" s="111"/>
    </row>
    <row r="193" spans="1:5" ht="17.25" customHeight="1">
      <c r="A193" s="111"/>
      <c r="B193" s="111"/>
      <c r="C193" s="111"/>
      <c r="D193" s="111"/>
      <c r="E193" s="111"/>
    </row>
    <row r="194" spans="1:5" ht="17.25" customHeight="1">
      <c r="A194" s="111"/>
      <c r="B194" s="111"/>
      <c r="C194" s="111"/>
      <c r="D194" s="111"/>
      <c r="E194" s="111"/>
    </row>
    <row r="195" spans="1:5" ht="17.25" customHeight="1">
      <c r="A195" s="111"/>
      <c r="B195" s="111"/>
      <c r="C195" s="111"/>
      <c r="D195" s="111"/>
      <c r="E195" s="111"/>
    </row>
    <row r="196" spans="1:5" ht="17.25" customHeight="1">
      <c r="A196" s="111"/>
      <c r="B196" s="111"/>
      <c r="C196" s="111"/>
      <c r="D196" s="111"/>
      <c r="E196" s="111"/>
    </row>
    <row r="197" spans="1:5" ht="17.25" customHeight="1">
      <c r="A197" s="111"/>
      <c r="B197" s="111"/>
      <c r="C197" s="111"/>
      <c r="D197" s="111"/>
      <c r="E197" s="111"/>
    </row>
    <row r="198" spans="1:5" ht="17.25" customHeight="1">
      <c r="A198" s="111"/>
      <c r="B198" s="111"/>
      <c r="C198" s="111"/>
      <c r="D198" s="111"/>
      <c r="E198" s="111"/>
    </row>
    <row r="199" spans="1:5" ht="17.25" customHeight="1">
      <c r="A199" s="111"/>
      <c r="B199" s="111"/>
      <c r="C199" s="111"/>
      <c r="D199" s="111"/>
      <c r="E199" s="111"/>
    </row>
    <row r="200" spans="1:5" ht="17.25" customHeight="1">
      <c r="A200" s="111"/>
      <c r="B200" s="111"/>
      <c r="C200" s="111"/>
      <c r="D200" s="111"/>
      <c r="E200" s="111"/>
    </row>
    <row r="201" spans="1:5" ht="17.25" customHeight="1">
      <c r="A201" s="111"/>
      <c r="B201" s="111"/>
      <c r="C201" s="111"/>
      <c r="D201" s="111"/>
      <c r="E201" s="111"/>
    </row>
    <row r="202" spans="1:5" ht="17.25" customHeight="1">
      <c r="A202" s="111"/>
      <c r="B202" s="111"/>
      <c r="C202" s="111"/>
      <c r="D202" s="111"/>
      <c r="E202" s="111"/>
    </row>
    <row r="203" spans="1:5" ht="17.25" customHeight="1">
      <c r="A203" s="111"/>
      <c r="B203" s="111"/>
      <c r="C203" s="111"/>
      <c r="D203" s="111"/>
      <c r="E203" s="111"/>
    </row>
    <row r="204" spans="1:5" ht="17.25" customHeight="1">
      <c r="A204" s="111"/>
      <c r="B204" s="111"/>
      <c r="C204" s="111"/>
      <c r="D204" s="111"/>
      <c r="E204" s="111"/>
    </row>
    <row r="205" spans="1:5" ht="17.25" customHeight="1">
      <c r="A205" s="111"/>
      <c r="B205" s="111"/>
      <c r="C205" s="111"/>
      <c r="D205" s="111"/>
      <c r="E205" s="111"/>
    </row>
    <row r="206" spans="1:5" ht="17.25" customHeight="1">
      <c r="A206" s="111"/>
      <c r="B206" s="111"/>
      <c r="C206" s="111"/>
      <c r="D206" s="111"/>
      <c r="E206" s="111"/>
    </row>
    <row r="207" spans="1:5" ht="17.25" customHeight="1">
      <c r="A207" s="111"/>
      <c r="B207" s="111"/>
      <c r="C207" s="111"/>
      <c r="D207" s="111"/>
      <c r="E207" s="111"/>
    </row>
    <row r="208" spans="1:5" ht="17.25" customHeight="1">
      <c r="A208" s="111"/>
      <c r="B208" s="111"/>
      <c r="C208" s="111"/>
      <c r="D208" s="111"/>
      <c r="E208" s="111"/>
    </row>
    <row r="209" spans="1:5" ht="17.25" customHeight="1">
      <c r="A209" s="111"/>
      <c r="B209" s="111"/>
      <c r="C209" s="111"/>
      <c r="D209" s="111"/>
      <c r="E209" s="111"/>
    </row>
    <row r="210" spans="1:5" ht="17.25" customHeight="1">
      <c r="A210" s="111"/>
      <c r="B210" s="111"/>
      <c r="C210" s="111"/>
      <c r="D210" s="111"/>
      <c r="E210" s="111"/>
    </row>
    <row r="211" spans="1:5" ht="17.25" customHeight="1">
      <c r="A211" s="111"/>
      <c r="B211" s="111"/>
      <c r="C211" s="111"/>
      <c r="D211" s="111"/>
      <c r="E211" s="111"/>
    </row>
    <row r="212" spans="1:5" ht="17.25" customHeight="1">
      <c r="A212" s="111"/>
      <c r="B212" s="111"/>
      <c r="C212" s="111"/>
      <c r="D212" s="111"/>
      <c r="E212" s="111"/>
    </row>
    <row r="213" spans="1:5" ht="17.25" customHeight="1">
      <c r="A213" s="111"/>
      <c r="B213" s="111"/>
      <c r="C213" s="111"/>
      <c r="D213" s="111"/>
      <c r="E213" s="111"/>
    </row>
    <row r="214" spans="1:5" ht="17.25" customHeight="1">
      <c r="A214" s="111"/>
      <c r="B214" s="111"/>
      <c r="C214" s="111"/>
      <c r="D214" s="111"/>
      <c r="E214" s="111"/>
    </row>
    <row r="215" spans="1:5" ht="17.25" customHeight="1">
      <c r="A215" s="111"/>
      <c r="B215" s="111"/>
      <c r="C215" s="111"/>
      <c r="D215" s="111"/>
      <c r="E215" s="111"/>
    </row>
    <row r="216" spans="1:5" ht="17.25" customHeight="1">
      <c r="A216" s="111"/>
      <c r="B216" s="111"/>
      <c r="C216" s="111"/>
      <c r="D216" s="111"/>
      <c r="E216" s="111"/>
    </row>
    <row r="217" spans="1:5" ht="17.25" customHeight="1">
      <c r="A217" s="111"/>
      <c r="B217" s="111"/>
      <c r="C217" s="111"/>
      <c r="D217" s="111"/>
      <c r="E217" s="111"/>
    </row>
    <row r="218" spans="1:5" ht="17.25" customHeight="1">
      <c r="A218" s="111"/>
      <c r="B218" s="111"/>
      <c r="C218" s="111"/>
      <c r="D218" s="111"/>
      <c r="E218" s="111"/>
    </row>
    <row r="219" spans="1:5" ht="17.25" customHeight="1">
      <c r="A219" s="111"/>
      <c r="B219" s="111"/>
      <c r="C219" s="111"/>
      <c r="D219" s="111"/>
      <c r="E219" s="111"/>
    </row>
    <row r="220" spans="1:5" ht="17.25" customHeight="1">
      <c r="A220" s="111"/>
      <c r="B220" s="111"/>
      <c r="C220" s="111"/>
      <c r="D220" s="111"/>
      <c r="E220" s="111"/>
    </row>
    <row r="221" spans="1:5" ht="17.25" customHeight="1">
      <c r="A221" s="111"/>
      <c r="B221" s="111"/>
      <c r="C221" s="111"/>
      <c r="D221" s="111"/>
      <c r="E221" s="111"/>
    </row>
    <row r="222" spans="1:5" ht="17.25" customHeight="1">
      <c r="A222" s="111"/>
      <c r="B222" s="111"/>
      <c r="C222" s="111"/>
      <c r="D222" s="111"/>
      <c r="E222" s="111"/>
    </row>
    <row r="223" spans="1:5" ht="17.25" customHeight="1">
      <c r="A223" s="111"/>
      <c r="B223" s="111"/>
      <c r="C223" s="111"/>
      <c r="D223" s="111"/>
      <c r="E223" s="111"/>
    </row>
    <row r="224" spans="1:5" ht="17.25" customHeight="1">
      <c r="A224" s="111"/>
      <c r="B224" s="111"/>
      <c r="C224" s="111"/>
      <c r="D224" s="111"/>
      <c r="E224" s="111"/>
    </row>
    <row r="225" spans="1:5" ht="17.25" customHeight="1">
      <c r="A225" s="111"/>
      <c r="B225" s="111"/>
      <c r="C225" s="111"/>
      <c r="D225" s="111"/>
      <c r="E225" s="111"/>
    </row>
    <row r="226" spans="1:5" ht="17.25" customHeight="1">
      <c r="A226" s="111"/>
      <c r="B226" s="111"/>
      <c r="C226" s="111"/>
      <c r="D226" s="111"/>
      <c r="E226" s="111"/>
    </row>
    <row r="227" spans="1:5" ht="17.25" customHeight="1">
      <c r="A227" s="111"/>
      <c r="B227" s="111"/>
      <c r="C227" s="111"/>
      <c r="D227" s="111"/>
      <c r="E227" s="111"/>
    </row>
    <row r="228" spans="1:5" ht="17.25" customHeight="1">
      <c r="A228" s="111"/>
      <c r="B228" s="111"/>
      <c r="C228" s="111"/>
      <c r="D228" s="111"/>
      <c r="E228" s="111"/>
    </row>
    <row r="229" spans="1:5" ht="17.25" customHeight="1">
      <c r="A229" s="111"/>
      <c r="B229" s="111"/>
      <c r="C229" s="111"/>
      <c r="D229" s="111"/>
      <c r="E229" s="111"/>
    </row>
    <row r="230" spans="1:5" ht="17.25" customHeight="1">
      <c r="A230" s="111"/>
      <c r="B230" s="111"/>
      <c r="C230" s="111"/>
      <c r="D230" s="111"/>
      <c r="E230" s="111"/>
    </row>
    <row r="231" spans="1:5" ht="17.25" customHeight="1">
      <c r="A231" s="111"/>
      <c r="B231" s="111"/>
      <c r="C231" s="111"/>
      <c r="D231" s="111"/>
      <c r="E231" s="111"/>
    </row>
    <row r="232" spans="1:5" ht="17.25" customHeight="1">
      <c r="A232" s="111"/>
      <c r="B232" s="111"/>
      <c r="C232" s="111"/>
      <c r="D232" s="111"/>
      <c r="E232" s="111"/>
    </row>
    <row r="233" spans="1:5" ht="17.25" customHeight="1">
      <c r="A233" s="111"/>
      <c r="B233" s="111"/>
      <c r="C233" s="111"/>
      <c r="D233" s="111"/>
      <c r="E233" s="111"/>
    </row>
    <row r="234" spans="1:5" ht="17.25" customHeight="1">
      <c r="A234" s="111"/>
      <c r="B234" s="111"/>
      <c r="C234" s="111"/>
      <c r="D234" s="111"/>
      <c r="E234" s="111"/>
    </row>
    <row r="235" spans="1:5" ht="17.25" customHeight="1">
      <c r="A235" s="111"/>
      <c r="B235" s="111"/>
      <c r="C235" s="111"/>
      <c r="D235" s="111"/>
      <c r="E235" s="111"/>
    </row>
    <row r="236" spans="1:5" ht="17.25" customHeight="1">
      <c r="A236" s="111"/>
      <c r="B236" s="111"/>
      <c r="C236" s="111"/>
      <c r="D236" s="111"/>
      <c r="E236" s="111"/>
    </row>
    <row r="237" spans="1:5" ht="17.25" customHeight="1">
      <c r="A237" s="111"/>
      <c r="B237" s="111"/>
      <c r="C237" s="111"/>
      <c r="D237" s="111"/>
      <c r="E237" s="111"/>
    </row>
    <row r="238" spans="1:5" ht="17.25" customHeight="1">
      <c r="A238" s="111"/>
      <c r="B238" s="111"/>
      <c r="C238" s="111"/>
      <c r="D238" s="111"/>
      <c r="E238" s="111"/>
    </row>
    <row r="239" spans="1:5" ht="17.25" customHeight="1">
      <c r="A239" s="111"/>
      <c r="B239" s="111"/>
      <c r="C239" s="111"/>
      <c r="D239" s="111"/>
      <c r="E239" s="111"/>
    </row>
    <row r="240" spans="1:5" ht="17.25" customHeight="1">
      <c r="A240" s="111"/>
      <c r="B240" s="111"/>
      <c r="C240" s="111"/>
      <c r="D240" s="111"/>
      <c r="E240" s="111"/>
    </row>
    <row r="241" spans="1:5" ht="17.25" customHeight="1">
      <c r="A241" s="111"/>
      <c r="B241" s="111"/>
      <c r="C241" s="111"/>
      <c r="D241" s="111"/>
      <c r="E241" s="111"/>
    </row>
    <row r="242" spans="1:5" ht="17.25" customHeight="1">
      <c r="A242" s="111"/>
      <c r="B242" s="111"/>
      <c r="C242" s="111"/>
      <c r="D242" s="111"/>
      <c r="E242" s="111"/>
    </row>
    <row r="243" spans="1:5" ht="17.25" customHeight="1">
      <c r="A243" s="111"/>
      <c r="B243" s="111"/>
      <c r="C243" s="111"/>
      <c r="D243" s="111"/>
      <c r="E243" s="111"/>
    </row>
    <row r="244" spans="1:5" ht="17.25" customHeight="1">
      <c r="A244" s="111"/>
      <c r="B244" s="111"/>
      <c r="C244" s="111"/>
      <c r="D244" s="111"/>
      <c r="E244" s="111"/>
    </row>
    <row r="245" spans="1:5" ht="17.25" customHeight="1">
      <c r="A245" s="111"/>
      <c r="B245" s="111"/>
      <c r="C245" s="111"/>
      <c r="D245" s="111"/>
      <c r="E245" s="111"/>
    </row>
    <row r="246" spans="1:5" ht="17.25" customHeight="1">
      <c r="A246" s="111"/>
      <c r="B246" s="111"/>
      <c r="C246" s="111"/>
      <c r="D246" s="111"/>
      <c r="E246" s="111"/>
    </row>
    <row r="247" spans="1:5" ht="17.25" customHeight="1">
      <c r="A247" s="111"/>
      <c r="B247" s="111"/>
      <c r="C247" s="111"/>
      <c r="D247" s="111"/>
      <c r="E247" s="111"/>
    </row>
    <row r="248" spans="1:5" ht="17.25" customHeight="1">
      <c r="A248" s="111"/>
      <c r="B248" s="111"/>
      <c r="C248" s="111"/>
      <c r="D248" s="111"/>
      <c r="E248" s="111"/>
    </row>
    <row r="249" spans="1:5" ht="17.25" customHeight="1">
      <c r="A249" s="111"/>
      <c r="B249" s="111"/>
      <c r="C249" s="111"/>
      <c r="D249" s="111"/>
      <c r="E249" s="111"/>
    </row>
    <row r="250" spans="1:5" ht="17.25" customHeight="1">
      <c r="A250" s="111"/>
      <c r="B250" s="111"/>
      <c r="C250" s="111"/>
      <c r="D250" s="111"/>
      <c r="E250" s="111"/>
    </row>
    <row r="251" spans="1:5" ht="17.25" customHeight="1">
      <c r="A251" s="111"/>
      <c r="B251" s="111"/>
      <c r="C251" s="111"/>
      <c r="D251" s="111"/>
      <c r="E251" s="111"/>
    </row>
    <row r="252" spans="1:5" ht="17.25" customHeight="1">
      <c r="A252" s="111"/>
      <c r="B252" s="111"/>
      <c r="C252" s="111"/>
      <c r="D252" s="111"/>
      <c r="E252" s="111"/>
    </row>
    <row r="253" spans="1:5" ht="17.25" customHeight="1">
      <c r="A253" s="111"/>
      <c r="B253" s="111"/>
      <c r="C253" s="111"/>
      <c r="D253" s="111"/>
      <c r="E253" s="111"/>
    </row>
    <row r="254" spans="1:5" ht="17.25" customHeight="1">
      <c r="A254" s="111"/>
      <c r="B254" s="111"/>
      <c r="C254" s="111"/>
      <c r="D254" s="111"/>
      <c r="E254" s="111"/>
    </row>
    <row r="255" spans="1:5" ht="17.25" customHeight="1">
      <c r="A255" s="111"/>
      <c r="B255" s="111"/>
      <c r="C255" s="111"/>
      <c r="D255" s="111"/>
      <c r="E255" s="111"/>
    </row>
    <row r="256" spans="1:5" ht="17.25" customHeight="1">
      <c r="A256" s="111"/>
      <c r="B256" s="111"/>
      <c r="C256" s="111"/>
      <c r="D256" s="111"/>
      <c r="E256" s="111"/>
    </row>
    <row r="257" spans="1:5" ht="17.25" customHeight="1">
      <c r="A257" s="111"/>
      <c r="B257" s="111"/>
      <c r="C257" s="111"/>
      <c r="D257" s="111"/>
      <c r="E257" s="111"/>
    </row>
    <row r="258" spans="1:5" ht="17.25" customHeight="1">
      <c r="A258" s="111"/>
      <c r="B258" s="111"/>
      <c r="C258" s="111"/>
      <c r="D258" s="111"/>
      <c r="E258" s="111"/>
    </row>
    <row r="259" spans="1:5" ht="17.25" customHeight="1">
      <c r="A259" s="111"/>
      <c r="B259" s="111"/>
      <c r="C259" s="111"/>
      <c r="D259" s="111"/>
      <c r="E259" s="111"/>
    </row>
    <row r="260" spans="1:5" ht="17.25" customHeight="1">
      <c r="A260" s="111"/>
      <c r="B260" s="111"/>
      <c r="C260" s="111"/>
      <c r="D260" s="111"/>
      <c r="E260" s="111"/>
    </row>
    <row r="261" spans="1:5" ht="17.25" customHeight="1">
      <c r="A261" s="111"/>
      <c r="B261" s="111"/>
      <c r="C261" s="111"/>
      <c r="D261" s="111"/>
      <c r="E261" s="111"/>
    </row>
    <row r="262" spans="1:5" ht="17.25" customHeight="1">
      <c r="A262" s="111"/>
      <c r="B262" s="111"/>
      <c r="C262" s="111"/>
      <c r="D262" s="111"/>
      <c r="E262" s="111"/>
    </row>
    <row r="263" spans="1:5" ht="17.25" customHeight="1">
      <c r="A263" s="111"/>
      <c r="B263" s="111"/>
      <c r="C263" s="111"/>
      <c r="D263" s="111"/>
      <c r="E263" s="111"/>
    </row>
    <row r="264" spans="1:5" ht="17.25" customHeight="1">
      <c r="A264" s="111"/>
      <c r="B264" s="111"/>
      <c r="C264" s="111"/>
      <c r="D264" s="111"/>
      <c r="E264" s="111"/>
    </row>
    <row r="265" spans="1:5" ht="17.25" customHeight="1">
      <c r="A265" s="111"/>
      <c r="B265" s="111"/>
      <c r="C265" s="111"/>
      <c r="D265" s="111"/>
      <c r="E265" s="111"/>
    </row>
    <row r="266" spans="1:5" ht="17.25" customHeight="1">
      <c r="A266" s="111"/>
      <c r="B266" s="111"/>
      <c r="C266" s="111"/>
      <c r="D266" s="111"/>
      <c r="E266" s="111"/>
    </row>
    <row r="267" spans="1:5" ht="17.25" customHeight="1">
      <c r="A267" s="111"/>
      <c r="B267" s="111"/>
      <c r="C267" s="111"/>
      <c r="D267" s="111"/>
      <c r="E267" s="111"/>
    </row>
    <row r="268" spans="1:5" ht="17.25" customHeight="1">
      <c r="A268" s="111"/>
      <c r="B268" s="111"/>
      <c r="C268" s="111"/>
      <c r="D268" s="111"/>
      <c r="E268" s="111"/>
    </row>
    <row r="269" spans="1:5" ht="17.25" customHeight="1">
      <c r="A269" s="111"/>
      <c r="B269" s="111"/>
      <c r="C269" s="111"/>
      <c r="D269" s="111"/>
      <c r="E269" s="111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/>
  <dimension ref="A1:L259"/>
  <sheetViews>
    <sheetView showGridLines="0" topLeftCell="A32" zoomScale="145" zoomScaleNormal="145" workbookViewId="0">
      <selection sqref="A1:J1"/>
    </sheetView>
  </sheetViews>
  <sheetFormatPr baseColWidth="10" defaultColWidth="10.85546875" defaultRowHeight="17.25" customHeight="1"/>
  <cols>
    <col min="1" max="1" width="12.140625" style="204" customWidth="1"/>
    <col min="2" max="10" width="8.28515625" style="204" customWidth="1"/>
    <col min="11" max="12" width="10.85546875" style="204" customWidth="1"/>
    <col min="13" max="16384" width="10.85546875" style="204"/>
  </cols>
  <sheetData>
    <row r="1" spans="1:10" ht="16.5" customHeight="1">
      <c r="A1" s="529" t="s">
        <v>410</v>
      </c>
      <c r="B1" s="529"/>
      <c r="C1" s="529"/>
      <c r="D1" s="529"/>
      <c r="E1" s="529"/>
      <c r="F1" s="529"/>
      <c r="G1" s="529"/>
      <c r="H1" s="529"/>
      <c r="I1" s="529"/>
      <c r="J1" s="529"/>
    </row>
    <row r="2" spans="1:10" s="22" customFormat="1" ht="11.25" customHeight="1">
      <c r="A2" s="23" t="s">
        <v>467</v>
      </c>
      <c r="B2" s="290"/>
      <c r="C2" s="290"/>
      <c r="D2" s="290"/>
      <c r="E2" s="290"/>
      <c r="F2" s="290"/>
      <c r="G2" s="290"/>
      <c r="H2" s="290"/>
      <c r="I2" s="290"/>
    </row>
    <row r="3" spans="1:10" ht="11.25" customHeight="1">
      <c r="A3" s="17" t="s">
        <v>468</v>
      </c>
      <c r="B3" s="19"/>
      <c r="C3" s="19"/>
      <c r="D3" s="19"/>
      <c r="E3" s="19"/>
      <c r="F3" s="19"/>
      <c r="G3" s="19"/>
      <c r="H3" s="19"/>
      <c r="I3" s="19"/>
    </row>
    <row r="4" spans="1:10" ht="5.25" customHeight="1">
      <c r="A4" s="22"/>
      <c r="B4" s="22"/>
      <c r="C4" s="22"/>
      <c r="D4" s="22"/>
      <c r="E4" s="22"/>
      <c r="F4" s="22"/>
      <c r="G4" s="22"/>
      <c r="H4" s="22"/>
      <c r="I4" s="22"/>
    </row>
    <row r="5" spans="1:10" ht="16.5" customHeight="1">
      <c r="A5" s="394" t="s">
        <v>257</v>
      </c>
      <c r="B5" s="394" t="s">
        <v>292</v>
      </c>
      <c r="C5" s="394" t="s">
        <v>223</v>
      </c>
      <c r="D5" s="394" t="s">
        <v>224</v>
      </c>
      <c r="E5" s="394" t="s">
        <v>444</v>
      </c>
      <c r="F5" s="394" t="s">
        <v>445</v>
      </c>
      <c r="G5" s="394" t="s">
        <v>446</v>
      </c>
      <c r="H5" s="394" t="s">
        <v>447</v>
      </c>
      <c r="I5" s="394" t="s">
        <v>448</v>
      </c>
      <c r="J5" s="394" t="s">
        <v>449</v>
      </c>
    </row>
    <row r="6" spans="1:10" ht="16.5" customHeight="1">
      <c r="A6" s="356" t="s">
        <v>151</v>
      </c>
      <c r="B6" s="395">
        <v>146964.51</v>
      </c>
      <c r="C6" s="395">
        <v>147299.87</v>
      </c>
      <c r="D6" s="395">
        <v>149482.16</v>
      </c>
      <c r="E6" s="395">
        <v>150020.65</v>
      </c>
      <c r="F6" s="395">
        <v>160235.63</v>
      </c>
      <c r="G6" s="395">
        <v>148507.5</v>
      </c>
      <c r="H6" s="395">
        <v>147974.60999999999</v>
      </c>
      <c r="I6" s="395">
        <v>153046.45000000001</v>
      </c>
      <c r="J6" s="395">
        <v>152136.35</v>
      </c>
    </row>
    <row r="7" spans="1:10" ht="16.5" customHeight="1">
      <c r="A7" s="361" t="s">
        <v>155</v>
      </c>
      <c r="B7" s="396">
        <v>45428.65</v>
      </c>
      <c r="C7" s="396">
        <v>44476.299999999996</v>
      </c>
      <c r="D7" s="396">
        <v>43801.05</v>
      </c>
      <c r="E7" s="396">
        <v>46019.899999999994</v>
      </c>
      <c r="F7" s="396">
        <v>46937.03</v>
      </c>
      <c r="G7" s="396">
        <v>37949</v>
      </c>
      <c r="H7" s="396">
        <v>38051.300000000003</v>
      </c>
      <c r="I7" s="396">
        <v>46478.3</v>
      </c>
      <c r="J7" s="396">
        <v>45058.05</v>
      </c>
    </row>
    <row r="8" spans="1:10" ht="13.5" customHeight="1">
      <c r="A8" s="27" t="s">
        <v>152</v>
      </c>
      <c r="B8" s="237">
        <v>5471</v>
      </c>
      <c r="C8" s="237">
        <v>6043.7000000000007</v>
      </c>
      <c r="D8" s="237">
        <v>5557.7999999999993</v>
      </c>
      <c r="E8" s="237">
        <v>5472.6999999999989</v>
      </c>
      <c r="F8" s="237">
        <v>5670.9</v>
      </c>
      <c r="G8" s="237">
        <v>5360</v>
      </c>
      <c r="H8" s="237">
        <v>7430.5</v>
      </c>
      <c r="I8" s="237">
        <v>8488</v>
      </c>
      <c r="J8" s="237">
        <v>2854</v>
      </c>
    </row>
    <row r="9" spans="1:10" ht="13.5" customHeight="1">
      <c r="A9" s="27" t="s">
        <v>8</v>
      </c>
      <c r="B9" s="237">
        <v>6930</v>
      </c>
      <c r="C9" s="237">
        <v>6078</v>
      </c>
      <c r="D9" s="237">
        <v>6013</v>
      </c>
      <c r="E9" s="237">
        <v>5012</v>
      </c>
      <c r="F9" s="237">
        <v>5371</v>
      </c>
      <c r="G9" s="237">
        <v>4127</v>
      </c>
      <c r="H9" s="237">
        <v>6150</v>
      </c>
      <c r="I9" s="237">
        <v>5749</v>
      </c>
      <c r="J9" s="237">
        <v>5227</v>
      </c>
    </row>
    <row r="10" spans="1:10" ht="13.5" customHeight="1">
      <c r="A10" s="27" t="s">
        <v>9</v>
      </c>
      <c r="B10" s="237">
        <v>5517.35</v>
      </c>
      <c r="C10" s="237">
        <v>5022.5</v>
      </c>
      <c r="D10" s="237">
        <v>4282</v>
      </c>
      <c r="E10" s="237">
        <v>3209</v>
      </c>
      <c r="F10" s="237">
        <v>3762</v>
      </c>
      <c r="G10" s="237">
        <v>3455.7</v>
      </c>
      <c r="H10" s="237">
        <v>3232</v>
      </c>
      <c r="I10" s="237">
        <v>3602.5</v>
      </c>
      <c r="J10" s="237">
        <v>3667.5</v>
      </c>
    </row>
    <row r="11" spans="1:10" ht="13.5" customHeight="1">
      <c r="A11" s="27" t="s">
        <v>10</v>
      </c>
      <c r="B11" s="237">
        <v>4320</v>
      </c>
      <c r="C11" s="237">
        <v>7554</v>
      </c>
      <c r="D11" s="237">
        <v>5992</v>
      </c>
      <c r="E11" s="237">
        <v>4911</v>
      </c>
      <c r="F11" s="237">
        <v>5694</v>
      </c>
      <c r="G11" s="237">
        <v>3480</v>
      </c>
      <c r="H11" s="237">
        <v>2045</v>
      </c>
      <c r="I11" s="237">
        <v>2532</v>
      </c>
      <c r="J11" s="237">
        <v>3907</v>
      </c>
    </row>
    <row r="12" spans="1:10" ht="13.5" customHeight="1">
      <c r="A12" s="27" t="s">
        <v>11</v>
      </c>
      <c r="B12" s="237">
        <v>17673</v>
      </c>
      <c r="C12" s="237">
        <v>13753</v>
      </c>
      <c r="D12" s="237">
        <v>15793</v>
      </c>
      <c r="E12" s="237">
        <v>23205</v>
      </c>
      <c r="F12" s="237">
        <v>21345</v>
      </c>
      <c r="G12" s="237">
        <v>16195</v>
      </c>
      <c r="H12" s="237">
        <v>12886</v>
      </c>
      <c r="I12" s="237">
        <v>19799</v>
      </c>
      <c r="J12" s="237">
        <v>23414</v>
      </c>
    </row>
    <row r="13" spans="1:10" ht="13.5" customHeight="1">
      <c r="A13" s="27" t="s">
        <v>12</v>
      </c>
      <c r="B13" s="237">
        <v>5517.3</v>
      </c>
      <c r="C13" s="237">
        <v>6025.1</v>
      </c>
      <c r="D13" s="237">
        <v>6163.25</v>
      </c>
      <c r="E13" s="237">
        <v>4210.2</v>
      </c>
      <c r="F13" s="237">
        <v>5094.13</v>
      </c>
      <c r="G13" s="237">
        <v>5331.300000000002</v>
      </c>
      <c r="H13" s="237">
        <v>6307.8</v>
      </c>
      <c r="I13" s="237">
        <v>6307.8</v>
      </c>
      <c r="J13" s="237">
        <v>5988.5499999999993</v>
      </c>
    </row>
    <row r="14" spans="1:10" ht="16.5" customHeight="1">
      <c r="A14" s="361" t="s">
        <v>156</v>
      </c>
      <c r="B14" s="396">
        <v>43728.3</v>
      </c>
      <c r="C14" s="396">
        <v>40837.040000000001</v>
      </c>
      <c r="D14" s="396">
        <v>39893.89</v>
      </c>
      <c r="E14" s="396">
        <v>37395.25</v>
      </c>
      <c r="F14" s="396">
        <v>40537.35</v>
      </c>
      <c r="G14" s="396">
        <v>36405</v>
      </c>
      <c r="H14" s="396">
        <v>33359.31</v>
      </c>
      <c r="I14" s="396">
        <v>34557.75</v>
      </c>
      <c r="J14" s="396">
        <v>33881</v>
      </c>
    </row>
    <row r="15" spans="1:10" ht="13.5" customHeight="1">
      <c r="A15" s="27" t="s">
        <v>13</v>
      </c>
      <c r="B15" s="237">
        <v>4990</v>
      </c>
      <c r="C15" s="237">
        <v>4638</v>
      </c>
      <c r="D15" s="237">
        <v>5282</v>
      </c>
      <c r="E15" s="237">
        <v>3891</v>
      </c>
      <c r="F15" s="237">
        <v>4979</v>
      </c>
      <c r="G15" s="237">
        <v>3884</v>
      </c>
      <c r="H15" s="237">
        <v>3519</v>
      </c>
      <c r="I15" s="237">
        <v>3519</v>
      </c>
      <c r="J15" s="237">
        <v>3170</v>
      </c>
    </row>
    <row r="16" spans="1:10" ht="13.5" hidden="1" customHeight="1">
      <c r="A16" s="27" t="s">
        <v>14</v>
      </c>
      <c r="B16" s="237">
        <v>0</v>
      </c>
      <c r="C16" s="237">
        <v>0</v>
      </c>
      <c r="D16" s="237">
        <v>0</v>
      </c>
      <c r="E16" s="237">
        <v>0</v>
      </c>
      <c r="F16" s="237">
        <v>0</v>
      </c>
      <c r="G16" s="237">
        <v>0</v>
      </c>
      <c r="H16" s="237">
        <v>0</v>
      </c>
      <c r="I16" s="237">
        <v>0</v>
      </c>
      <c r="J16" s="237">
        <v>0</v>
      </c>
    </row>
    <row r="17" spans="1:10" ht="13.5" customHeight="1">
      <c r="A17" s="27" t="s">
        <v>15</v>
      </c>
      <c r="B17" s="237">
        <v>1934.5</v>
      </c>
      <c r="C17" s="237">
        <v>2012</v>
      </c>
      <c r="D17" s="237">
        <v>2311</v>
      </c>
      <c r="E17" s="237">
        <v>1532</v>
      </c>
      <c r="F17" s="237">
        <v>1889</v>
      </c>
      <c r="G17" s="237">
        <v>3780</v>
      </c>
      <c r="H17" s="237">
        <v>2544</v>
      </c>
      <c r="I17" s="237">
        <v>2495</v>
      </c>
      <c r="J17" s="237">
        <v>2223</v>
      </c>
    </row>
    <row r="18" spans="1:10" ht="13.5" customHeight="1">
      <c r="A18" s="27" t="s">
        <v>16</v>
      </c>
      <c r="B18" s="237">
        <v>10255.5</v>
      </c>
      <c r="C18" s="237">
        <v>10443</v>
      </c>
      <c r="D18" s="237">
        <v>8730.75</v>
      </c>
      <c r="E18" s="237">
        <v>9662.75</v>
      </c>
      <c r="F18" s="237">
        <v>9718.25</v>
      </c>
      <c r="G18" s="237">
        <v>8576</v>
      </c>
      <c r="H18" s="237">
        <v>8111.75</v>
      </c>
      <c r="I18" s="237">
        <v>8213.75</v>
      </c>
      <c r="J18" s="237">
        <v>9515</v>
      </c>
    </row>
    <row r="19" spans="1:10" ht="13.5" customHeight="1">
      <c r="A19" s="27" t="s">
        <v>17</v>
      </c>
      <c r="B19" s="237">
        <v>3884.3</v>
      </c>
      <c r="C19" s="237">
        <v>3145.04</v>
      </c>
      <c r="D19" s="237">
        <v>2451.14</v>
      </c>
      <c r="E19" s="237">
        <v>1521.5</v>
      </c>
      <c r="F19" s="237">
        <v>2481.1</v>
      </c>
      <c r="G19" s="237">
        <v>2256.5</v>
      </c>
      <c r="H19" s="237">
        <v>1185.5</v>
      </c>
      <c r="I19" s="237">
        <v>1413.5</v>
      </c>
      <c r="J19" s="237">
        <v>1294</v>
      </c>
    </row>
    <row r="20" spans="1:10" ht="13.5" customHeight="1">
      <c r="A20" s="27" t="s">
        <v>318</v>
      </c>
      <c r="B20" s="237">
        <v>7066</v>
      </c>
      <c r="C20" s="237">
        <v>7277</v>
      </c>
      <c r="D20" s="237">
        <v>7554</v>
      </c>
      <c r="E20" s="237">
        <v>8006</v>
      </c>
      <c r="F20" s="237">
        <v>7785</v>
      </c>
      <c r="G20" s="237">
        <v>8010</v>
      </c>
      <c r="H20" s="237">
        <v>7993</v>
      </c>
      <c r="I20" s="237">
        <v>8399</v>
      </c>
      <c r="J20" s="237">
        <v>8384</v>
      </c>
    </row>
    <row r="21" spans="1:10" ht="13.5" customHeight="1">
      <c r="A21" s="27" t="s">
        <v>18</v>
      </c>
      <c r="B21" s="237">
        <v>8454</v>
      </c>
      <c r="C21" s="237">
        <v>6547</v>
      </c>
      <c r="D21" s="237">
        <v>7877</v>
      </c>
      <c r="E21" s="237">
        <v>6637</v>
      </c>
      <c r="F21" s="237">
        <v>8569</v>
      </c>
      <c r="G21" s="237">
        <v>5945.5</v>
      </c>
      <c r="H21" s="237">
        <v>4768.5</v>
      </c>
      <c r="I21" s="237">
        <v>5136.5</v>
      </c>
      <c r="J21" s="237">
        <v>4847</v>
      </c>
    </row>
    <row r="22" spans="1:10" ht="13.5" customHeight="1">
      <c r="A22" s="27" t="s">
        <v>19</v>
      </c>
      <c r="B22" s="237">
        <v>417</v>
      </c>
      <c r="C22" s="237">
        <v>488</v>
      </c>
      <c r="D22" s="237">
        <v>357</v>
      </c>
      <c r="E22" s="237">
        <v>286</v>
      </c>
      <c r="F22" s="237">
        <v>292</v>
      </c>
      <c r="G22" s="237">
        <v>280</v>
      </c>
      <c r="H22" s="237">
        <v>174</v>
      </c>
      <c r="I22" s="237">
        <v>200</v>
      </c>
      <c r="J22" s="237">
        <v>210</v>
      </c>
    </row>
    <row r="23" spans="1:10" ht="13.5" customHeight="1">
      <c r="A23" s="27" t="s">
        <v>20</v>
      </c>
      <c r="B23" s="237">
        <v>6727</v>
      </c>
      <c r="C23" s="237">
        <v>6287</v>
      </c>
      <c r="D23" s="237">
        <v>5331</v>
      </c>
      <c r="E23" s="237">
        <v>5859</v>
      </c>
      <c r="F23" s="237">
        <v>4824</v>
      </c>
      <c r="G23" s="237">
        <v>3673</v>
      </c>
      <c r="H23" s="237">
        <v>5063.5599999999995</v>
      </c>
      <c r="I23" s="237">
        <v>5181</v>
      </c>
      <c r="J23" s="237">
        <v>4238</v>
      </c>
    </row>
    <row r="24" spans="1:10" ht="16.5" customHeight="1">
      <c r="A24" s="361" t="s">
        <v>157</v>
      </c>
      <c r="B24" s="396">
        <v>26583.5</v>
      </c>
      <c r="C24" s="396">
        <v>30054.28</v>
      </c>
      <c r="D24" s="396">
        <v>28917.22</v>
      </c>
      <c r="E24" s="396">
        <v>32192</v>
      </c>
      <c r="F24" s="396">
        <v>35762</v>
      </c>
      <c r="G24" s="396">
        <v>34367.5</v>
      </c>
      <c r="H24" s="396">
        <v>34398</v>
      </c>
      <c r="I24" s="396">
        <v>35447.4</v>
      </c>
      <c r="J24" s="396">
        <v>32763.8</v>
      </c>
    </row>
    <row r="25" spans="1:10" ht="13.5" customHeight="1">
      <c r="A25" s="27" t="s">
        <v>21</v>
      </c>
      <c r="B25" s="237">
        <v>1325.5</v>
      </c>
      <c r="C25" s="237">
        <v>1498.28</v>
      </c>
      <c r="D25" s="237">
        <v>1728.2199999999998</v>
      </c>
      <c r="E25" s="237">
        <v>1927.5</v>
      </c>
      <c r="F25" s="237">
        <v>2438.5</v>
      </c>
      <c r="G25" s="237">
        <v>2100.5</v>
      </c>
      <c r="H25" s="237">
        <v>1780</v>
      </c>
      <c r="I25" s="237">
        <v>2109.4</v>
      </c>
      <c r="J25" s="237">
        <v>2392.8000000000002</v>
      </c>
    </row>
    <row r="26" spans="1:10" ht="13.5" customHeight="1">
      <c r="A26" s="27" t="s">
        <v>22</v>
      </c>
      <c r="B26" s="237">
        <v>3896</v>
      </c>
      <c r="C26" s="237">
        <v>5002</v>
      </c>
      <c r="D26" s="237">
        <v>4265</v>
      </c>
      <c r="E26" s="237">
        <v>4430</v>
      </c>
      <c r="F26" s="237">
        <v>4147</v>
      </c>
      <c r="G26" s="237">
        <v>4253</v>
      </c>
      <c r="H26" s="237">
        <v>4029</v>
      </c>
      <c r="I26" s="237">
        <v>4364</v>
      </c>
      <c r="J26" s="237">
        <v>4511</v>
      </c>
    </row>
    <row r="27" spans="1:10" ht="13.5" customHeight="1">
      <c r="A27" s="27" t="s">
        <v>23</v>
      </c>
      <c r="B27" s="237">
        <v>1796</v>
      </c>
      <c r="C27" s="237">
        <v>2488</v>
      </c>
      <c r="D27" s="237">
        <v>2348</v>
      </c>
      <c r="E27" s="237">
        <v>3313</v>
      </c>
      <c r="F27" s="237">
        <v>3365</v>
      </c>
      <c r="G27" s="237">
        <v>3461</v>
      </c>
      <c r="H27" s="237">
        <v>5085</v>
      </c>
      <c r="I27" s="237">
        <v>5580</v>
      </c>
      <c r="J27" s="237">
        <v>5255</v>
      </c>
    </row>
    <row r="28" spans="1:10" ht="13.5" customHeight="1">
      <c r="A28" s="27" t="s">
        <v>136</v>
      </c>
      <c r="B28" s="237">
        <v>11463</v>
      </c>
      <c r="C28" s="237">
        <v>13200</v>
      </c>
      <c r="D28" s="237">
        <v>11708</v>
      </c>
      <c r="E28" s="237">
        <v>13828.5</v>
      </c>
      <c r="F28" s="237">
        <v>16623.5</v>
      </c>
      <c r="G28" s="237">
        <v>15563</v>
      </c>
      <c r="H28" s="237">
        <v>14279</v>
      </c>
      <c r="I28" s="237">
        <v>14023</v>
      </c>
      <c r="J28" s="237">
        <v>11863</v>
      </c>
    </row>
    <row r="29" spans="1:10" ht="13.5" customHeight="1">
      <c r="A29" s="27" t="s">
        <v>114</v>
      </c>
      <c r="B29" s="237">
        <v>240</v>
      </c>
      <c r="C29" s="237">
        <v>335</v>
      </c>
      <c r="D29" s="237">
        <v>327</v>
      </c>
      <c r="E29" s="237">
        <v>350</v>
      </c>
      <c r="F29" s="237">
        <v>379</v>
      </c>
      <c r="G29" s="237">
        <v>276</v>
      </c>
      <c r="H29" s="237">
        <v>301</v>
      </c>
      <c r="I29" s="237">
        <v>362</v>
      </c>
      <c r="J29" s="237">
        <v>307</v>
      </c>
    </row>
    <row r="30" spans="1:10" ht="13.5" customHeight="1">
      <c r="A30" s="27" t="s">
        <v>115</v>
      </c>
      <c r="B30" s="237">
        <v>7234</v>
      </c>
      <c r="C30" s="237">
        <v>7075</v>
      </c>
      <c r="D30" s="237">
        <v>8018.0000000000009</v>
      </c>
      <c r="E30" s="237">
        <v>7819</v>
      </c>
      <c r="F30" s="237">
        <v>8025</v>
      </c>
      <c r="G30" s="237">
        <v>8089</v>
      </c>
      <c r="H30" s="237">
        <v>8323</v>
      </c>
      <c r="I30" s="237">
        <v>8323</v>
      </c>
      <c r="J30" s="237">
        <v>7859</v>
      </c>
    </row>
    <row r="31" spans="1:10" ht="13.5" customHeight="1">
      <c r="A31" s="27" t="s">
        <v>116</v>
      </c>
      <c r="B31" s="237">
        <v>629</v>
      </c>
      <c r="C31" s="237">
        <v>456</v>
      </c>
      <c r="D31" s="237">
        <v>523</v>
      </c>
      <c r="E31" s="237">
        <v>524</v>
      </c>
      <c r="F31" s="237">
        <v>784</v>
      </c>
      <c r="G31" s="237">
        <v>625</v>
      </c>
      <c r="H31" s="237">
        <v>601</v>
      </c>
      <c r="I31" s="237">
        <v>686</v>
      </c>
      <c r="J31" s="237">
        <v>576</v>
      </c>
    </row>
    <row r="32" spans="1:10" ht="16.5" customHeight="1">
      <c r="A32" s="361" t="s">
        <v>158</v>
      </c>
      <c r="B32" s="396">
        <v>31224.059999999998</v>
      </c>
      <c r="C32" s="396">
        <v>31932.25</v>
      </c>
      <c r="D32" s="396">
        <v>36870</v>
      </c>
      <c r="E32" s="396">
        <v>34413.5</v>
      </c>
      <c r="F32" s="396">
        <v>36999.25</v>
      </c>
      <c r="G32" s="396">
        <v>39786</v>
      </c>
      <c r="H32" s="396">
        <v>42166</v>
      </c>
      <c r="I32" s="396">
        <v>36563</v>
      </c>
      <c r="J32" s="396">
        <v>40433.5</v>
      </c>
    </row>
    <row r="33" spans="1:10" ht="13.5" customHeight="1">
      <c r="A33" s="27" t="s">
        <v>187</v>
      </c>
      <c r="B33" s="237">
        <v>18379</v>
      </c>
      <c r="C33" s="237">
        <v>18426</v>
      </c>
      <c r="D33" s="237">
        <v>20925</v>
      </c>
      <c r="E33" s="237">
        <v>19523</v>
      </c>
      <c r="F33" s="237">
        <v>20983</v>
      </c>
      <c r="G33" s="237">
        <v>19903</v>
      </c>
      <c r="H33" s="237">
        <v>27612</v>
      </c>
      <c r="I33" s="237">
        <v>21012</v>
      </c>
      <c r="J33" s="237">
        <v>21261</v>
      </c>
    </row>
    <row r="34" spans="1:10" ht="13.5" customHeight="1">
      <c r="A34" s="25" t="s">
        <v>188</v>
      </c>
      <c r="B34" s="237">
        <v>50.5</v>
      </c>
      <c r="C34" s="237">
        <v>53.75</v>
      </c>
      <c r="D34" s="237">
        <v>427.5</v>
      </c>
      <c r="E34" s="237">
        <v>259</v>
      </c>
      <c r="F34" s="237">
        <v>586.25</v>
      </c>
      <c r="G34" s="237">
        <v>292.5</v>
      </c>
      <c r="H34" s="237">
        <v>322</v>
      </c>
      <c r="I34" s="237">
        <v>453</v>
      </c>
      <c r="J34" s="237">
        <v>81</v>
      </c>
    </row>
    <row r="35" spans="1:10" ht="13.5" customHeight="1">
      <c r="A35" s="27" t="s">
        <v>256</v>
      </c>
      <c r="B35" s="237">
        <v>10587.63</v>
      </c>
      <c r="C35" s="237">
        <v>10220.5</v>
      </c>
      <c r="D35" s="237">
        <v>11632.5</v>
      </c>
      <c r="E35" s="237">
        <v>11840.5</v>
      </c>
      <c r="F35" s="237">
        <v>12280</v>
      </c>
      <c r="G35" s="237">
        <v>15720</v>
      </c>
      <c r="H35" s="237">
        <v>12343</v>
      </c>
      <c r="I35" s="237">
        <v>12357</v>
      </c>
      <c r="J35" s="237">
        <v>14831.5</v>
      </c>
    </row>
    <row r="36" spans="1:10" ht="13.5" customHeight="1">
      <c r="A36" s="26" t="s">
        <v>189</v>
      </c>
      <c r="B36" s="239">
        <v>2206.9299999999998</v>
      </c>
      <c r="C36" s="239">
        <v>3232</v>
      </c>
      <c r="D36" s="239">
        <v>3885</v>
      </c>
      <c r="E36" s="239">
        <v>2791</v>
      </c>
      <c r="F36" s="239">
        <v>3150</v>
      </c>
      <c r="G36" s="239">
        <v>3870.5</v>
      </c>
      <c r="H36" s="239">
        <v>1889</v>
      </c>
      <c r="I36" s="239">
        <v>2741</v>
      </c>
      <c r="J36" s="239">
        <v>4260</v>
      </c>
    </row>
    <row r="37" spans="1:10" ht="9" customHeight="1">
      <c r="A37" s="207" t="s">
        <v>94</v>
      </c>
      <c r="B37" s="165"/>
      <c r="C37" s="165"/>
      <c r="D37" s="165"/>
      <c r="E37" s="165"/>
      <c r="F37" s="165"/>
      <c r="G37" s="165"/>
      <c r="H37" s="165"/>
      <c r="I37" s="165"/>
      <c r="J37" s="165"/>
    </row>
    <row r="38" spans="1:10" ht="9" customHeight="1">
      <c r="A38" s="207" t="s">
        <v>101</v>
      </c>
      <c r="B38" s="163"/>
      <c r="C38" s="163"/>
      <c r="D38" s="163"/>
      <c r="E38" s="163"/>
    </row>
    <row r="39" spans="1:10" ht="9" customHeight="1">
      <c r="A39" s="528" t="s">
        <v>355</v>
      </c>
      <c r="B39" s="528"/>
      <c r="C39" s="528"/>
      <c r="D39" s="528"/>
      <c r="E39" s="528"/>
      <c r="F39" s="528"/>
      <c r="G39" s="304"/>
      <c r="H39" s="443"/>
      <c r="I39" s="289"/>
    </row>
    <row r="46" spans="1:10" ht="17.25" customHeight="1">
      <c r="B46" s="335"/>
    </row>
    <row r="61" spans="2:9" ht="17.25" customHeight="1">
      <c r="B61" s="164">
        <v>0</v>
      </c>
      <c r="C61" s="164">
        <v>0</v>
      </c>
      <c r="D61" s="164">
        <v>0</v>
      </c>
      <c r="E61" s="164">
        <v>0</v>
      </c>
      <c r="F61" s="164">
        <v>0</v>
      </c>
      <c r="G61" s="164"/>
      <c r="H61" s="164"/>
      <c r="I61" s="164"/>
    </row>
    <row r="241" spans="2:12" ht="17.25" customHeight="1">
      <c r="B241" s="164"/>
      <c r="C241" s="164"/>
      <c r="D241" s="164"/>
      <c r="E241" s="164"/>
      <c r="F241" s="164"/>
      <c r="G241" s="164"/>
      <c r="H241" s="164"/>
      <c r="I241" s="164"/>
    </row>
    <row r="242" spans="2:12" ht="17.25" customHeight="1">
      <c r="B242" s="164">
        <v>1427211.2829999998</v>
      </c>
      <c r="C242" s="164">
        <v>1423961.2319999998</v>
      </c>
      <c r="D242" s="164">
        <v>1399053.7</v>
      </c>
      <c r="E242" s="164">
        <v>1291808.392</v>
      </c>
      <c r="F242" s="164">
        <v>1409935.32</v>
      </c>
      <c r="G242" s="164"/>
      <c r="H242" s="164"/>
      <c r="I242" s="164"/>
      <c r="L242" s="204">
        <v>94780.55</v>
      </c>
    </row>
    <row r="250" spans="2:12" ht="17.25" customHeight="1">
      <c r="B250" s="164"/>
      <c r="C250" s="164"/>
      <c r="D250" s="164"/>
      <c r="E250" s="164"/>
      <c r="F250" s="164"/>
      <c r="G250" s="164"/>
      <c r="H250" s="164"/>
      <c r="I250" s="164"/>
    </row>
    <row r="259" spans="2:9" ht="17.25" customHeight="1">
      <c r="B259" s="164"/>
      <c r="C259" s="164"/>
      <c r="D259" s="164"/>
      <c r="E259" s="164"/>
      <c r="F259" s="164"/>
      <c r="G259" s="164"/>
      <c r="H259" s="164"/>
      <c r="I259" s="164"/>
    </row>
  </sheetData>
  <mergeCells count="2">
    <mergeCell ref="A39:F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Q37"/>
  <sheetViews>
    <sheetView showGridLines="0" zoomScale="150" zoomScaleNormal="150" workbookViewId="0">
      <selection activeCell="F16" sqref="F16"/>
    </sheetView>
  </sheetViews>
  <sheetFormatPr baseColWidth="10" defaultColWidth="10.7109375" defaultRowHeight="17.25" customHeight="1"/>
  <cols>
    <col min="1" max="1" width="12.42578125" style="204" customWidth="1"/>
    <col min="2" max="10" width="8.7109375" style="204" customWidth="1"/>
    <col min="11" max="16384" width="10.7109375" style="204"/>
  </cols>
  <sheetData>
    <row r="1" spans="1:43" ht="16.5" customHeight="1">
      <c r="A1" s="223" t="s">
        <v>302</v>
      </c>
      <c r="B1" s="218"/>
      <c r="C1" s="218"/>
      <c r="D1" s="218"/>
      <c r="E1" s="24"/>
      <c r="F1" s="24"/>
      <c r="G1" s="24"/>
      <c r="H1" s="24"/>
      <c r="I1" s="24"/>
      <c r="J1" s="24"/>
    </row>
    <row r="2" spans="1:43" ht="13.5">
      <c r="A2" s="223" t="s">
        <v>510</v>
      </c>
      <c r="B2" s="24"/>
      <c r="C2" s="24"/>
      <c r="D2" s="24"/>
      <c r="E2" s="24"/>
      <c r="F2" s="24"/>
      <c r="G2" s="24"/>
      <c r="H2" s="24"/>
      <c r="I2" s="24"/>
      <c r="J2" s="24"/>
    </row>
    <row r="3" spans="1:43" ht="13.5">
      <c r="A3" s="401" t="s">
        <v>429</v>
      </c>
    </row>
    <row r="4" spans="1:43" ht="3.95" customHeight="1">
      <c r="A4" s="76"/>
    </row>
    <row r="5" spans="1:43" ht="15.95" customHeight="1">
      <c r="A5" s="394" t="s">
        <v>57</v>
      </c>
      <c r="B5" s="394" t="s">
        <v>292</v>
      </c>
      <c r="C5" s="394" t="s">
        <v>223</v>
      </c>
      <c r="D5" s="394" t="s">
        <v>224</v>
      </c>
      <c r="E5" s="394" t="s">
        <v>191</v>
      </c>
      <c r="F5" s="394" t="s">
        <v>192</v>
      </c>
      <c r="G5" s="394" t="s">
        <v>145</v>
      </c>
      <c r="H5" s="394" t="s">
        <v>340</v>
      </c>
      <c r="I5" s="394" t="s">
        <v>347</v>
      </c>
      <c r="J5" s="394" t="s">
        <v>438</v>
      </c>
    </row>
    <row r="6" spans="1:43" ht="15.95" customHeight="1">
      <c r="A6" s="397" t="s">
        <v>179</v>
      </c>
      <c r="B6" s="398">
        <v>146964.50999999998</v>
      </c>
      <c r="C6" s="398">
        <v>147299.87</v>
      </c>
      <c r="D6" s="398">
        <v>149482.16</v>
      </c>
      <c r="E6" s="398">
        <v>150020.65</v>
      </c>
      <c r="F6" s="398">
        <v>160235.62999999998</v>
      </c>
      <c r="G6" s="398">
        <v>148507.50000000003</v>
      </c>
      <c r="H6" s="398">
        <v>147974.61000000002</v>
      </c>
      <c r="I6" s="398">
        <v>153046.44999999998</v>
      </c>
      <c r="J6" s="398">
        <v>152136.34999999998</v>
      </c>
      <c r="K6" s="279"/>
      <c r="V6" s="279"/>
      <c r="W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</row>
    <row r="7" spans="1:43" ht="13.5" customHeight="1">
      <c r="A7" s="25" t="s">
        <v>253</v>
      </c>
      <c r="B7" s="399">
        <v>46.5</v>
      </c>
      <c r="C7" s="399">
        <v>7</v>
      </c>
      <c r="D7" s="399">
        <v>13</v>
      </c>
      <c r="E7" s="399">
        <v>31</v>
      </c>
      <c r="F7" s="399">
        <v>29</v>
      </c>
      <c r="G7" s="399">
        <v>12.5</v>
      </c>
      <c r="H7" s="399">
        <v>8</v>
      </c>
      <c r="I7" s="399">
        <v>12</v>
      </c>
      <c r="J7" s="399">
        <v>23</v>
      </c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</row>
    <row r="8" spans="1:43" ht="13.5" customHeight="1">
      <c r="A8" s="25" t="s">
        <v>225</v>
      </c>
      <c r="B8" s="399">
        <v>30085.7</v>
      </c>
      <c r="C8" s="399">
        <v>25102</v>
      </c>
      <c r="D8" s="399">
        <v>28193.989999999998</v>
      </c>
      <c r="E8" s="399">
        <v>25376</v>
      </c>
      <c r="F8" s="399">
        <v>28363.4</v>
      </c>
      <c r="G8" s="399">
        <v>29438</v>
      </c>
      <c r="H8" s="399">
        <v>27707.5</v>
      </c>
      <c r="I8" s="399">
        <v>26892</v>
      </c>
      <c r="J8" s="399">
        <v>31430.45</v>
      </c>
    </row>
    <row r="9" spans="1:43" ht="13.5" customHeight="1">
      <c r="A9" s="25" t="s">
        <v>193</v>
      </c>
      <c r="B9" s="399">
        <v>15652.5</v>
      </c>
      <c r="C9" s="399">
        <v>15992.5</v>
      </c>
      <c r="D9" s="399">
        <v>15900.3</v>
      </c>
      <c r="E9" s="399">
        <v>15152.25</v>
      </c>
      <c r="F9" s="399">
        <v>18593.400000000001</v>
      </c>
      <c r="G9" s="399">
        <v>17475</v>
      </c>
      <c r="H9" s="399">
        <v>17127.75</v>
      </c>
      <c r="I9" s="399">
        <v>16631.25</v>
      </c>
      <c r="J9" s="399">
        <v>15216</v>
      </c>
    </row>
    <row r="10" spans="1:43" ht="13.5" customHeight="1">
      <c r="A10" s="25" t="s">
        <v>277</v>
      </c>
      <c r="B10" s="399">
        <v>36073.89</v>
      </c>
      <c r="C10" s="399">
        <v>39577</v>
      </c>
      <c r="D10" s="399">
        <v>40822</v>
      </c>
      <c r="E10" s="399">
        <v>46510.5</v>
      </c>
      <c r="F10" s="399">
        <v>45283.18</v>
      </c>
      <c r="G10" s="399">
        <v>39332.1</v>
      </c>
      <c r="H10" s="399">
        <v>41980</v>
      </c>
      <c r="I10" s="399">
        <v>43949</v>
      </c>
      <c r="J10" s="399">
        <v>40983.5</v>
      </c>
    </row>
    <row r="11" spans="1:43" ht="13.5" customHeight="1">
      <c r="A11" s="25" t="s">
        <v>149</v>
      </c>
      <c r="B11" s="399">
        <v>79</v>
      </c>
      <c r="C11" s="399">
        <v>12</v>
      </c>
      <c r="D11" s="399">
        <v>20</v>
      </c>
      <c r="E11" s="399">
        <v>10</v>
      </c>
      <c r="F11" s="399">
        <v>272</v>
      </c>
      <c r="G11" s="399">
        <v>31</v>
      </c>
      <c r="H11" s="399">
        <v>9</v>
      </c>
      <c r="I11" s="399">
        <v>15</v>
      </c>
      <c r="J11" s="399">
        <v>50</v>
      </c>
    </row>
    <row r="12" spans="1:43" ht="13.5" customHeight="1">
      <c r="A12" s="25" t="s">
        <v>62</v>
      </c>
      <c r="B12" s="399">
        <v>552.5</v>
      </c>
      <c r="C12" s="399">
        <v>2772.5</v>
      </c>
      <c r="D12" s="399">
        <v>896</v>
      </c>
      <c r="E12" s="399">
        <v>881</v>
      </c>
      <c r="F12" s="399">
        <v>639</v>
      </c>
      <c r="G12" s="399">
        <v>1272</v>
      </c>
      <c r="H12" s="399">
        <v>1240</v>
      </c>
      <c r="I12" s="399">
        <v>1342.5</v>
      </c>
      <c r="J12" s="399">
        <v>1459</v>
      </c>
    </row>
    <row r="13" spans="1:43" ht="13.5" customHeight="1">
      <c r="A13" s="25" t="s">
        <v>211</v>
      </c>
      <c r="B13" s="399">
        <v>434.6</v>
      </c>
      <c r="C13" s="399">
        <v>430.3</v>
      </c>
      <c r="D13" s="399">
        <v>456.7</v>
      </c>
      <c r="E13" s="399">
        <v>463</v>
      </c>
      <c r="F13" s="399">
        <v>582.9</v>
      </c>
      <c r="G13" s="399">
        <v>486.3</v>
      </c>
      <c r="H13" s="399">
        <v>432.25</v>
      </c>
      <c r="I13" s="399">
        <v>535.75</v>
      </c>
      <c r="J13" s="399">
        <v>439.5</v>
      </c>
    </row>
    <row r="14" spans="1:43" ht="13.5" customHeight="1">
      <c r="A14" s="25" t="s">
        <v>265</v>
      </c>
      <c r="B14" s="399">
        <v>0</v>
      </c>
      <c r="C14" s="399">
        <v>122</v>
      </c>
      <c r="D14" s="399">
        <v>40</v>
      </c>
      <c r="E14" s="399">
        <v>40</v>
      </c>
      <c r="F14" s="399">
        <v>4</v>
      </c>
      <c r="G14" s="399">
        <v>156</v>
      </c>
      <c r="H14" s="399">
        <v>0</v>
      </c>
      <c r="I14" s="399">
        <v>10</v>
      </c>
      <c r="J14" s="399">
        <v>287</v>
      </c>
    </row>
    <row r="15" spans="1:43" ht="13.5" customHeight="1">
      <c r="A15" s="25" t="s">
        <v>212</v>
      </c>
      <c r="B15" s="399">
        <v>163.19999999999999</v>
      </c>
      <c r="C15" s="399">
        <v>70.099999999999994</v>
      </c>
      <c r="D15" s="399">
        <v>167.1</v>
      </c>
      <c r="E15" s="399">
        <v>91</v>
      </c>
      <c r="F15" s="399">
        <v>71.650000000000006</v>
      </c>
      <c r="G15" s="399">
        <v>43.6</v>
      </c>
      <c r="H15" s="399">
        <v>40.200000000000003</v>
      </c>
      <c r="I15" s="399">
        <v>43.2</v>
      </c>
      <c r="J15" s="399">
        <v>56.7</v>
      </c>
    </row>
    <row r="16" spans="1:43" ht="13.5" customHeight="1">
      <c r="A16" s="25" t="s">
        <v>147</v>
      </c>
      <c r="B16" s="399">
        <v>502.6</v>
      </c>
      <c r="C16" s="399">
        <v>484.6</v>
      </c>
      <c r="D16" s="399">
        <v>570.1</v>
      </c>
      <c r="E16" s="399">
        <v>501.4</v>
      </c>
      <c r="F16" s="399">
        <v>410.3</v>
      </c>
      <c r="G16" s="399">
        <v>499</v>
      </c>
      <c r="H16" s="399">
        <v>438.75</v>
      </c>
      <c r="I16" s="399">
        <v>481.75</v>
      </c>
      <c r="J16" s="399">
        <v>463.5</v>
      </c>
    </row>
    <row r="17" spans="1:10" ht="13.5" customHeight="1">
      <c r="A17" s="25" t="s">
        <v>263</v>
      </c>
      <c r="B17" s="399">
        <v>839.5</v>
      </c>
      <c r="C17" s="399">
        <v>786.5</v>
      </c>
      <c r="D17" s="399">
        <v>768.55</v>
      </c>
      <c r="E17" s="399">
        <v>732.7</v>
      </c>
      <c r="F17" s="399">
        <v>824</v>
      </c>
      <c r="G17" s="399">
        <v>656.6</v>
      </c>
      <c r="H17" s="399">
        <v>813.5</v>
      </c>
      <c r="I17" s="399">
        <v>879.5</v>
      </c>
      <c r="J17" s="399">
        <v>686.5</v>
      </c>
    </row>
    <row r="18" spans="1:10" ht="13.5" customHeight="1">
      <c r="A18" s="25" t="s">
        <v>262</v>
      </c>
      <c r="B18" s="399">
        <v>718.7</v>
      </c>
      <c r="C18" s="399">
        <v>725.7</v>
      </c>
      <c r="D18" s="399">
        <v>777.25</v>
      </c>
      <c r="E18" s="399">
        <v>571.95000000000005</v>
      </c>
      <c r="F18" s="399">
        <v>572.6</v>
      </c>
      <c r="G18" s="399">
        <v>579</v>
      </c>
      <c r="H18" s="399">
        <v>629.20000000000005</v>
      </c>
      <c r="I18" s="399">
        <v>705.7</v>
      </c>
      <c r="J18" s="399">
        <v>581.5</v>
      </c>
    </row>
    <row r="19" spans="1:10" ht="13.5" customHeight="1">
      <c r="A19" s="25" t="s">
        <v>259</v>
      </c>
      <c r="B19" s="399">
        <v>209.5</v>
      </c>
      <c r="C19" s="399">
        <v>235.5</v>
      </c>
      <c r="D19" s="399">
        <v>337.5</v>
      </c>
      <c r="E19" s="399">
        <v>301.5</v>
      </c>
      <c r="F19" s="399">
        <v>742</v>
      </c>
      <c r="G19" s="399">
        <v>218</v>
      </c>
      <c r="H19" s="399">
        <v>262.39999999999998</v>
      </c>
      <c r="I19" s="399">
        <v>241.4</v>
      </c>
      <c r="J19" s="399">
        <v>243</v>
      </c>
    </row>
    <row r="20" spans="1:10" ht="13.5" customHeight="1">
      <c r="A20" s="25" t="s">
        <v>285</v>
      </c>
      <c r="B20" s="399">
        <v>1549.05</v>
      </c>
      <c r="C20" s="399">
        <v>1652.24</v>
      </c>
      <c r="D20" s="399">
        <v>1672</v>
      </c>
      <c r="E20" s="399">
        <v>1348</v>
      </c>
      <c r="F20" s="399">
        <v>1586.5</v>
      </c>
      <c r="G20" s="399">
        <v>1834</v>
      </c>
      <c r="H20" s="399">
        <v>1651.8</v>
      </c>
      <c r="I20" s="399">
        <v>1825.9</v>
      </c>
      <c r="J20" s="399">
        <v>1684</v>
      </c>
    </row>
    <row r="21" spans="1:10" ht="13.5" customHeight="1">
      <c r="A21" s="25" t="s">
        <v>278</v>
      </c>
      <c r="B21" s="399">
        <v>25925.5</v>
      </c>
      <c r="C21" s="399">
        <v>27391.5</v>
      </c>
      <c r="D21" s="399">
        <v>25114</v>
      </c>
      <c r="E21" s="399">
        <v>24776.5</v>
      </c>
      <c r="F21" s="399">
        <v>27112.5</v>
      </c>
      <c r="G21" s="399">
        <v>25098</v>
      </c>
      <c r="H21" s="399">
        <v>25543.56</v>
      </c>
      <c r="I21" s="399">
        <v>26807.5</v>
      </c>
      <c r="J21" s="399">
        <v>26875.5</v>
      </c>
    </row>
    <row r="22" spans="1:10" ht="13.5" customHeight="1">
      <c r="A22" s="25" t="s">
        <v>284</v>
      </c>
      <c r="B22" s="399">
        <v>11501.64</v>
      </c>
      <c r="C22" s="399">
        <v>11685.5</v>
      </c>
      <c r="D22" s="399">
        <v>12390.8</v>
      </c>
      <c r="E22" s="399">
        <v>11541.7</v>
      </c>
      <c r="F22" s="399">
        <v>12892.5</v>
      </c>
      <c r="G22" s="399">
        <v>12803.85</v>
      </c>
      <c r="H22" s="399">
        <v>11865</v>
      </c>
      <c r="I22" s="399">
        <v>12397.5</v>
      </c>
      <c r="J22" s="399">
        <v>11791.5</v>
      </c>
    </row>
    <row r="23" spans="1:10" ht="13.5" customHeight="1">
      <c r="A23" s="25" t="s">
        <v>202</v>
      </c>
      <c r="B23" s="399">
        <v>1440.8</v>
      </c>
      <c r="C23" s="399">
        <v>1128.25</v>
      </c>
      <c r="D23" s="399">
        <v>1335</v>
      </c>
      <c r="E23" s="399">
        <v>1354.75</v>
      </c>
      <c r="F23" s="399">
        <v>1343.5</v>
      </c>
      <c r="G23" s="399">
        <v>1194.3</v>
      </c>
      <c r="H23" s="399">
        <v>692.35</v>
      </c>
      <c r="I23" s="399">
        <v>822.35</v>
      </c>
      <c r="J23" s="399">
        <v>1415.15</v>
      </c>
    </row>
    <row r="24" spans="1:10" ht="13.5" customHeight="1">
      <c r="A24" s="25" t="s">
        <v>264</v>
      </c>
      <c r="B24" s="399">
        <v>976</v>
      </c>
      <c r="C24" s="399">
        <v>1071.5</v>
      </c>
      <c r="D24" s="399">
        <v>1313.5</v>
      </c>
      <c r="E24" s="399">
        <v>1539</v>
      </c>
      <c r="F24" s="399">
        <v>1291</v>
      </c>
      <c r="G24" s="399">
        <v>987.5</v>
      </c>
      <c r="H24" s="399">
        <v>1121.25</v>
      </c>
      <c r="I24" s="399">
        <v>1261.75</v>
      </c>
      <c r="J24" s="399">
        <v>1175</v>
      </c>
    </row>
    <row r="25" spans="1:10" ht="13.5" customHeight="1">
      <c r="A25" s="25" t="s">
        <v>297</v>
      </c>
      <c r="B25" s="399">
        <v>4312.5</v>
      </c>
      <c r="C25" s="399">
        <v>4330.5</v>
      </c>
      <c r="D25" s="399">
        <v>4015.37</v>
      </c>
      <c r="E25" s="399">
        <v>4218.5</v>
      </c>
      <c r="F25" s="399">
        <v>4131</v>
      </c>
      <c r="G25" s="399">
        <v>3738</v>
      </c>
      <c r="H25" s="399">
        <v>3572.25</v>
      </c>
      <c r="I25" s="399">
        <v>3740.75</v>
      </c>
      <c r="J25" s="399">
        <v>3987.25</v>
      </c>
    </row>
    <row r="26" spans="1:10" ht="13.5" customHeight="1">
      <c r="A26" s="25" t="s">
        <v>46</v>
      </c>
      <c r="B26" s="399">
        <v>474</v>
      </c>
      <c r="C26" s="399">
        <v>361</v>
      </c>
      <c r="D26" s="399">
        <v>862</v>
      </c>
      <c r="E26" s="399">
        <v>762.5</v>
      </c>
      <c r="F26" s="399">
        <v>957</v>
      </c>
      <c r="G26" s="399">
        <v>1237</v>
      </c>
      <c r="H26" s="399">
        <v>621</v>
      </c>
      <c r="I26" s="399">
        <v>945</v>
      </c>
      <c r="J26" s="399">
        <v>855</v>
      </c>
    </row>
    <row r="27" spans="1:10" ht="13.5" customHeight="1">
      <c r="A27" s="25" t="s">
        <v>250</v>
      </c>
      <c r="B27" s="399">
        <v>3061</v>
      </c>
      <c r="C27" s="399">
        <v>2852.1</v>
      </c>
      <c r="D27" s="399">
        <v>3042</v>
      </c>
      <c r="E27" s="399">
        <v>3188.9</v>
      </c>
      <c r="F27" s="399">
        <v>3157.4</v>
      </c>
      <c r="G27" s="399">
        <v>2685.75</v>
      </c>
      <c r="H27" s="399">
        <v>3476</v>
      </c>
      <c r="I27" s="399">
        <v>3229</v>
      </c>
      <c r="J27" s="399">
        <v>2814.5</v>
      </c>
    </row>
    <row r="28" spans="1:10" ht="13.5" customHeight="1">
      <c r="A28" s="25" t="s">
        <v>120</v>
      </c>
      <c r="B28" s="399">
        <v>622.5</v>
      </c>
      <c r="C28" s="399">
        <v>404.5</v>
      </c>
      <c r="D28" s="399">
        <v>909</v>
      </c>
      <c r="E28" s="399">
        <v>1052</v>
      </c>
      <c r="F28" s="399">
        <v>1533</v>
      </c>
      <c r="G28" s="399">
        <v>511</v>
      </c>
      <c r="H28" s="399">
        <v>48</v>
      </c>
      <c r="I28" s="399">
        <v>94</v>
      </c>
      <c r="J28" s="399">
        <v>177</v>
      </c>
    </row>
    <row r="29" spans="1:10" ht="13.5" customHeight="1">
      <c r="A29" s="25" t="s">
        <v>260</v>
      </c>
      <c r="B29" s="399">
        <v>3304</v>
      </c>
      <c r="C29" s="399">
        <v>3085.5</v>
      </c>
      <c r="D29" s="399">
        <v>3482</v>
      </c>
      <c r="E29" s="399">
        <v>3232</v>
      </c>
      <c r="F29" s="399">
        <v>3019.5</v>
      </c>
      <c r="G29" s="399">
        <v>2404</v>
      </c>
      <c r="H29" s="399">
        <v>2637.5</v>
      </c>
      <c r="I29" s="399">
        <v>3794</v>
      </c>
      <c r="J29" s="399">
        <v>3009.8</v>
      </c>
    </row>
    <row r="30" spans="1:10" ht="13.5" customHeight="1">
      <c r="A30" s="25" t="s">
        <v>261</v>
      </c>
      <c r="B30" s="399">
        <v>2039</v>
      </c>
      <c r="C30" s="399">
        <v>2064.5</v>
      </c>
      <c r="D30" s="399">
        <v>2031</v>
      </c>
      <c r="E30" s="399">
        <v>1940.5</v>
      </c>
      <c r="F30" s="399">
        <v>2170.5</v>
      </c>
      <c r="G30" s="399">
        <v>1836.5</v>
      </c>
      <c r="H30" s="399">
        <v>2247.35</v>
      </c>
      <c r="I30" s="399">
        <v>2374.15</v>
      </c>
      <c r="J30" s="399">
        <v>2614.5</v>
      </c>
    </row>
    <row r="31" spans="1:10" ht="13.5" customHeight="1">
      <c r="A31" s="25" t="s">
        <v>47</v>
      </c>
      <c r="B31" s="399">
        <v>3217.3</v>
      </c>
      <c r="C31" s="399">
        <v>2841</v>
      </c>
      <c r="D31" s="399">
        <v>3028.5</v>
      </c>
      <c r="E31" s="399">
        <v>3355</v>
      </c>
      <c r="F31" s="399">
        <v>3182</v>
      </c>
      <c r="G31" s="399">
        <v>3084</v>
      </c>
      <c r="H31" s="399">
        <v>2802.5</v>
      </c>
      <c r="I31" s="399">
        <v>2971</v>
      </c>
      <c r="J31" s="399">
        <v>2917</v>
      </c>
    </row>
    <row r="32" spans="1:10" ht="13.5" customHeight="1">
      <c r="A32" s="25" t="s">
        <v>48</v>
      </c>
      <c r="B32" s="399">
        <v>164</v>
      </c>
      <c r="C32" s="399">
        <v>150.44999999999999</v>
      </c>
      <c r="D32" s="399">
        <v>142</v>
      </c>
      <c r="E32" s="399">
        <v>169</v>
      </c>
      <c r="F32" s="399">
        <v>118</v>
      </c>
      <c r="G32" s="399">
        <v>107</v>
      </c>
      <c r="H32" s="399">
        <v>144</v>
      </c>
      <c r="I32" s="399">
        <v>146</v>
      </c>
      <c r="J32" s="399">
        <v>256</v>
      </c>
    </row>
    <row r="33" spans="1:10" ht="13.5" customHeight="1">
      <c r="A33" s="25" t="s">
        <v>49</v>
      </c>
      <c r="B33" s="399">
        <v>111</v>
      </c>
      <c r="C33" s="399">
        <v>107.33</v>
      </c>
      <c r="D33" s="399">
        <v>89.5</v>
      </c>
      <c r="E33" s="399">
        <v>115.5</v>
      </c>
      <c r="F33" s="399">
        <v>164</v>
      </c>
      <c r="G33" s="399">
        <v>192.5</v>
      </c>
      <c r="H33" s="399">
        <v>130</v>
      </c>
      <c r="I33" s="399">
        <v>133</v>
      </c>
      <c r="J33" s="399">
        <v>268.5</v>
      </c>
    </row>
    <row r="34" spans="1:10" ht="13.5" customHeight="1">
      <c r="A34" s="26" t="s">
        <v>282</v>
      </c>
      <c r="B34" s="400">
        <v>2908.0299999999997</v>
      </c>
      <c r="C34" s="400">
        <v>1856.3</v>
      </c>
      <c r="D34" s="400">
        <v>1093</v>
      </c>
      <c r="E34" s="400">
        <v>764.5</v>
      </c>
      <c r="F34" s="400">
        <v>1189.8</v>
      </c>
      <c r="G34" s="400">
        <v>595</v>
      </c>
      <c r="H34" s="400">
        <v>733.5</v>
      </c>
      <c r="I34" s="400">
        <v>765.5</v>
      </c>
      <c r="J34" s="400">
        <v>376</v>
      </c>
    </row>
    <row r="35" spans="1:10" ht="9" customHeight="1">
      <c r="A35" s="207" t="s">
        <v>94</v>
      </c>
      <c r="B35" s="232"/>
      <c r="C35" s="163"/>
      <c r="D35" s="163"/>
      <c r="E35" s="163"/>
      <c r="F35" s="163"/>
      <c r="G35" s="163"/>
      <c r="H35" s="163"/>
      <c r="I35" s="163"/>
      <c r="J35" s="163"/>
    </row>
    <row r="36" spans="1:10" ht="9" customHeight="1">
      <c r="A36" s="207" t="s">
        <v>101</v>
      </c>
      <c r="B36" s="163"/>
      <c r="C36" s="163"/>
      <c r="D36" s="163"/>
      <c r="E36" s="163"/>
      <c r="F36" s="163"/>
      <c r="G36" s="163"/>
      <c r="H36" s="163"/>
      <c r="I36" s="163"/>
      <c r="J36" s="163"/>
    </row>
    <row r="37" spans="1:10" ht="9" customHeight="1">
      <c r="A37" s="528" t="s">
        <v>355</v>
      </c>
      <c r="B37" s="528"/>
      <c r="C37" s="528"/>
      <c r="D37" s="528"/>
      <c r="E37" s="528"/>
      <c r="F37" s="528"/>
      <c r="G37" s="528"/>
      <c r="H37" s="528"/>
      <c r="I37" s="528"/>
      <c r="J37" s="528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="115" zoomScaleNormal="115" workbookViewId="0">
      <selection activeCell="F1" sqref="F1"/>
    </sheetView>
  </sheetViews>
  <sheetFormatPr baseColWidth="10" defaultColWidth="10.7109375" defaultRowHeight="17.25" customHeight="1"/>
  <cols>
    <col min="1" max="1" width="12.28515625" style="204" customWidth="1"/>
    <col min="2" max="9" width="13.7109375" style="204" customWidth="1"/>
    <col min="10" max="16384" width="10.7109375" style="204"/>
  </cols>
  <sheetData>
    <row r="1" spans="1:9" ht="21.95" customHeight="1">
      <c r="A1" s="223" t="s">
        <v>317</v>
      </c>
      <c r="B1" s="218"/>
      <c r="C1" s="44"/>
      <c r="D1" s="44"/>
    </row>
    <row r="2" spans="1:9" ht="13.5">
      <c r="A2" s="23" t="s">
        <v>511</v>
      </c>
      <c r="B2" s="24"/>
    </row>
    <row r="3" spans="1:9" ht="3.95" customHeight="1">
      <c r="A3" s="76"/>
    </row>
    <row r="4" spans="1:9" ht="15.95" customHeight="1">
      <c r="A4" s="394" t="s">
        <v>57</v>
      </c>
      <c r="B4" s="402" t="s">
        <v>190</v>
      </c>
      <c r="C4" s="402" t="s">
        <v>117</v>
      </c>
      <c r="D4" s="402" t="s">
        <v>470</v>
      </c>
      <c r="E4" s="402" t="s">
        <v>471</v>
      </c>
      <c r="F4" s="402" t="s">
        <v>472</v>
      </c>
      <c r="G4" s="402" t="s">
        <v>413</v>
      </c>
      <c r="H4" s="402" t="s">
        <v>414</v>
      </c>
      <c r="I4" s="402" t="s">
        <v>469</v>
      </c>
    </row>
    <row r="5" spans="1:9" ht="15.95" customHeight="1">
      <c r="A5" s="166" t="s">
        <v>179</v>
      </c>
      <c r="B5" s="167">
        <v>0.22819114628422899</v>
      </c>
      <c r="C5" s="167">
        <v>1.4815288024354833</v>
      </c>
      <c r="D5" s="167">
        <v>0.36023696740801192</v>
      </c>
      <c r="E5" s="167">
        <v>6.8090492875480635</v>
      </c>
      <c r="F5" s="167">
        <v>-7.3193022051337486</v>
      </c>
      <c r="G5" s="167">
        <v>-0.3588303621029354</v>
      </c>
      <c r="H5" s="167">
        <v>3.4275069216266107</v>
      </c>
      <c r="I5" s="167">
        <v>-0.59465606683462013</v>
      </c>
    </row>
    <row r="6" spans="1:9" ht="13.5" customHeight="1">
      <c r="A6" s="25" t="s">
        <v>253</v>
      </c>
      <c r="B6" s="168">
        <v>-84.946236559139791</v>
      </c>
      <c r="C6" s="168">
        <v>85.714285714285722</v>
      </c>
      <c r="D6" s="168">
        <v>138.46153846153845</v>
      </c>
      <c r="E6" s="168">
        <v>-6.4516129032258114</v>
      </c>
      <c r="F6" s="168">
        <v>-56.896551724137936</v>
      </c>
      <c r="G6" s="168">
        <v>-36</v>
      </c>
      <c r="H6" s="168">
        <v>50</v>
      </c>
      <c r="I6" s="168">
        <v>91.666666666666671</v>
      </c>
    </row>
    <row r="7" spans="1:9" ht="13.5" customHeight="1">
      <c r="A7" s="25" t="s">
        <v>225</v>
      </c>
      <c r="B7" s="168">
        <v>-16.5650126139661</v>
      </c>
      <c r="C7" s="168">
        <v>12.317703768624</v>
      </c>
      <c r="D7" s="168">
        <v>-9.9950024810252067</v>
      </c>
      <c r="E7" s="168">
        <v>11.772540983606561</v>
      </c>
      <c r="F7" s="168">
        <v>3.7886854185323227</v>
      </c>
      <c r="G7" s="168">
        <v>-5.8784564168761433</v>
      </c>
      <c r="H7" s="168">
        <v>-2.9432464134259706</v>
      </c>
      <c r="I7" s="168">
        <v>16.876580395656692</v>
      </c>
    </row>
    <row r="8" spans="1:9" ht="13.5" customHeight="1">
      <c r="A8" s="25" t="s">
        <v>193</v>
      </c>
      <c r="B8" s="168">
        <v>2.1721769685353776</v>
      </c>
      <c r="C8" s="168">
        <v>-0.57652024386432021</v>
      </c>
      <c r="D8" s="168">
        <v>-4.70462821456199</v>
      </c>
      <c r="E8" s="168">
        <v>22.71048854130575</v>
      </c>
      <c r="F8" s="168">
        <v>-6.0150375939849727</v>
      </c>
      <c r="G8" s="168">
        <v>-1.9871244635193186</v>
      </c>
      <c r="H8" s="168">
        <v>-2.898804571528657</v>
      </c>
      <c r="I8" s="168">
        <v>-8.5095828635851198</v>
      </c>
    </row>
    <row r="9" spans="1:9" ht="13.5" customHeight="1">
      <c r="A9" s="25" t="s">
        <v>277</v>
      </c>
      <c r="B9" s="168">
        <v>9.7109294284591918</v>
      </c>
      <c r="C9" s="168">
        <v>3.1457664805316199</v>
      </c>
      <c r="D9" s="168">
        <v>13.934888050560978</v>
      </c>
      <c r="E9" s="168">
        <v>-2.6388019909482807</v>
      </c>
      <c r="F9" s="168">
        <v>-13.141921569995752</v>
      </c>
      <c r="G9" s="168">
        <v>6.7321602457026231</v>
      </c>
      <c r="H9" s="168">
        <v>4.6903287279656869</v>
      </c>
      <c r="I9" s="168">
        <v>-6.7475938019067598</v>
      </c>
    </row>
    <row r="10" spans="1:9" ht="13.5" customHeight="1">
      <c r="A10" s="25" t="s">
        <v>149</v>
      </c>
      <c r="B10" s="168">
        <v>-84.810126582278471</v>
      </c>
      <c r="C10" s="168">
        <v>66.666666666666671</v>
      </c>
      <c r="D10" s="168">
        <v>-50</v>
      </c>
      <c r="E10" s="168">
        <v>2620</v>
      </c>
      <c r="F10" s="168">
        <v>-88.60294117647058</v>
      </c>
      <c r="G10" s="168">
        <v>-70.967741935483872</v>
      </c>
      <c r="H10" s="168">
        <v>66.666666666666671</v>
      </c>
      <c r="I10" s="168">
        <v>233.33333333333334</v>
      </c>
    </row>
    <row r="11" spans="1:9" ht="13.5" customHeight="1">
      <c r="A11" s="25" t="s">
        <v>62</v>
      </c>
      <c r="B11" s="168">
        <v>401.80995475113122</v>
      </c>
      <c r="C11" s="168">
        <v>-67.682596934174938</v>
      </c>
      <c r="D11" s="168">
        <v>-1.6741071428571397</v>
      </c>
      <c r="E11" s="168">
        <v>-27.468785471055625</v>
      </c>
      <c r="F11" s="168">
        <v>99.061032863849775</v>
      </c>
      <c r="G11" s="168">
        <v>-2.515723270440251</v>
      </c>
      <c r="H11" s="168">
        <v>8.2661290322580747</v>
      </c>
      <c r="I11" s="168">
        <v>8.677839851024217</v>
      </c>
    </row>
    <row r="12" spans="1:9" ht="13.5" customHeight="1">
      <c r="A12" s="25" t="s">
        <v>211</v>
      </c>
      <c r="B12" s="168">
        <v>-0.98941555453290198</v>
      </c>
      <c r="C12" s="168">
        <v>6.1352544736230419</v>
      </c>
      <c r="D12" s="168">
        <v>1.3794613531858957</v>
      </c>
      <c r="E12" s="168">
        <v>25.896328293736492</v>
      </c>
      <c r="F12" s="168">
        <v>-16.572310859495619</v>
      </c>
      <c r="G12" s="168">
        <v>-11.114538350812253</v>
      </c>
      <c r="H12" s="168">
        <v>23.944476576055518</v>
      </c>
      <c r="I12" s="168">
        <v>-17.965468968735422</v>
      </c>
    </row>
    <row r="13" spans="1:9" ht="13.5" customHeight="1">
      <c r="A13" s="25" t="s">
        <v>265</v>
      </c>
      <c r="B13" s="250" t="s">
        <v>475</v>
      </c>
      <c r="C13" s="250">
        <v>-67.21311475409837</v>
      </c>
      <c r="D13" s="250">
        <v>0</v>
      </c>
      <c r="E13" s="250">
        <v>-90</v>
      </c>
      <c r="F13" s="250">
        <v>3800</v>
      </c>
      <c r="G13" s="250">
        <v>-100</v>
      </c>
      <c r="H13" s="250" t="s">
        <v>475</v>
      </c>
      <c r="I13" s="250">
        <v>2770</v>
      </c>
    </row>
    <row r="14" spans="1:9" ht="13.5" customHeight="1">
      <c r="A14" s="25" t="s">
        <v>212</v>
      </c>
      <c r="B14" s="168">
        <v>-57.046568627450988</v>
      </c>
      <c r="C14" s="168">
        <v>138.37375178316691</v>
      </c>
      <c r="D14" s="168">
        <v>-45.541591861160981</v>
      </c>
      <c r="E14" s="168">
        <v>-21.263736263736256</v>
      </c>
      <c r="F14" s="168">
        <v>-39.148639218422886</v>
      </c>
      <c r="G14" s="168">
        <v>-7.7981651376146761</v>
      </c>
      <c r="H14" s="168">
        <v>7.4626865671641784</v>
      </c>
      <c r="I14" s="168">
        <v>31.25</v>
      </c>
    </row>
    <row r="15" spans="1:9" ht="13.5" customHeight="1">
      <c r="A15" s="25" t="s">
        <v>147</v>
      </c>
      <c r="B15" s="168">
        <v>-3.5813768404297619</v>
      </c>
      <c r="C15" s="168">
        <v>17.643417251341308</v>
      </c>
      <c r="D15" s="168">
        <v>-12.050517453078413</v>
      </c>
      <c r="E15" s="168">
        <v>-18.169126445951335</v>
      </c>
      <c r="F15" s="168">
        <v>21.618328052644408</v>
      </c>
      <c r="G15" s="168">
        <v>-12.07414829659319</v>
      </c>
      <c r="H15" s="168">
        <v>9.8005698005698036</v>
      </c>
      <c r="I15" s="168">
        <v>-3.7882719252724462</v>
      </c>
    </row>
    <row r="16" spans="1:9" ht="13.5" customHeight="1">
      <c r="A16" s="25" t="s">
        <v>263</v>
      </c>
      <c r="B16" s="168">
        <v>-6.3132817153067293</v>
      </c>
      <c r="C16" s="168">
        <v>-2.2822631913541058</v>
      </c>
      <c r="D16" s="168">
        <v>-4.6646281959534015</v>
      </c>
      <c r="E16" s="168">
        <v>12.460761566807687</v>
      </c>
      <c r="F16" s="168">
        <v>-20.315533980582522</v>
      </c>
      <c r="G16" s="168">
        <v>23.895826987511427</v>
      </c>
      <c r="H16" s="168">
        <v>8.1130915795943448</v>
      </c>
      <c r="I16" s="168">
        <v>-21.944286526435477</v>
      </c>
    </row>
    <row r="17" spans="1:9" ht="13.5" customHeight="1">
      <c r="A17" s="25" t="s">
        <v>262</v>
      </c>
      <c r="B17" s="168">
        <v>0.97398079866426457</v>
      </c>
      <c r="C17" s="168">
        <v>7.1034862891001804</v>
      </c>
      <c r="D17" s="168">
        <v>-26.413637825667415</v>
      </c>
      <c r="E17" s="168">
        <v>0.11364629775330037</v>
      </c>
      <c r="F17" s="168">
        <v>1.117708697170805</v>
      </c>
      <c r="G17" s="168">
        <v>8.6701208981001763</v>
      </c>
      <c r="H17" s="168">
        <v>12.158296249205346</v>
      </c>
      <c r="I17" s="168">
        <v>-17.599546549525304</v>
      </c>
    </row>
    <row r="18" spans="1:9" ht="13.5" customHeight="1">
      <c r="A18" s="25" t="s">
        <v>259</v>
      </c>
      <c r="B18" s="168">
        <v>12.410501193317414</v>
      </c>
      <c r="C18" s="168">
        <v>43.312101910828019</v>
      </c>
      <c r="D18" s="168">
        <v>-10.666666666666668</v>
      </c>
      <c r="E18" s="168">
        <v>146.10281923714757</v>
      </c>
      <c r="F18" s="168">
        <v>-70.619946091644209</v>
      </c>
      <c r="G18" s="168">
        <v>20.366972477064206</v>
      </c>
      <c r="H18" s="168">
        <v>-8.0030487804877986</v>
      </c>
      <c r="I18" s="168">
        <v>0.66280033140015959</v>
      </c>
    </row>
    <row r="19" spans="1:9" ht="13.5" customHeight="1">
      <c r="A19" s="25" t="s">
        <v>285</v>
      </c>
      <c r="B19" s="168">
        <v>6.6615022110325661</v>
      </c>
      <c r="C19" s="168">
        <v>1.1959521619135272</v>
      </c>
      <c r="D19" s="168">
        <v>-19.377990430622006</v>
      </c>
      <c r="E19" s="168">
        <v>17.692878338278927</v>
      </c>
      <c r="F19" s="168">
        <v>15.600378190986453</v>
      </c>
      <c r="G19" s="168">
        <v>-9.9345692475463547</v>
      </c>
      <c r="H19" s="168">
        <v>10.540016951204745</v>
      </c>
      <c r="I19" s="168">
        <v>-7.771509940303412</v>
      </c>
    </row>
    <row r="20" spans="1:9" ht="13.5" customHeight="1">
      <c r="A20" s="25" t="s">
        <v>278</v>
      </c>
      <c r="B20" s="168">
        <v>5.6546643266282226</v>
      </c>
      <c r="C20" s="168">
        <v>-8.3146231495171854</v>
      </c>
      <c r="D20" s="168">
        <v>-1.3438719439356483</v>
      </c>
      <c r="E20" s="168">
        <v>9.4282889027909498</v>
      </c>
      <c r="F20" s="168">
        <v>-7.4301521438450919</v>
      </c>
      <c r="G20" s="168">
        <v>1.775280898876419</v>
      </c>
      <c r="H20" s="168">
        <v>4.9481748041384943</v>
      </c>
      <c r="I20" s="168">
        <v>0.25366035624359018</v>
      </c>
    </row>
    <row r="21" spans="1:9" ht="13.5" customHeight="1">
      <c r="A21" s="25" t="s">
        <v>284</v>
      </c>
      <c r="B21" s="168">
        <v>1.5985546409033935</v>
      </c>
      <c r="C21" s="168">
        <v>6.0356852509520387</v>
      </c>
      <c r="D21" s="168">
        <v>-6.8526648803951211</v>
      </c>
      <c r="E21" s="168">
        <v>11.703648509318377</v>
      </c>
      <c r="F21" s="168">
        <v>-0.687609075043627</v>
      </c>
      <c r="G21" s="168">
        <v>-7.3325601283988799</v>
      </c>
      <c r="H21" s="168">
        <v>4.4879898862199674</v>
      </c>
      <c r="I21" s="168">
        <v>-4.8880822746521506</v>
      </c>
    </row>
    <row r="22" spans="1:9" ht="13.5" customHeight="1">
      <c r="A22" s="25" t="s">
        <v>202</v>
      </c>
      <c r="B22" s="168">
        <v>-21.692809550249859</v>
      </c>
      <c r="C22" s="168">
        <v>18.324839352980284</v>
      </c>
      <c r="D22" s="168">
        <v>1.4794007490636751</v>
      </c>
      <c r="E22" s="168">
        <v>-0.83041151503967514</v>
      </c>
      <c r="F22" s="168">
        <v>-11.10532192035728</v>
      </c>
      <c r="G22" s="168">
        <v>-42.028803483211917</v>
      </c>
      <c r="H22" s="168">
        <v>18.776630317036179</v>
      </c>
      <c r="I22" s="168">
        <v>72.086094728521914</v>
      </c>
    </row>
    <row r="23" spans="1:9" ht="13.5" customHeight="1">
      <c r="A23" s="25" t="s">
        <v>264</v>
      </c>
      <c r="B23" s="168">
        <v>9.7848360655737654</v>
      </c>
      <c r="C23" s="168">
        <v>22.585160989267372</v>
      </c>
      <c r="D23" s="168">
        <v>17.167872097449568</v>
      </c>
      <c r="E23" s="168">
        <v>-16.114359974009098</v>
      </c>
      <c r="F23" s="168">
        <v>-23.508907823392722</v>
      </c>
      <c r="G23" s="168">
        <v>13.544303797468359</v>
      </c>
      <c r="H23" s="168">
        <v>12.530657748049045</v>
      </c>
      <c r="I23" s="168">
        <v>-6.8753715078264328</v>
      </c>
    </row>
    <row r="24" spans="1:9" ht="13.5" customHeight="1">
      <c r="A24" s="25" t="s">
        <v>297</v>
      </c>
      <c r="B24" s="168">
        <v>0.41739130434783611</v>
      </c>
      <c r="C24" s="168">
        <v>-7.2769888003694767</v>
      </c>
      <c r="D24" s="168">
        <v>5.0588115167468972</v>
      </c>
      <c r="E24" s="168">
        <v>-2.0741969894512269</v>
      </c>
      <c r="F24" s="168">
        <v>-9.5134350036310771</v>
      </c>
      <c r="G24" s="168">
        <v>-4.4341894060995202</v>
      </c>
      <c r="H24" s="168">
        <v>4.7169151095248107</v>
      </c>
      <c r="I24" s="168">
        <v>6.5895876495355221</v>
      </c>
    </row>
    <row r="25" spans="1:9" ht="13.5" customHeight="1">
      <c r="A25" s="25" t="s">
        <v>46</v>
      </c>
      <c r="B25" s="168">
        <v>-23.839662447257382</v>
      </c>
      <c r="C25" s="168">
        <v>138.78116343490302</v>
      </c>
      <c r="D25" s="168">
        <v>-11.542923433874709</v>
      </c>
      <c r="E25" s="168">
        <v>25.508196721311482</v>
      </c>
      <c r="F25" s="168">
        <v>29.25809822361547</v>
      </c>
      <c r="G25" s="168">
        <v>-49.797898140662902</v>
      </c>
      <c r="H25" s="168">
        <v>52.173913043478272</v>
      </c>
      <c r="I25" s="168">
        <v>-9.5238095238095237</v>
      </c>
    </row>
    <row r="26" spans="1:9" ht="13.5" customHeight="1">
      <c r="A26" s="25" t="s">
        <v>250</v>
      </c>
      <c r="B26" s="168">
        <v>-6.8245671349232317</v>
      </c>
      <c r="C26" s="168">
        <v>6.6582518144525205</v>
      </c>
      <c r="D26" s="168">
        <v>4.8290598290598341</v>
      </c>
      <c r="E26" s="168">
        <v>-0.98780143623192762</v>
      </c>
      <c r="F26" s="168">
        <v>-14.937923608031923</v>
      </c>
      <c r="G26" s="168">
        <v>29.423810853579081</v>
      </c>
      <c r="H26" s="168">
        <v>-7.1058688147295772</v>
      </c>
      <c r="I26" s="168">
        <v>-12.836791576339424</v>
      </c>
    </row>
    <row r="27" spans="1:9" ht="13.5" customHeight="1">
      <c r="A27" s="25" t="s">
        <v>120</v>
      </c>
      <c r="B27" s="168">
        <v>-35.020080321285143</v>
      </c>
      <c r="C27" s="168">
        <v>124.72187886279356</v>
      </c>
      <c r="D27" s="168">
        <v>15.731573157315726</v>
      </c>
      <c r="E27" s="168">
        <v>45.722433460076047</v>
      </c>
      <c r="F27" s="168">
        <v>-66.666666666666671</v>
      </c>
      <c r="G27" s="168">
        <v>-90.606653620352247</v>
      </c>
      <c r="H27" s="168">
        <v>95.833333333333329</v>
      </c>
      <c r="I27" s="168">
        <v>88.297872340425542</v>
      </c>
    </row>
    <row r="28" spans="1:9" ht="13.5" customHeight="1">
      <c r="A28" s="25" t="s">
        <v>260</v>
      </c>
      <c r="B28" s="168">
        <v>-6.6131961259079937</v>
      </c>
      <c r="C28" s="168">
        <v>12.850429427969544</v>
      </c>
      <c r="D28" s="168">
        <v>-7.179781734635271</v>
      </c>
      <c r="E28" s="168">
        <v>-6.5748762376237613</v>
      </c>
      <c r="F28" s="168">
        <v>-20.384169564497434</v>
      </c>
      <c r="G28" s="168">
        <v>9.7129783693843628</v>
      </c>
      <c r="H28" s="168">
        <v>43.848341232227497</v>
      </c>
      <c r="I28" s="168">
        <v>-20.669478123352658</v>
      </c>
    </row>
    <row r="29" spans="1:9" ht="13.5" customHeight="1">
      <c r="A29" s="25" t="s">
        <v>261</v>
      </c>
      <c r="B29" s="168">
        <v>1.2506130456105824</v>
      </c>
      <c r="C29" s="168">
        <v>-1.6226689271009898</v>
      </c>
      <c r="D29" s="168">
        <v>-4.4559330379123629</v>
      </c>
      <c r="E29" s="168">
        <v>11.85261530533368</v>
      </c>
      <c r="F29" s="168">
        <v>-15.388159410274127</v>
      </c>
      <c r="G29" s="168">
        <v>22.371358562482978</v>
      </c>
      <c r="H29" s="168">
        <v>5.6422008142923863</v>
      </c>
      <c r="I29" s="168">
        <v>10.123623191457988</v>
      </c>
    </row>
    <row r="30" spans="1:9" ht="13.5" customHeight="1">
      <c r="A30" s="25" t="s">
        <v>47</v>
      </c>
      <c r="B30" s="168">
        <v>-11.696142728374726</v>
      </c>
      <c r="C30" s="168">
        <v>6.5997888067581778</v>
      </c>
      <c r="D30" s="168">
        <v>10.780914644213313</v>
      </c>
      <c r="E30" s="168">
        <v>-5.1564828614008906</v>
      </c>
      <c r="F30" s="168">
        <v>-3.0798240100565644</v>
      </c>
      <c r="G30" s="168">
        <v>-9.1277561608300921</v>
      </c>
      <c r="H30" s="168">
        <v>6.0124888492417483</v>
      </c>
      <c r="I30" s="168">
        <v>-1.8175698418041009</v>
      </c>
    </row>
    <row r="31" spans="1:9" ht="13.5" customHeight="1">
      <c r="A31" s="25" t="s">
        <v>48</v>
      </c>
      <c r="B31" s="168">
        <v>-8.2621951219512209</v>
      </c>
      <c r="C31" s="168">
        <v>-5.6164838816882607</v>
      </c>
      <c r="D31" s="168">
        <v>19.014084507042249</v>
      </c>
      <c r="E31" s="168">
        <v>-30.177514792899409</v>
      </c>
      <c r="F31" s="168">
        <v>-9.322033898305083</v>
      </c>
      <c r="G31" s="168">
        <v>34.579439252336442</v>
      </c>
      <c r="H31" s="168">
        <v>1.388888888888884</v>
      </c>
      <c r="I31" s="168">
        <v>75.342465753424648</v>
      </c>
    </row>
    <row r="32" spans="1:9" ht="13.5" customHeight="1">
      <c r="A32" s="25" t="s">
        <v>49</v>
      </c>
      <c r="B32" s="168">
        <v>-3.3063063063063058</v>
      </c>
      <c r="C32" s="168">
        <v>-16.612317152706602</v>
      </c>
      <c r="D32" s="168">
        <v>29.05027932960893</v>
      </c>
      <c r="E32" s="168">
        <v>41.991341991342004</v>
      </c>
      <c r="F32" s="168">
        <v>17.378048780487809</v>
      </c>
      <c r="G32" s="168">
        <v>-32.467532467532465</v>
      </c>
      <c r="H32" s="168">
        <v>2.3076923076922995</v>
      </c>
      <c r="I32" s="168">
        <v>101.8796992481203</v>
      </c>
    </row>
    <row r="33" spans="1:9" ht="13.5" customHeight="1">
      <c r="A33" s="26" t="s">
        <v>282</v>
      </c>
      <c r="B33" s="169">
        <v>-36.166408186985691</v>
      </c>
      <c r="C33" s="169">
        <v>-41.1194311264343</v>
      </c>
      <c r="D33" s="169">
        <v>-30.054894784995422</v>
      </c>
      <c r="E33" s="169">
        <v>55.631131458469582</v>
      </c>
      <c r="F33" s="169">
        <v>-49.991595226088414</v>
      </c>
      <c r="G33" s="169">
        <v>23.277310924369754</v>
      </c>
      <c r="H33" s="169">
        <v>4.3626448534423989</v>
      </c>
      <c r="I33" s="169">
        <v>-50.881776616590457</v>
      </c>
    </row>
    <row r="34" spans="1:9" ht="9" customHeight="1">
      <c r="A34" s="207" t="s">
        <v>94</v>
      </c>
      <c r="B34" s="207"/>
      <c r="C34" s="207"/>
      <c r="D34" s="207"/>
      <c r="E34" s="207"/>
      <c r="F34" s="207"/>
      <c r="G34" s="207"/>
      <c r="H34" s="207"/>
      <c r="I34" s="207"/>
    </row>
    <row r="35" spans="1:9" ht="9" customHeight="1">
      <c r="A35" s="207" t="s">
        <v>101</v>
      </c>
      <c r="B35" s="207"/>
      <c r="C35" s="207"/>
      <c r="D35" s="207"/>
      <c r="E35" s="207"/>
      <c r="F35" s="207"/>
      <c r="G35" s="207"/>
    </row>
    <row r="36" spans="1:9" ht="9" customHeight="1">
      <c r="A36" s="170" t="s">
        <v>355</v>
      </c>
      <c r="B36" s="170"/>
      <c r="C36" s="170"/>
      <c r="D36" s="170"/>
      <c r="E36" s="170"/>
      <c r="F36" s="170"/>
      <c r="G36" s="170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="130" zoomScaleNormal="130" workbookViewId="0">
      <selection activeCell="A3" sqref="A3"/>
    </sheetView>
  </sheetViews>
  <sheetFormatPr baseColWidth="10" defaultColWidth="7" defaultRowHeight="17.25" customHeight="1"/>
  <cols>
    <col min="1" max="1" width="9.85546875" style="22" customWidth="1"/>
    <col min="2" max="2" width="7.28515625" style="22" customWidth="1"/>
    <col min="3" max="3" width="8" style="22" customWidth="1"/>
    <col min="4" max="10" width="6.7109375" style="22" customWidth="1"/>
    <col min="11" max="11" width="6.140625" style="22" customWidth="1"/>
    <col min="12" max="12" width="6.7109375" style="22" customWidth="1"/>
    <col min="13" max="13" width="10.28515625" style="22" customWidth="1"/>
    <col min="14" max="14" width="7.42578125" style="22" customWidth="1"/>
    <col min="15" max="16" width="6.7109375" style="22" customWidth="1"/>
    <col min="17" max="17" width="7.5703125" style="22" customWidth="1"/>
    <col min="18" max="24" width="6.7109375" style="22" customWidth="1"/>
    <col min="25" max="25" width="10" style="22" customWidth="1"/>
    <col min="26" max="26" width="7.42578125" style="22" customWidth="1"/>
    <col min="27" max="29" width="7" style="22" customWidth="1"/>
    <col min="30" max="30" width="7.140625" style="22" customWidth="1"/>
    <col min="31" max="31" width="7.42578125" style="22" customWidth="1"/>
    <col min="32" max="32" width="7.7109375" style="22" customWidth="1"/>
    <col min="33" max="33" width="7.85546875" style="22" customWidth="1"/>
    <col min="34" max="34" width="7.42578125" style="22" customWidth="1"/>
    <col min="35" max="35" width="7.7109375" style="22" customWidth="1"/>
    <col min="36" max="191" width="7" style="22"/>
    <col min="192" max="192" width="12" style="22" customWidth="1"/>
    <col min="193" max="193" width="6.140625" style="22" customWidth="1"/>
    <col min="194" max="194" width="8.28515625" style="22" customWidth="1"/>
    <col min="195" max="195" width="8.42578125" style="22" customWidth="1"/>
    <col min="196" max="196" width="7.7109375" style="22" customWidth="1"/>
    <col min="197" max="197" width="8.85546875" style="22" customWidth="1"/>
    <col min="198" max="198" width="6.28515625" style="22" customWidth="1"/>
    <col min="199" max="199" width="6.42578125" style="22" customWidth="1"/>
    <col min="200" max="201" width="6" style="22" customWidth="1"/>
    <col min="202" max="202" width="6.28515625" style="22" customWidth="1"/>
    <col min="203" max="203" width="4.85546875" style="22" customWidth="1"/>
    <col min="204" max="204" width="6.28515625" style="22" customWidth="1"/>
    <col min="205" max="205" width="6.85546875" style="22" customWidth="1"/>
    <col min="206" max="207" width="7" style="22" customWidth="1"/>
    <col min="208" max="208" width="6.85546875" style="22" customWidth="1"/>
    <col min="209" max="209" width="6.7109375" style="22" customWidth="1"/>
    <col min="210" max="210" width="5.42578125" style="22" customWidth="1"/>
    <col min="211" max="211" width="7" style="22" customWidth="1"/>
    <col min="212" max="212" width="7.42578125" style="22" customWidth="1"/>
    <col min="213" max="16384" width="7" style="22"/>
  </cols>
  <sheetData>
    <row r="1" spans="1:35" ht="16.5" customHeight="1">
      <c r="A1" s="223" t="s">
        <v>77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</row>
    <row r="2" spans="1:35" ht="11.25" customHeight="1">
      <c r="A2" s="17" t="s">
        <v>512</v>
      </c>
      <c r="B2" s="19"/>
    </row>
    <row r="3" spans="1:35" ht="13.5">
      <c r="A3" s="17" t="s">
        <v>428</v>
      </c>
      <c r="B3" s="19"/>
      <c r="M3" s="74" t="s">
        <v>243</v>
      </c>
      <c r="Y3" s="74" t="s">
        <v>243</v>
      </c>
    </row>
    <row r="4" spans="1:35" ht="3.9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35" ht="12" customHeight="1">
      <c r="A5" s="530" t="s">
        <v>50</v>
      </c>
      <c r="B5" s="530" t="s">
        <v>195</v>
      </c>
      <c r="C5" s="530" t="s">
        <v>485</v>
      </c>
      <c r="D5" s="530" t="s">
        <v>253</v>
      </c>
      <c r="E5" s="530" t="s">
        <v>72</v>
      </c>
      <c r="F5" s="530" t="s">
        <v>193</v>
      </c>
      <c r="G5" s="530" t="s">
        <v>277</v>
      </c>
      <c r="H5" s="530" t="s">
        <v>149</v>
      </c>
      <c r="I5" s="530" t="s">
        <v>62</v>
      </c>
      <c r="J5" s="530" t="s">
        <v>342</v>
      </c>
      <c r="K5" s="530" t="s">
        <v>265</v>
      </c>
      <c r="L5" s="530" t="s">
        <v>212</v>
      </c>
      <c r="M5" s="530" t="s">
        <v>50</v>
      </c>
      <c r="N5" s="530" t="s">
        <v>195</v>
      </c>
      <c r="O5" s="530" t="s">
        <v>147</v>
      </c>
      <c r="P5" s="530" t="s">
        <v>263</v>
      </c>
      <c r="Q5" s="530" t="s">
        <v>262</v>
      </c>
      <c r="R5" s="530" t="s">
        <v>259</v>
      </c>
      <c r="S5" s="530" t="s">
        <v>285</v>
      </c>
      <c r="T5" s="530" t="s">
        <v>278</v>
      </c>
      <c r="U5" s="530" t="s">
        <v>284</v>
      </c>
      <c r="V5" s="530" t="s">
        <v>202</v>
      </c>
      <c r="W5" s="530" t="s">
        <v>264</v>
      </c>
      <c r="X5" s="530" t="s">
        <v>297</v>
      </c>
      <c r="Y5" s="530" t="s">
        <v>50</v>
      </c>
      <c r="Z5" s="530" t="s">
        <v>195</v>
      </c>
      <c r="AA5" s="530" t="s">
        <v>46</v>
      </c>
      <c r="AB5" s="530" t="s">
        <v>73</v>
      </c>
      <c r="AC5" s="530" t="s">
        <v>74</v>
      </c>
      <c r="AD5" s="530" t="s">
        <v>416</v>
      </c>
      <c r="AE5" s="530" t="s">
        <v>76</v>
      </c>
      <c r="AF5" s="530" t="s">
        <v>415</v>
      </c>
      <c r="AG5" s="530" t="s">
        <v>48</v>
      </c>
      <c r="AH5" s="530" t="s">
        <v>49</v>
      </c>
      <c r="AI5" s="530" t="s">
        <v>282</v>
      </c>
    </row>
    <row r="6" spans="1:35" ht="12" customHeight="1">
      <c r="A6" s="530"/>
      <c r="B6" s="531"/>
      <c r="C6" s="531"/>
      <c r="D6" s="531"/>
      <c r="E6" s="531"/>
      <c r="F6" s="531"/>
      <c r="G6" s="531"/>
      <c r="H6" s="531"/>
      <c r="I6" s="531"/>
      <c r="J6" s="531"/>
      <c r="K6" s="531"/>
      <c r="L6" s="531"/>
      <c r="M6" s="531"/>
      <c r="N6" s="531"/>
      <c r="O6" s="531"/>
      <c r="P6" s="531"/>
      <c r="Q6" s="531"/>
      <c r="R6" s="531"/>
      <c r="S6" s="531"/>
      <c r="T6" s="531"/>
      <c r="U6" s="531"/>
      <c r="V6" s="531"/>
      <c r="W6" s="531"/>
      <c r="X6" s="531"/>
      <c r="Y6" s="531"/>
      <c r="Z6" s="531"/>
      <c r="AA6" s="531"/>
      <c r="AB6" s="531"/>
      <c r="AC6" s="531"/>
      <c r="AD6" s="531"/>
      <c r="AE6" s="531"/>
      <c r="AF6" s="531"/>
      <c r="AG6" s="531"/>
      <c r="AH6" s="531"/>
      <c r="AI6" s="531"/>
    </row>
    <row r="7" spans="1:35" ht="12" customHeight="1">
      <c r="A7" s="532" t="s">
        <v>303</v>
      </c>
      <c r="B7" s="403" t="s">
        <v>443</v>
      </c>
      <c r="C7" s="485">
        <v>153046.45000000001</v>
      </c>
      <c r="D7" s="410">
        <v>12</v>
      </c>
      <c r="E7" s="410">
        <v>26892</v>
      </c>
      <c r="F7" s="410">
        <v>16631.25</v>
      </c>
      <c r="G7" s="410">
        <v>43949</v>
      </c>
      <c r="H7" s="410">
        <v>15</v>
      </c>
      <c r="I7" s="410">
        <v>1342.5</v>
      </c>
      <c r="J7" s="404">
        <v>535.75</v>
      </c>
      <c r="K7" s="404">
        <v>10</v>
      </c>
      <c r="L7" s="404">
        <v>43.2</v>
      </c>
      <c r="M7" s="532" t="s">
        <v>123</v>
      </c>
      <c r="N7" s="403" t="s">
        <v>443</v>
      </c>
      <c r="O7" s="404">
        <v>481.75</v>
      </c>
      <c r="P7" s="404">
        <v>879.5</v>
      </c>
      <c r="Q7" s="404">
        <v>705.7</v>
      </c>
      <c r="R7" s="404">
        <v>241.4</v>
      </c>
      <c r="S7" s="404">
        <v>1825.9</v>
      </c>
      <c r="T7" s="410">
        <v>26807.5</v>
      </c>
      <c r="U7" s="410">
        <v>12397.5</v>
      </c>
      <c r="V7" s="404">
        <v>822.35</v>
      </c>
      <c r="W7" s="410">
        <v>1261.75</v>
      </c>
      <c r="X7" s="404">
        <v>3740.75</v>
      </c>
      <c r="Y7" s="532" t="s">
        <v>123</v>
      </c>
      <c r="Z7" s="403" t="s">
        <v>443</v>
      </c>
      <c r="AA7" s="404">
        <v>945</v>
      </c>
      <c r="AB7" s="410">
        <v>3229</v>
      </c>
      <c r="AC7" s="404">
        <v>94</v>
      </c>
      <c r="AD7" s="404">
        <v>3794</v>
      </c>
      <c r="AE7" s="404">
        <v>2374.15</v>
      </c>
      <c r="AF7" s="404">
        <v>2971</v>
      </c>
      <c r="AG7" s="404">
        <v>146</v>
      </c>
      <c r="AH7" s="410">
        <v>133</v>
      </c>
      <c r="AI7" s="404">
        <v>765.5</v>
      </c>
    </row>
    <row r="8" spans="1:35" ht="12" customHeight="1">
      <c r="A8" s="533"/>
      <c r="B8" s="405" t="s">
        <v>465</v>
      </c>
      <c r="C8" s="486">
        <v>152136.35</v>
      </c>
      <c r="D8" s="411">
        <v>23</v>
      </c>
      <c r="E8" s="411">
        <v>31430.45</v>
      </c>
      <c r="F8" s="411">
        <v>15216</v>
      </c>
      <c r="G8" s="411">
        <v>40983.5</v>
      </c>
      <c r="H8" s="411">
        <v>50</v>
      </c>
      <c r="I8" s="411">
        <v>1459</v>
      </c>
      <c r="J8" s="406">
        <v>439.5</v>
      </c>
      <c r="K8" s="406">
        <v>287</v>
      </c>
      <c r="L8" s="406">
        <v>56.7</v>
      </c>
      <c r="M8" s="533"/>
      <c r="N8" s="405" t="s">
        <v>465</v>
      </c>
      <c r="O8" s="406">
        <v>463.5</v>
      </c>
      <c r="P8" s="406">
        <v>686.5</v>
      </c>
      <c r="Q8" s="406">
        <v>581.5</v>
      </c>
      <c r="R8" s="406">
        <v>243</v>
      </c>
      <c r="S8" s="406">
        <v>1684</v>
      </c>
      <c r="T8" s="411">
        <v>26875.5</v>
      </c>
      <c r="U8" s="411">
        <v>11791.5</v>
      </c>
      <c r="V8" s="406">
        <v>1415.15</v>
      </c>
      <c r="W8" s="411">
        <v>1175</v>
      </c>
      <c r="X8" s="406">
        <v>3987.25</v>
      </c>
      <c r="Y8" s="533"/>
      <c r="Z8" s="405" t="s">
        <v>465</v>
      </c>
      <c r="AA8" s="406">
        <v>855</v>
      </c>
      <c r="AB8" s="411">
        <v>2814.5</v>
      </c>
      <c r="AC8" s="406">
        <v>177</v>
      </c>
      <c r="AD8" s="406">
        <v>3009.8</v>
      </c>
      <c r="AE8" s="406">
        <v>2614.5</v>
      </c>
      <c r="AF8" s="406">
        <v>2917</v>
      </c>
      <c r="AG8" s="406">
        <v>256</v>
      </c>
      <c r="AH8" s="411">
        <v>268.5</v>
      </c>
      <c r="AI8" s="406">
        <v>376</v>
      </c>
    </row>
    <row r="9" spans="1:35" ht="12" customHeight="1">
      <c r="A9" s="13" t="s">
        <v>24</v>
      </c>
      <c r="B9" s="20" t="s">
        <v>346</v>
      </c>
      <c r="C9" s="407">
        <v>8488</v>
      </c>
      <c r="D9" s="196">
        <v>0</v>
      </c>
      <c r="E9" s="196">
        <v>551</v>
      </c>
      <c r="F9" s="196">
        <v>380</v>
      </c>
      <c r="G9" s="196">
        <v>4445</v>
      </c>
      <c r="H9" s="196">
        <v>0</v>
      </c>
      <c r="I9" s="196">
        <v>0</v>
      </c>
      <c r="J9" s="172">
        <v>5.5</v>
      </c>
      <c r="K9" s="172">
        <v>0</v>
      </c>
      <c r="L9" s="172">
        <v>0</v>
      </c>
      <c r="M9" s="13" t="s">
        <v>24</v>
      </c>
      <c r="N9" s="20" t="s">
        <v>346</v>
      </c>
      <c r="O9" s="172">
        <v>1</v>
      </c>
      <c r="P9" s="172">
        <v>0</v>
      </c>
      <c r="Q9" s="172">
        <v>10.5</v>
      </c>
      <c r="R9" s="172">
        <v>0</v>
      </c>
      <c r="S9" s="172">
        <v>0</v>
      </c>
      <c r="T9" s="196">
        <v>168.5</v>
      </c>
      <c r="U9" s="196">
        <v>1297</v>
      </c>
      <c r="V9" s="172">
        <v>0</v>
      </c>
      <c r="W9" s="196">
        <v>4</v>
      </c>
      <c r="X9" s="172">
        <v>13.5</v>
      </c>
      <c r="Y9" s="13" t="s">
        <v>24</v>
      </c>
      <c r="Z9" s="20" t="s">
        <v>346</v>
      </c>
      <c r="AA9" s="172">
        <v>0</v>
      </c>
      <c r="AB9" s="196">
        <v>610</v>
      </c>
      <c r="AC9" s="172">
        <v>0</v>
      </c>
      <c r="AD9" s="172">
        <v>967.5</v>
      </c>
      <c r="AE9" s="172">
        <v>34.5</v>
      </c>
      <c r="AF9" s="172">
        <v>0</v>
      </c>
      <c r="AG9" s="172">
        <v>0</v>
      </c>
      <c r="AH9" s="196">
        <v>0</v>
      </c>
      <c r="AI9" s="172">
        <v>0</v>
      </c>
    </row>
    <row r="10" spans="1:35" ht="12" customHeight="1">
      <c r="A10" s="13"/>
      <c r="B10" s="20" t="s">
        <v>466</v>
      </c>
      <c r="C10" s="407">
        <v>2854</v>
      </c>
      <c r="D10" s="196">
        <v>0</v>
      </c>
      <c r="E10" s="196">
        <v>618</v>
      </c>
      <c r="F10" s="196">
        <v>502</v>
      </c>
      <c r="G10" s="196">
        <v>616.5</v>
      </c>
      <c r="H10" s="196">
        <v>0</v>
      </c>
      <c r="I10" s="196">
        <v>0</v>
      </c>
      <c r="J10" s="172">
        <v>0</v>
      </c>
      <c r="K10" s="172">
        <v>0</v>
      </c>
      <c r="L10" s="172">
        <v>0</v>
      </c>
      <c r="M10" s="13"/>
      <c r="N10" s="20" t="s">
        <v>466</v>
      </c>
      <c r="O10" s="172">
        <v>1</v>
      </c>
      <c r="P10" s="172">
        <v>0</v>
      </c>
      <c r="Q10" s="172">
        <v>6.5</v>
      </c>
      <c r="R10" s="172">
        <v>0</v>
      </c>
      <c r="S10" s="172">
        <v>0</v>
      </c>
      <c r="T10" s="196">
        <v>49</v>
      </c>
      <c r="U10" s="196">
        <v>467</v>
      </c>
      <c r="V10" s="172">
        <v>0</v>
      </c>
      <c r="W10" s="196">
        <v>0</v>
      </c>
      <c r="X10" s="172">
        <v>2</v>
      </c>
      <c r="Y10" s="13"/>
      <c r="Z10" s="20" t="s">
        <v>466</v>
      </c>
      <c r="AA10" s="172">
        <v>0</v>
      </c>
      <c r="AB10" s="196">
        <v>574</v>
      </c>
      <c r="AC10" s="172">
        <v>0</v>
      </c>
      <c r="AD10" s="172">
        <v>0</v>
      </c>
      <c r="AE10" s="172">
        <v>18</v>
      </c>
      <c r="AF10" s="172">
        <v>0</v>
      </c>
      <c r="AG10" s="172">
        <v>0</v>
      </c>
      <c r="AH10" s="196">
        <v>0</v>
      </c>
      <c r="AI10" s="172">
        <v>0</v>
      </c>
    </row>
    <row r="11" spans="1:35" ht="12" customHeight="1">
      <c r="A11" s="13" t="s">
        <v>25</v>
      </c>
      <c r="B11" s="20" t="s">
        <v>346</v>
      </c>
      <c r="C11" s="407">
        <v>3519</v>
      </c>
      <c r="D11" s="196">
        <v>0</v>
      </c>
      <c r="E11" s="196">
        <v>1204</v>
      </c>
      <c r="F11" s="196">
        <v>387</v>
      </c>
      <c r="G11" s="196">
        <v>0</v>
      </c>
      <c r="H11" s="196">
        <v>0</v>
      </c>
      <c r="I11" s="196">
        <v>0</v>
      </c>
      <c r="J11" s="172">
        <v>12</v>
      </c>
      <c r="K11" s="172">
        <v>0</v>
      </c>
      <c r="L11" s="172">
        <v>0</v>
      </c>
      <c r="M11" s="13" t="s">
        <v>25</v>
      </c>
      <c r="N11" s="20" t="s">
        <v>346</v>
      </c>
      <c r="O11" s="172">
        <v>8</v>
      </c>
      <c r="P11" s="172">
        <v>14</v>
      </c>
      <c r="Q11" s="172">
        <v>18</v>
      </c>
      <c r="R11" s="172">
        <v>0</v>
      </c>
      <c r="S11" s="172">
        <v>20</v>
      </c>
      <c r="T11" s="196">
        <v>763</v>
      </c>
      <c r="U11" s="196">
        <v>14</v>
      </c>
      <c r="V11" s="172">
        <v>100</v>
      </c>
      <c r="W11" s="196">
        <v>86</v>
      </c>
      <c r="X11" s="172">
        <v>146</v>
      </c>
      <c r="Y11" s="13" t="s">
        <v>25</v>
      </c>
      <c r="Z11" s="20" t="s">
        <v>346</v>
      </c>
      <c r="AA11" s="172">
        <v>95</v>
      </c>
      <c r="AB11" s="196">
        <v>26</v>
      </c>
      <c r="AC11" s="172">
        <v>12</v>
      </c>
      <c r="AD11" s="172">
        <v>4</v>
      </c>
      <c r="AE11" s="172">
        <v>99</v>
      </c>
      <c r="AF11" s="172">
        <v>66</v>
      </c>
      <c r="AG11" s="172">
        <v>0</v>
      </c>
      <c r="AH11" s="196">
        <v>0</v>
      </c>
      <c r="AI11" s="172">
        <v>445</v>
      </c>
    </row>
    <row r="12" spans="1:35" ht="12" customHeight="1">
      <c r="A12" s="13"/>
      <c r="B12" s="20" t="s">
        <v>466</v>
      </c>
      <c r="C12" s="407">
        <v>3170</v>
      </c>
      <c r="D12" s="196">
        <v>0</v>
      </c>
      <c r="E12" s="196">
        <v>1078</v>
      </c>
      <c r="F12" s="196">
        <v>481</v>
      </c>
      <c r="G12" s="196">
        <v>0</v>
      </c>
      <c r="H12" s="196">
        <v>0</v>
      </c>
      <c r="I12" s="196">
        <v>0</v>
      </c>
      <c r="J12" s="172">
        <v>27</v>
      </c>
      <c r="K12" s="172">
        <v>0</v>
      </c>
      <c r="L12" s="172">
        <v>0</v>
      </c>
      <c r="M12" s="13"/>
      <c r="N12" s="20" t="s">
        <v>466</v>
      </c>
      <c r="O12" s="172">
        <v>3</v>
      </c>
      <c r="P12" s="172">
        <v>24</v>
      </c>
      <c r="Q12" s="172">
        <v>20</v>
      </c>
      <c r="R12" s="172">
        <v>0</v>
      </c>
      <c r="S12" s="172">
        <v>32</v>
      </c>
      <c r="T12" s="196">
        <v>847</v>
      </c>
      <c r="U12" s="196">
        <v>20</v>
      </c>
      <c r="V12" s="172">
        <v>78</v>
      </c>
      <c r="W12" s="196">
        <v>91</v>
      </c>
      <c r="X12" s="172">
        <v>139</v>
      </c>
      <c r="Y12" s="13"/>
      <c r="Z12" s="20" t="s">
        <v>466</v>
      </c>
      <c r="AA12" s="172">
        <v>28</v>
      </c>
      <c r="AB12" s="196">
        <v>16</v>
      </c>
      <c r="AC12" s="172">
        <v>12</v>
      </c>
      <c r="AD12" s="172">
        <v>12</v>
      </c>
      <c r="AE12" s="172">
        <v>110</v>
      </c>
      <c r="AF12" s="172">
        <v>44</v>
      </c>
      <c r="AG12" s="172">
        <v>0</v>
      </c>
      <c r="AH12" s="196">
        <v>0</v>
      </c>
      <c r="AI12" s="172">
        <v>108</v>
      </c>
    </row>
    <row r="13" spans="1:35" ht="12" customHeight="1">
      <c r="A13" s="13" t="s">
        <v>26</v>
      </c>
      <c r="B13" s="20" t="s">
        <v>346</v>
      </c>
      <c r="C13" s="407">
        <v>2109.4</v>
      </c>
      <c r="D13" s="196">
        <v>0</v>
      </c>
      <c r="E13" s="196">
        <v>17</v>
      </c>
      <c r="F13" s="196">
        <v>605</v>
      </c>
      <c r="G13" s="196">
        <v>0</v>
      </c>
      <c r="H13" s="196">
        <v>0</v>
      </c>
      <c r="I13" s="196">
        <v>0</v>
      </c>
      <c r="J13" s="172">
        <v>3</v>
      </c>
      <c r="K13" s="172">
        <v>0</v>
      </c>
      <c r="L13" s="172">
        <v>0</v>
      </c>
      <c r="M13" s="13" t="s">
        <v>26</v>
      </c>
      <c r="N13" s="20" t="s">
        <v>346</v>
      </c>
      <c r="O13" s="172">
        <v>8</v>
      </c>
      <c r="P13" s="172">
        <v>6</v>
      </c>
      <c r="Q13" s="172">
        <v>7.7</v>
      </c>
      <c r="R13" s="172">
        <v>0.4</v>
      </c>
      <c r="S13" s="172">
        <v>4.9000000000000004</v>
      </c>
      <c r="T13" s="196">
        <v>1062.5</v>
      </c>
      <c r="U13" s="196">
        <v>1</v>
      </c>
      <c r="V13" s="172">
        <v>3</v>
      </c>
      <c r="W13" s="196">
        <v>9</v>
      </c>
      <c r="X13" s="172">
        <v>225</v>
      </c>
      <c r="Y13" s="13" t="s">
        <v>26</v>
      </c>
      <c r="Z13" s="20" t="s">
        <v>346</v>
      </c>
      <c r="AA13" s="172">
        <v>0</v>
      </c>
      <c r="AB13" s="196">
        <v>31</v>
      </c>
      <c r="AC13" s="172">
        <v>1</v>
      </c>
      <c r="AD13" s="172">
        <v>52.5</v>
      </c>
      <c r="AE13" s="172">
        <v>48.400000000000006</v>
      </c>
      <c r="AF13" s="172">
        <v>0</v>
      </c>
      <c r="AG13" s="172">
        <v>11</v>
      </c>
      <c r="AH13" s="196">
        <v>13</v>
      </c>
      <c r="AI13" s="172">
        <v>0</v>
      </c>
    </row>
    <row r="14" spans="1:35" ht="12" customHeight="1">
      <c r="A14" s="13"/>
      <c r="B14" s="20" t="s">
        <v>466</v>
      </c>
      <c r="C14" s="407">
        <v>2392.8000000000002</v>
      </c>
      <c r="D14" s="196">
        <v>0</v>
      </c>
      <c r="E14" s="196">
        <v>10</v>
      </c>
      <c r="F14" s="196">
        <v>537</v>
      </c>
      <c r="G14" s="196">
        <v>0</v>
      </c>
      <c r="H14" s="196">
        <v>0</v>
      </c>
      <c r="I14" s="196">
        <v>0</v>
      </c>
      <c r="J14" s="172">
        <v>3</v>
      </c>
      <c r="K14" s="172">
        <v>0</v>
      </c>
      <c r="L14" s="172">
        <v>0</v>
      </c>
      <c r="M14" s="13"/>
      <c r="N14" s="20" t="s">
        <v>466</v>
      </c>
      <c r="O14" s="172">
        <v>10</v>
      </c>
      <c r="P14" s="172">
        <v>32</v>
      </c>
      <c r="Q14" s="172">
        <v>9</v>
      </c>
      <c r="R14" s="172">
        <v>0</v>
      </c>
      <c r="S14" s="172">
        <v>3</v>
      </c>
      <c r="T14" s="196">
        <v>1049</v>
      </c>
      <c r="U14" s="196">
        <v>0</v>
      </c>
      <c r="V14" s="172">
        <v>5</v>
      </c>
      <c r="W14" s="196">
        <v>4</v>
      </c>
      <c r="X14" s="172">
        <v>329</v>
      </c>
      <c r="Y14" s="13"/>
      <c r="Z14" s="20" t="s">
        <v>466</v>
      </c>
      <c r="AA14" s="172">
        <v>0</v>
      </c>
      <c r="AB14" s="196">
        <v>28</v>
      </c>
      <c r="AC14" s="172">
        <v>1</v>
      </c>
      <c r="AD14" s="172">
        <v>70.8</v>
      </c>
      <c r="AE14" s="172">
        <v>46</v>
      </c>
      <c r="AF14" s="172">
        <v>0</v>
      </c>
      <c r="AG14" s="172">
        <v>128</v>
      </c>
      <c r="AH14" s="196">
        <v>128</v>
      </c>
      <c r="AI14" s="172">
        <v>0</v>
      </c>
    </row>
    <row r="15" spans="1:35" ht="12" customHeight="1">
      <c r="A15" s="13" t="s">
        <v>27</v>
      </c>
      <c r="B15" s="20" t="s">
        <v>346</v>
      </c>
      <c r="C15" s="407">
        <v>4364</v>
      </c>
      <c r="D15" s="196">
        <v>0</v>
      </c>
      <c r="E15" s="196">
        <v>24</v>
      </c>
      <c r="F15" s="196">
        <v>231</v>
      </c>
      <c r="G15" s="196">
        <v>0</v>
      </c>
      <c r="H15" s="196">
        <v>3</v>
      </c>
      <c r="I15" s="196">
        <v>179</v>
      </c>
      <c r="J15" s="172">
        <v>20</v>
      </c>
      <c r="K15" s="172">
        <v>0</v>
      </c>
      <c r="L15" s="172">
        <v>0</v>
      </c>
      <c r="M15" s="13" t="s">
        <v>27</v>
      </c>
      <c r="N15" s="20" t="s">
        <v>346</v>
      </c>
      <c r="O15" s="172">
        <v>57</v>
      </c>
      <c r="P15" s="172">
        <v>146</v>
      </c>
      <c r="Q15" s="172">
        <v>177</v>
      </c>
      <c r="R15" s="172">
        <v>21</v>
      </c>
      <c r="S15" s="172">
        <v>1222</v>
      </c>
      <c r="T15" s="196">
        <v>480</v>
      </c>
      <c r="U15" s="196">
        <v>0</v>
      </c>
      <c r="V15" s="172">
        <v>3</v>
      </c>
      <c r="W15" s="196">
        <v>0</v>
      </c>
      <c r="X15" s="172">
        <v>0</v>
      </c>
      <c r="Y15" s="13" t="s">
        <v>27</v>
      </c>
      <c r="Z15" s="20" t="s">
        <v>346</v>
      </c>
      <c r="AA15" s="172">
        <v>96</v>
      </c>
      <c r="AB15" s="196">
        <v>22</v>
      </c>
      <c r="AC15" s="172">
        <v>0</v>
      </c>
      <c r="AD15" s="172">
        <v>164</v>
      </c>
      <c r="AE15" s="172">
        <v>186</v>
      </c>
      <c r="AF15" s="172">
        <v>1280</v>
      </c>
      <c r="AG15" s="172">
        <v>39</v>
      </c>
      <c r="AH15" s="196">
        <v>14</v>
      </c>
      <c r="AI15" s="172">
        <v>0</v>
      </c>
    </row>
    <row r="16" spans="1:35" ht="12" customHeight="1">
      <c r="A16" s="13"/>
      <c r="B16" s="20" t="s">
        <v>466</v>
      </c>
      <c r="C16" s="407">
        <v>4511</v>
      </c>
      <c r="D16" s="196">
        <v>0</v>
      </c>
      <c r="E16" s="196">
        <v>0</v>
      </c>
      <c r="F16" s="196">
        <v>204</v>
      </c>
      <c r="G16" s="196">
        <v>0</v>
      </c>
      <c r="H16" s="196">
        <v>0</v>
      </c>
      <c r="I16" s="196">
        <v>94</v>
      </c>
      <c r="J16" s="172">
        <v>15</v>
      </c>
      <c r="K16" s="172">
        <v>0</v>
      </c>
      <c r="L16" s="172">
        <v>0</v>
      </c>
      <c r="M16" s="13"/>
      <c r="N16" s="20" t="s">
        <v>466</v>
      </c>
      <c r="O16" s="172">
        <v>101</v>
      </c>
      <c r="P16" s="172">
        <v>179</v>
      </c>
      <c r="Q16" s="172">
        <v>195</v>
      </c>
      <c r="R16" s="172">
        <v>41</v>
      </c>
      <c r="S16" s="172">
        <v>1097</v>
      </c>
      <c r="T16" s="196">
        <v>541</v>
      </c>
      <c r="U16" s="196">
        <v>1</v>
      </c>
      <c r="V16" s="172">
        <v>3</v>
      </c>
      <c r="W16" s="196">
        <v>0</v>
      </c>
      <c r="X16" s="172">
        <v>0</v>
      </c>
      <c r="Y16" s="13"/>
      <c r="Z16" s="20" t="s">
        <v>466</v>
      </c>
      <c r="AA16" s="172">
        <v>65</v>
      </c>
      <c r="AB16" s="196">
        <v>0</v>
      </c>
      <c r="AC16" s="172">
        <v>0</v>
      </c>
      <c r="AD16" s="172">
        <v>280</v>
      </c>
      <c r="AE16" s="172">
        <v>206</v>
      </c>
      <c r="AF16" s="172">
        <v>1430</v>
      </c>
      <c r="AG16" s="172">
        <v>36</v>
      </c>
      <c r="AH16" s="196">
        <v>23</v>
      </c>
      <c r="AI16" s="172">
        <v>0</v>
      </c>
    </row>
    <row r="17" spans="1:35" ht="12" customHeight="1">
      <c r="A17" s="13" t="s">
        <v>28</v>
      </c>
      <c r="B17" s="20" t="s">
        <v>346</v>
      </c>
      <c r="C17" s="407">
        <v>5580</v>
      </c>
      <c r="D17" s="196">
        <v>1</v>
      </c>
      <c r="E17" s="196">
        <v>260</v>
      </c>
      <c r="F17" s="196">
        <v>544</v>
      </c>
      <c r="G17" s="196">
        <v>8</v>
      </c>
      <c r="H17" s="196">
        <v>3</v>
      </c>
      <c r="I17" s="196">
        <v>1100</v>
      </c>
      <c r="J17" s="172">
        <v>0</v>
      </c>
      <c r="K17" s="172">
        <v>0</v>
      </c>
      <c r="L17" s="172">
        <v>0</v>
      </c>
      <c r="M17" s="13" t="s">
        <v>28</v>
      </c>
      <c r="N17" s="20" t="s">
        <v>346</v>
      </c>
      <c r="O17" s="172">
        <v>13</v>
      </c>
      <c r="P17" s="172">
        <v>3</v>
      </c>
      <c r="Q17" s="172">
        <v>37</v>
      </c>
      <c r="R17" s="172">
        <v>9</v>
      </c>
      <c r="S17" s="172">
        <v>69</v>
      </c>
      <c r="T17" s="196">
        <v>2244</v>
      </c>
      <c r="U17" s="196">
        <v>310</v>
      </c>
      <c r="V17" s="172">
        <v>1</v>
      </c>
      <c r="W17" s="196">
        <v>32</v>
      </c>
      <c r="X17" s="172">
        <v>89</v>
      </c>
      <c r="Y17" s="13" t="s">
        <v>28</v>
      </c>
      <c r="Z17" s="20" t="s">
        <v>346</v>
      </c>
      <c r="AA17" s="172">
        <v>0</v>
      </c>
      <c r="AB17" s="196">
        <v>2</v>
      </c>
      <c r="AC17" s="172">
        <v>0</v>
      </c>
      <c r="AD17" s="172">
        <v>441</v>
      </c>
      <c r="AE17" s="172">
        <v>407</v>
      </c>
      <c r="AF17" s="172">
        <v>0</v>
      </c>
      <c r="AG17" s="172">
        <v>0</v>
      </c>
      <c r="AH17" s="196">
        <v>7</v>
      </c>
      <c r="AI17" s="172">
        <v>0</v>
      </c>
    </row>
    <row r="18" spans="1:35" ht="12" customHeight="1">
      <c r="A18" s="13"/>
      <c r="B18" s="20" t="s">
        <v>466</v>
      </c>
      <c r="C18" s="407">
        <v>5255</v>
      </c>
      <c r="D18" s="196">
        <v>0</v>
      </c>
      <c r="E18" s="196">
        <v>1</v>
      </c>
      <c r="F18" s="196">
        <v>536</v>
      </c>
      <c r="G18" s="196">
        <v>0</v>
      </c>
      <c r="H18" s="196">
        <v>4</v>
      </c>
      <c r="I18" s="196">
        <v>1295</v>
      </c>
      <c r="J18" s="172">
        <v>0</v>
      </c>
      <c r="K18" s="172">
        <v>0</v>
      </c>
      <c r="L18" s="172">
        <v>0</v>
      </c>
      <c r="M18" s="13"/>
      <c r="N18" s="20" t="s">
        <v>466</v>
      </c>
      <c r="O18" s="172">
        <v>4</v>
      </c>
      <c r="P18" s="172">
        <v>0</v>
      </c>
      <c r="Q18" s="172">
        <v>6</v>
      </c>
      <c r="R18" s="172">
        <v>10</v>
      </c>
      <c r="S18" s="172">
        <v>14</v>
      </c>
      <c r="T18" s="196">
        <v>2251</v>
      </c>
      <c r="U18" s="196">
        <v>0</v>
      </c>
      <c r="V18" s="172">
        <v>2</v>
      </c>
      <c r="W18" s="196">
        <v>52</v>
      </c>
      <c r="X18" s="172">
        <v>72</v>
      </c>
      <c r="Y18" s="13"/>
      <c r="Z18" s="20" t="s">
        <v>466</v>
      </c>
      <c r="AA18" s="172">
        <v>0</v>
      </c>
      <c r="AB18" s="196">
        <v>0</v>
      </c>
      <c r="AC18" s="172">
        <v>0</v>
      </c>
      <c r="AD18" s="172">
        <v>496</v>
      </c>
      <c r="AE18" s="172">
        <v>512</v>
      </c>
      <c r="AF18" s="172">
        <v>0</v>
      </c>
      <c r="AG18" s="172">
        <v>0</v>
      </c>
      <c r="AH18" s="196">
        <v>0</v>
      </c>
      <c r="AI18" s="172">
        <v>0</v>
      </c>
    </row>
    <row r="19" spans="1:35" ht="12" customHeight="1">
      <c r="A19" s="13" t="s">
        <v>29</v>
      </c>
      <c r="B19" s="20" t="s">
        <v>346</v>
      </c>
      <c r="C19" s="407">
        <v>5749</v>
      </c>
      <c r="D19" s="196">
        <v>5</v>
      </c>
      <c r="E19" s="196">
        <v>581</v>
      </c>
      <c r="F19" s="196">
        <v>1046</v>
      </c>
      <c r="G19" s="196">
        <v>1098</v>
      </c>
      <c r="H19" s="196">
        <v>0</v>
      </c>
      <c r="I19" s="196">
        <v>0</v>
      </c>
      <c r="J19" s="172">
        <v>0</v>
      </c>
      <c r="K19" s="172">
        <v>0</v>
      </c>
      <c r="L19" s="172">
        <v>0</v>
      </c>
      <c r="M19" s="13" t="s">
        <v>29</v>
      </c>
      <c r="N19" s="20" t="s">
        <v>346</v>
      </c>
      <c r="O19" s="172">
        <v>0</v>
      </c>
      <c r="P19" s="172">
        <v>31</v>
      </c>
      <c r="Q19" s="172">
        <v>12</v>
      </c>
      <c r="R19" s="172">
        <v>50</v>
      </c>
      <c r="S19" s="172">
        <v>12</v>
      </c>
      <c r="T19" s="196">
        <v>2023</v>
      </c>
      <c r="U19" s="196">
        <v>145</v>
      </c>
      <c r="V19" s="172">
        <v>21</v>
      </c>
      <c r="W19" s="196">
        <v>10</v>
      </c>
      <c r="X19" s="172">
        <v>267</v>
      </c>
      <c r="Y19" s="13" t="s">
        <v>29</v>
      </c>
      <c r="Z19" s="20" t="s">
        <v>346</v>
      </c>
      <c r="AA19" s="172">
        <v>0</v>
      </c>
      <c r="AB19" s="196">
        <v>379</v>
      </c>
      <c r="AC19" s="172">
        <v>0</v>
      </c>
      <c r="AD19" s="172">
        <v>39</v>
      </c>
      <c r="AE19" s="172">
        <v>9</v>
      </c>
      <c r="AF19" s="172">
        <v>21</v>
      </c>
      <c r="AG19" s="172">
        <v>0</v>
      </c>
      <c r="AH19" s="196">
        <v>0</v>
      </c>
      <c r="AI19" s="172">
        <v>0</v>
      </c>
    </row>
    <row r="20" spans="1:35" ht="12" customHeight="1">
      <c r="A20" s="13"/>
      <c r="B20" s="20" t="s">
        <v>466</v>
      </c>
      <c r="C20" s="407">
        <v>5227</v>
      </c>
      <c r="D20" s="196">
        <v>23</v>
      </c>
      <c r="E20" s="196">
        <v>269</v>
      </c>
      <c r="F20" s="196">
        <v>935</v>
      </c>
      <c r="G20" s="196">
        <v>821</v>
      </c>
      <c r="H20" s="196">
        <v>5</v>
      </c>
      <c r="I20" s="196">
        <v>0</v>
      </c>
      <c r="J20" s="172">
        <v>0</v>
      </c>
      <c r="K20" s="172">
        <v>0</v>
      </c>
      <c r="L20" s="172">
        <v>0</v>
      </c>
      <c r="M20" s="13"/>
      <c r="N20" s="20" t="s">
        <v>466</v>
      </c>
      <c r="O20" s="172">
        <v>0</v>
      </c>
      <c r="P20" s="172">
        <v>13</v>
      </c>
      <c r="Q20" s="172">
        <v>15</v>
      </c>
      <c r="R20" s="172">
        <v>15</v>
      </c>
      <c r="S20" s="172">
        <v>3</v>
      </c>
      <c r="T20" s="196">
        <v>2124</v>
      </c>
      <c r="U20" s="196">
        <v>126</v>
      </c>
      <c r="V20" s="172">
        <v>13</v>
      </c>
      <c r="W20" s="196">
        <v>138</v>
      </c>
      <c r="X20" s="172">
        <v>318</v>
      </c>
      <c r="Y20" s="13"/>
      <c r="Z20" s="20" t="s">
        <v>466</v>
      </c>
      <c r="AA20" s="172">
        <v>0</v>
      </c>
      <c r="AB20" s="196">
        <v>354</v>
      </c>
      <c r="AC20" s="172">
        <v>0</v>
      </c>
      <c r="AD20" s="172">
        <v>49</v>
      </c>
      <c r="AE20" s="172">
        <v>6</v>
      </c>
      <c r="AF20" s="172">
        <v>0</v>
      </c>
      <c r="AG20" s="172">
        <v>0</v>
      </c>
      <c r="AH20" s="196">
        <v>0</v>
      </c>
      <c r="AI20" s="172">
        <v>0</v>
      </c>
    </row>
    <row r="21" spans="1:35" ht="12" customHeight="1">
      <c r="A21" s="13" t="s">
        <v>290</v>
      </c>
      <c r="B21" s="20" t="s">
        <v>346</v>
      </c>
      <c r="C21" s="407">
        <v>0</v>
      </c>
      <c r="D21" s="196">
        <v>0</v>
      </c>
      <c r="E21" s="196">
        <v>0</v>
      </c>
      <c r="F21" s="196">
        <v>0</v>
      </c>
      <c r="G21" s="196">
        <v>0</v>
      </c>
      <c r="H21" s="196">
        <v>0</v>
      </c>
      <c r="I21" s="196">
        <v>0</v>
      </c>
      <c r="J21" s="172">
        <v>0</v>
      </c>
      <c r="K21" s="172">
        <v>0</v>
      </c>
      <c r="L21" s="172">
        <v>0</v>
      </c>
      <c r="M21" s="13" t="s">
        <v>290</v>
      </c>
      <c r="N21" s="20" t="s">
        <v>346</v>
      </c>
      <c r="O21" s="172">
        <v>0</v>
      </c>
      <c r="P21" s="172">
        <v>0</v>
      </c>
      <c r="Q21" s="172">
        <v>0</v>
      </c>
      <c r="R21" s="172">
        <v>0</v>
      </c>
      <c r="S21" s="172">
        <v>0</v>
      </c>
      <c r="T21" s="196">
        <v>0</v>
      </c>
      <c r="U21" s="196">
        <v>0</v>
      </c>
      <c r="V21" s="172">
        <v>0</v>
      </c>
      <c r="W21" s="196">
        <v>0</v>
      </c>
      <c r="X21" s="172">
        <v>0</v>
      </c>
      <c r="Y21" s="13" t="s">
        <v>290</v>
      </c>
      <c r="Z21" s="20" t="s">
        <v>346</v>
      </c>
      <c r="AA21" s="172">
        <v>0</v>
      </c>
      <c r="AB21" s="196">
        <v>0</v>
      </c>
      <c r="AC21" s="172">
        <v>0</v>
      </c>
      <c r="AD21" s="172">
        <v>0</v>
      </c>
      <c r="AE21" s="172">
        <v>0</v>
      </c>
      <c r="AF21" s="172">
        <v>0</v>
      </c>
      <c r="AG21" s="172">
        <v>0</v>
      </c>
      <c r="AH21" s="196">
        <v>0</v>
      </c>
      <c r="AI21" s="172">
        <v>0</v>
      </c>
    </row>
    <row r="22" spans="1:35" ht="12" customHeight="1">
      <c r="A22" s="13"/>
      <c r="B22" s="20" t="s">
        <v>466</v>
      </c>
      <c r="C22" s="408">
        <v>0</v>
      </c>
      <c r="D22" s="196">
        <v>0</v>
      </c>
      <c r="E22" s="196">
        <v>0</v>
      </c>
      <c r="F22" s="196">
        <v>0</v>
      </c>
      <c r="G22" s="196">
        <v>0</v>
      </c>
      <c r="H22" s="196">
        <v>0</v>
      </c>
      <c r="I22" s="196">
        <v>0</v>
      </c>
      <c r="J22" s="172">
        <v>0</v>
      </c>
      <c r="K22" s="172">
        <v>0</v>
      </c>
      <c r="L22" s="172">
        <v>0</v>
      </c>
      <c r="M22" s="13"/>
      <c r="N22" s="20" t="s">
        <v>466</v>
      </c>
      <c r="O22" s="172">
        <v>0</v>
      </c>
      <c r="P22" s="172">
        <v>0</v>
      </c>
      <c r="Q22" s="172">
        <v>0</v>
      </c>
      <c r="R22" s="172">
        <v>0</v>
      </c>
      <c r="S22" s="172">
        <v>0</v>
      </c>
      <c r="T22" s="196">
        <v>0</v>
      </c>
      <c r="U22" s="196">
        <v>0</v>
      </c>
      <c r="V22" s="172">
        <v>0</v>
      </c>
      <c r="W22" s="196">
        <v>0</v>
      </c>
      <c r="X22" s="172">
        <v>0</v>
      </c>
      <c r="Y22" s="13"/>
      <c r="Z22" s="20" t="s">
        <v>466</v>
      </c>
      <c r="AA22" s="172">
        <v>0</v>
      </c>
      <c r="AB22" s="196">
        <v>0</v>
      </c>
      <c r="AC22" s="172">
        <v>0</v>
      </c>
      <c r="AD22" s="172">
        <v>0</v>
      </c>
      <c r="AE22" s="172">
        <v>0</v>
      </c>
      <c r="AF22" s="172">
        <v>0</v>
      </c>
      <c r="AG22" s="172">
        <v>0</v>
      </c>
      <c r="AH22" s="196">
        <v>0</v>
      </c>
      <c r="AI22" s="172">
        <v>0</v>
      </c>
    </row>
    <row r="23" spans="1:35" ht="12" customHeight="1">
      <c r="A23" s="13" t="s">
        <v>30</v>
      </c>
      <c r="B23" s="20" t="s">
        <v>346</v>
      </c>
      <c r="C23" s="407">
        <v>14023</v>
      </c>
      <c r="D23" s="196">
        <v>0</v>
      </c>
      <c r="E23" s="196">
        <v>358</v>
      </c>
      <c r="F23" s="196">
        <v>8981</v>
      </c>
      <c r="G23" s="196">
        <v>0</v>
      </c>
      <c r="H23" s="196">
        <v>0</v>
      </c>
      <c r="I23" s="196">
        <v>4</v>
      </c>
      <c r="J23" s="172">
        <v>0</v>
      </c>
      <c r="K23" s="172">
        <v>0</v>
      </c>
      <c r="L23" s="172">
        <v>0</v>
      </c>
      <c r="M23" s="13" t="s">
        <v>30</v>
      </c>
      <c r="N23" s="20" t="s">
        <v>346</v>
      </c>
      <c r="O23" s="172">
        <v>5</v>
      </c>
      <c r="P23" s="172">
        <v>47</v>
      </c>
      <c r="Q23" s="172">
        <v>63</v>
      </c>
      <c r="R23" s="172">
        <v>0</v>
      </c>
      <c r="S23" s="172">
        <v>33</v>
      </c>
      <c r="T23" s="196">
        <v>2403</v>
      </c>
      <c r="U23" s="196">
        <v>87</v>
      </c>
      <c r="V23" s="172">
        <v>2</v>
      </c>
      <c r="W23" s="196">
        <v>270</v>
      </c>
      <c r="X23" s="172">
        <v>782</v>
      </c>
      <c r="Y23" s="13" t="s">
        <v>30</v>
      </c>
      <c r="Z23" s="20" t="s">
        <v>346</v>
      </c>
      <c r="AA23" s="172">
        <v>0</v>
      </c>
      <c r="AB23" s="196">
        <v>607</v>
      </c>
      <c r="AC23" s="172">
        <v>0</v>
      </c>
      <c r="AD23" s="172">
        <v>178</v>
      </c>
      <c r="AE23" s="172">
        <v>122</v>
      </c>
      <c r="AF23" s="172">
        <v>0</v>
      </c>
      <c r="AG23" s="172">
        <v>81</v>
      </c>
      <c r="AH23" s="196">
        <v>0</v>
      </c>
      <c r="AI23" s="172">
        <v>0</v>
      </c>
    </row>
    <row r="24" spans="1:35" ht="12" customHeight="1">
      <c r="A24" s="13"/>
      <c r="B24" s="20" t="s">
        <v>466</v>
      </c>
      <c r="C24" s="407">
        <v>11863</v>
      </c>
      <c r="D24" s="196">
        <v>0</v>
      </c>
      <c r="E24" s="196">
        <v>68</v>
      </c>
      <c r="F24" s="196">
        <v>7335.5</v>
      </c>
      <c r="G24" s="196">
        <v>0</v>
      </c>
      <c r="H24" s="196">
        <v>0</v>
      </c>
      <c r="I24" s="196">
        <v>21</v>
      </c>
      <c r="J24" s="172">
        <v>0</v>
      </c>
      <c r="K24" s="172">
        <v>0</v>
      </c>
      <c r="L24" s="172">
        <v>0</v>
      </c>
      <c r="M24" s="13"/>
      <c r="N24" s="20" t="s">
        <v>466</v>
      </c>
      <c r="O24" s="172">
        <v>3</v>
      </c>
      <c r="P24" s="172">
        <v>18</v>
      </c>
      <c r="Q24" s="172">
        <v>54</v>
      </c>
      <c r="R24" s="172">
        <v>0</v>
      </c>
      <c r="S24" s="172">
        <v>60</v>
      </c>
      <c r="T24" s="196">
        <v>2565</v>
      </c>
      <c r="U24" s="196">
        <v>3</v>
      </c>
      <c r="V24" s="172">
        <v>0</v>
      </c>
      <c r="W24" s="196">
        <v>326</v>
      </c>
      <c r="X24" s="172">
        <v>881</v>
      </c>
      <c r="Y24" s="13"/>
      <c r="Z24" s="20" t="s">
        <v>466</v>
      </c>
      <c r="AA24" s="172">
        <v>0</v>
      </c>
      <c r="AB24" s="196">
        <v>0</v>
      </c>
      <c r="AC24" s="172">
        <v>0</v>
      </c>
      <c r="AD24" s="172">
        <v>257</v>
      </c>
      <c r="AE24" s="172">
        <v>181.5</v>
      </c>
      <c r="AF24" s="172">
        <v>0</v>
      </c>
      <c r="AG24" s="172">
        <v>74</v>
      </c>
      <c r="AH24" s="196">
        <v>16</v>
      </c>
      <c r="AI24" s="172">
        <v>0</v>
      </c>
    </row>
    <row r="25" spans="1:35" ht="12" customHeight="1">
      <c r="A25" s="13" t="s">
        <v>31</v>
      </c>
      <c r="B25" s="20" t="s">
        <v>346</v>
      </c>
      <c r="C25" s="407">
        <v>2495</v>
      </c>
      <c r="D25" s="196">
        <v>4</v>
      </c>
      <c r="E25" s="196">
        <v>27</v>
      </c>
      <c r="F25" s="196">
        <v>609</v>
      </c>
      <c r="G25" s="196">
        <v>0</v>
      </c>
      <c r="H25" s="196">
        <v>0</v>
      </c>
      <c r="I25" s="196">
        <v>1</v>
      </c>
      <c r="J25" s="172">
        <v>0</v>
      </c>
      <c r="K25" s="172">
        <v>0</v>
      </c>
      <c r="L25" s="172">
        <v>0</v>
      </c>
      <c r="M25" s="13" t="s">
        <v>31</v>
      </c>
      <c r="N25" s="20" t="s">
        <v>346</v>
      </c>
      <c r="O25" s="172">
        <v>5</v>
      </c>
      <c r="P25" s="172">
        <v>75</v>
      </c>
      <c r="Q25" s="172">
        <v>13</v>
      </c>
      <c r="R25" s="172">
        <v>4</v>
      </c>
      <c r="S25" s="172">
        <v>2</v>
      </c>
      <c r="T25" s="196">
        <v>1101</v>
      </c>
      <c r="U25" s="196">
        <v>0</v>
      </c>
      <c r="V25" s="172">
        <v>0</v>
      </c>
      <c r="W25" s="196">
        <v>58</v>
      </c>
      <c r="X25" s="172">
        <v>320</v>
      </c>
      <c r="Y25" s="13" t="s">
        <v>31</v>
      </c>
      <c r="Z25" s="20" t="s">
        <v>346</v>
      </c>
      <c r="AA25" s="172">
        <v>0</v>
      </c>
      <c r="AB25" s="196">
        <v>0</v>
      </c>
      <c r="AC25" s="172">
        <v>0</v>
      </c>
      <c r="AD25" s="172">
        <v>90</v>
      </c>
      <c r="AE25" s="172">
        <v>180</v>
      </c>
      <c r="AF25" s="172">
        <v>0</v>
      </c>
      <c r="AG25" s="172">
        <v>0</v>
      </c>
      <c r="AH25" s="196">
        <v>6</v>
      </c>
      <c r="AI25" s="172">
        <v>0</v>
      </c>
    </row>
    <row r="26" spans="1:35" ht="12" customHeight="1">
      <c r="A26" s="13"/>
      <c r="B26" s="20" t="s">
        <v>466</v>
      </c>
      <c r="C26" s="407">
        <v>2223</v>
      </c>
      <c r="D26" s="196">
        <v>0</v>
      </c>
      <c r="E26" s="196">
        <v>33</v>
      </c>
      <c r="F26" s="196">
        <v>545</v>
      </c>
      <c r="G26" s="196">
        <v>0</v>
      </c>
      <c r="H26" s="196">
        <v>0</v>
      </c>
      <c r="I26" s="196">
        <v>0</v>
      </c>
      <c r="J26" s="172">
        <v>0</v>
      </c>
      <c r="K26" s="172">
        <v>0</v>
      </c>
      <c r="L26" s="172">
        <v>0</v>
      </c>
      <c r="M26" s="13"/>
      <c r="N26" s="20" t="s">
        <v>466</v>
      </c>
      <c r="O26" s="172">
        <v>0</v>
      </c>
      <c r="P26" s="172">
        <v>72</v>
      </c>
      <c r="Q26" s="172">
        <v>20</v>
      </c>
      <c r="R26" s="172">
        <v>1</v>
      </c>
      <c r="S26" s="172">
        <v>2</v>
      </c>
      <c r="T26" s="196">
        <v>980</v>
      </c>
      <c r="U26" s="196">
        <v>0</v>
      </c>
      <c r="V26" s="172">
        <v>1</v>
      </c>
      <c r="W26" s="196">
        <v>9</v>
      </c>
      <c r="X26" s="172">
        <v>391</v>
      </c>
      <c r="Y26" s="13"/>
      <c r="Z26" s="20" t="s">
        <v>466</v>
      </c>
      <c r="AA26" s="172">
        <v>0</v>
      </c>
      <c r="AB26" s="196">
        <v>5</v>
      </c>
      <c r="AC26" s="172">
        <v>0</v>
      </c>
      <c r="AD26" s="172">
        <v>54</v>
      </c>
      <c r="AE26" s="172">
        <v>110</v>
      </c>
      <c r="AF26" s="172">
        <v>0</v>
      </c>
      <c r="AG26" s="172">
        <v>0</v>
      </c>
      <c r="AH26" s="196">
        <v>0</v>
      </c>
      <c r="AI26" s="172">
        <v>0</v>
      </c>
    </row>
    <row r="27" spans="1:35" ht="12" customHeight="1">
      <c r="A27" s="13" t="s">
        <v>153</v>
      </c>
      <c r="B27" s="20" t="s">
        <v>346</v>
      </c>
      <c r="C27" s="407">
        <v>8213.75</v>
      </c>
      <c r="D27" s="196">
        <v>0</v>
      </c>
      <c r="E27" s="196">
        <v>1218</v>
      </c>
      <c r="F27" s="196">
        <v>548.75</v>
      </c>
      <c r="G27" s="196">
        <v>610</v>
      </c>
      <c r="H27" s="196">
        <v>0</v>
      </c>
      <c r="I27" s="196">
        <v>25</v>
      </c>
      <c r="J27" s="172">
        <v>7.75</v>
      </c>
      <c r="K27" s="172">
        <v>0</v>
      </c>
      <c r="L27" s="172">
        <v>0</v>
      </c>
      <c r="M27" s="13" t="s">
        <v>153</v>
      </c>
      <c r="N27" s="20" t="s">
        <v>346</v>
      </c>
      <c r="O27" s="172">
        <v>0.75</v>
      </c>
      <c r="P27" s="172">
        <v>26</v>
      </c>
      <c r="Q27" s="172">
        <v>8</v>
      </c>
      <c r="R27" s="172">
        <v>2</v>
      </c>
      <c r="S27" s="172">
        <v>1</v>
      </c>
      <c r="T27" s="196">
        <v>4634</v>
      </c>
      <c r="U27" s="196">
        <v>523</v>
      </c>
      <c r="V27" s="172">
        <v>15.75</v>
      </c>
      <c r="W27" s="196">
        <v>90.25</v>
      </c>
      <c r="X27" s="172">
        <v>192.75</v>
      </c>
      <c r="Y27" s="13" t="s">
        <v>153</v>
      </c>
      <c r="Z27" s="20" t="s">
        <v>346</v>
      </c>
      <c r="AA27" s="172">
        <v>0</v>
      </c>
      <c r="AB27" s="196">
        <v>119.5</v>
      </c>
      <c r="AC27" s="172">
        <v>0</v>
      </c>
      <c r="AD27" s="172">
        <v>95</v>
      </c>
      <c r="AE27" s="172">
        <v>71.75</v>
      </c>
      <c r="AF27" s="172">
        <v>21.5</v>
      </c>
      <c r="AG27" s="172">
        <v>0</v>
      </c>
      <c r="AH27" s="196">
        <v>3</v>
      </c>
      <c r="AI27" s="172">
        <v>0</v>
      </c>
    </row>
    <row r="28" spans="1:35" ht="12" customHeight="1">
      <c r="A28" s="13"/>
      <c r="B28" s="20" t="s">
        <v>466</v>
      </c>
      <c r="C28" s="407">
        <v>9515</v>
      </c>
      <c r="D28" s="196">
        <v>0</v>
      </c>
      <c r="E28" s="196">
        <v>1534.25</v>
      </c>
      <c r="F28" s="196">
        <v>711</v>
      </c>
      <c r="G28" s="196">
        <v>623</v>
      </c>
      <c r="H28" s="196">
        <v>0</v>
      </c>
      <c r="I28" s="196">
        <v>34</v>
      </c>
      <c r="J28" s="172">
        <v>10</v>
      </c>
      <c r="K28" s="172">
        <v>0</v>
      </c>
      <c r="L28" s="172">
        <v>0</v>
      </c>
      <c r="M28" s="13"/>
      <c r="N28" s="20" t="s">
        <v>466</v>
      </c>
      <c r="O28" s="172">
        <v>3.5</v>
      </c>
      <c r="P28" s="172">
        <v>20</v>
      </c>
      <c r="Q28" s="172">
        <v>9</v>
      </c>
      <c r="R28" s="172">
        <v>2</v>
      </c>
      <c r="S28" s="172">
        <v>1</v>
      </c>
      <c r="T28" s="196">
        <v>5190</v>
      </c>
      <c r="U28" s="196">
        <v>478.5</v>
      </c>
      <c r="V28" s="172">
        <v>20</v>
      </c>
      <c r="W28" s="196">
        <v>154</v>
      </c>
      <c r="X28" s="172">
        <v>407.25</v>
      </c>
      <c r="Y28" s="13"/>
      <c r="Z28" s="20" t="s">
        <v>466</v>
      </c>
      <c r="AA28" s="172">
        <v>0</v>
      </c>
      <c r="AB28" s="196">
        <v>147.5</v>
      </c>
      <c r="AC28" s="172">
        <v>0</v>
      </c>
      <c r="AD28" s="172">
        <v>70</v>
      </c>
      <c r="AE28" s="172">
        <v>69</v>
      </c>
      <c r="AF28" s="172">
        <v>26</v>
      </c>
      <c r="AG28" s="172">
        <v>0</v>
      </c>
      <c r="AH28" s="196">
        <v>5</v>
      </c>
      <c r="AI28" s="172">
        <v>0</v>
      </c>
    </row>
    <row r="29" spans="1:35" ht="12" customHeight="1">
      <c r="A29" s="13" t="s">
        <v>32</v>
      </c>
      <c r="B29" s="20" t="s">
        <v>346</v>
      </c>
      <c r="C29" s="407">
        <v>1413.5</v>
      </c>
      <c r="D29" s="196">
        <v>0</v>
      </c>
      <c r="E29" s="196">
        <v>622.5</v>
      </c>
      <c r="F29" s="196">
        <v>12</v>
      </c>
      <c r="G29" s="196">
        <v>0</v>
      </c>
      <c r="H29" s="196">
        <v>0</v>
      </c>
      <c r="I29" s="196">
        <v>0</v>
      </c>
      <c r="J29" s="172">
        <v>11</v>
      </c>
      <c r="K29" s="172">
        <v>0</v>
      </c>
      <c r="L29" s="172">
        <v>0</v>
      </c>
      <c r="M29" s="13" t="s">
        <v>32</v>
      </c>
      <c r="N29" s="20" t="s">
        <v>346</v>
      </c>
      <c r="O29" s="172">
        <v>133</v>
      </c>
      <c r="P29" s="172">
        <v>31.5</v>
      </c>
      <c r="Q29" s="172">
        <v>0</v>
      </c>
      <c r="R29" s="172">
        <v>0</v>
      </c>
      <c r="S29" s="172">
        <v>196</v>
      </c>
      <c r="T29" s="196">
        <v>6</v>
      </c>
      <c r="U29" s="196">
        <v>51</v>
      </c>
      <c r="V29" s="172">
        <v>28</v>
      </c>
      <c r="W29" s="196">
        <v>0</v>
      </c>
      <c r="X29" s="172">
        <v>0</v>
      </c>
      <c r="Y29" s="13" t="s">
        <v>32</v>
      </c>
      <c r="Z29" s="20" t="s">
        <v>346</v>
      </c>
      <c r="AA29" s="172">
        <v>34</v>
      </c>
      <c r="AB29" s="196">
        <v>0</v>
      </c>
      <c r="AC29" s="172">
        <v>16</v>
      </c>
      <c r="AD29" s="172">
        <v>0</v>
      </c>
      <c r="AE29" s="172">
        <v>4</v>
      </c>
      <c r="AF29" s="172">
        <v>0</v>
      </c>
      <c r="AG29" s="172">
        <v>0</v>
      </c>
      <c r="AH29" s="196">
        <v>0</v>
      </c>
      <c r="AI29" s="172">
        <v>268.5</v>
      </c>
    </row>
    <row r="30" spans="1:35" ht="12" customHeight="1">
      <c r="A30" s="13"/>
      <c r="B30" s="20" t="s">
        <v>466</v>
      </c>
      <c r="C30" s="407">
        <v>1294</v>
      </c>
      <c r="D30" s="196">
        <v>0</v>
      </c>
      <c r="E30" s="196">
        <v>775</v>
      </c>
      <c r="F30" s="196">
        <v>0</v>
      </c>
      <c r="G30" s="196">
        <v>0</v>
      </c>
      <c r="H30" s="196">
        <v>0</v>
      </c>
      <c r="I30" s="196">
        <v>0</v>
      </c>
      <c r="J30" s="172">
        <v>25</v>
      </c>
      <c r="K30" s="172">
        <v>0</v>
      </c>
      <c r="L30" s="172">
        <v>0</v>
      </c>
      <c r="M30" s="13"/>
      <c r="N30" s="20" t="s">
        <v>466</v>
      </c>
      <c r="O30" s="172">
        <v>74</v>
      </c>
      <c r="P30" s="172">
        <v>0</v>
      </c>
      <c r="Q30" s="172">
        <v>0</v>
      </c>
      <c r="R30" s="172">
        <v>0</v>
      </c>
      <c r="S30" s="172">
        <v>153</v>
      </c>
      <c r="T30" s="196">
        <v>10</v>
      </c>
      <c r="U30" s="196">
        <v>2</v>
      </c>
      <c r="V30" s="172">
        <v>22</v>
      </c>
      <c r="W30" s="196">
        <v>0</v>
      </c>
      <c r="X30" s="172">
        <v>0</v>
      </c>
      <c r="Y30" s="13"/>
      <c r="Z30" s="20" t="s">
        <v>466</v>
      </c>
      <c r="AA30" s="172">
        <v>0</v>
      </c>
      <c r="AB30" s="196">
        <v>3</v>
      </c>
      <c r="AC30" s="172">
        <v>5</v>
      </c>
      <c r="AD30" s="172">
        <v>0</v>
      </c>
      <c r="AE30" s="172">
        <v>0</v>
      </c>
      <c r="AF30" s="172">
        <v>0</v>
      </c>
      <c r="AG30" s="172">
        <v>0</v>
      </c>
      <c r="AH30" s="196">
        <v>0</v>
      </c>
      <c r="AI30" s="172">
        <v>225</v>
      </c>
    </row>
    <row r="31" spans="1:35" ht="12" customHeight="1">
      <c r="A31" s="13" t="s">
        <v>154</v>
      </c>
      <c r="B31" s="20" t="s">
        <v>346</v>
      </c>
      <c r="C31" s="407">
        <v>8399</v>
      </c>
      <c r="D31" s="196">
        <v>0</v>
      </c>
      <c r="E31" s="196">
        <v>936</v>
      </c>
      <c r="F31" s="196">
        <v>1656</v>
      </c>
      <c r="G31" s="196">
        <v>30</v>
      </c>
      <c r="H31" s="196">
        <v>0</v>
      </c>
      <c r="I31" s="196">
        <v>0</v>
      </c>
      <c r="J31" s="172">
        <v>37</v>
      </c>
      <c r="K31" s="172">
        <v>0</v>
      </c>
      <c r="L31" s="172">
        <v>0</v>
      </c>
      <c r="M31" s="13" t="s">
        <v>154</v>
      </c>
      <c r="N31" s="20" t="s">
        <v>346</v>
      </c>
      <c r="O31" s="172">
        <v>1</v>
      </c>
      <c r="P31" s="172">
        <v>40</v>
      </c>
      <c r="Q31" s="172">
        <v>134</v>
      </c>
      <c r="R31" s="172">
        <v>14</v>
      </c>
      <c r="S31" s="172">
        <v>13</v>
      </c>
      <c r="T31" s="196">
        <v>2114</v>
      </c>
      <c r="U31" s="196">
        <v>836</v>
      </c>
      <c r="V31" s="172">
        <v>0</v>
      </c>
      <c r="W31" s="196">
        <v>76</v>
      </c>
      <c r="X31" s="172">
        <v>971</v>
      </c>
      <c r="Y31" s="13" t="s">
        <v>154</v>
      </c>
      <c r="Z31" s="20" t="s">
        <v>346</v>
      </c>
      <c r="AA31" s="172">
        <v>0</v>
      </c>
      <c r="AB31" s="196">
        <v>334</v>
      </c>
      <c r="AC31" s="172">
        <v>0</v>
      </c>
      <c r="AD31" s="172">
        <v>393</v>
      </c>
      <c r="AE31" s="172">
        <v>740</v>
      </c>
      <c r="AF31" s="172">
        <v>0</v>
      </c>
      <c r="AG31" s="172">
        <v>15</v>
      </c>
      <c r="AH31" s="196">
        <v>59</v>
      </c>
      <c r="AI31" s="172">
        <v>0</v>
      </c>
    </row>
    <row r="32" spans="1:35" ht="12" customHeight="1">
      <c r="A32" s="13"/>
      <c r="B32" s="20" t="s">
        <v>466</v>
      </c>
      <c r="C32" s="407">
        <v>8384</v>
      </c>
      <c r="D32" s="196">
        <v>0</v>
      </c>
      <c r="E32" s="196">
        <v>998</v>
      </c>
      <c r="F32" s="196">
        <v>1575</v>
      </c>
      <c r="G32" s="196">
        <v>20</v>
      </c>
      <c r="H32" s="196">
        <v>0</v>
      </c>
      <c r="I32" s="196">
        <v>0</v>
      </c>
      <c r="J32" s="172">
        <v>31</v>
      </c>
      <c r="K32" s="172">
        <v>0</v>
      </c>
      <c r="L32" s="172">
        <v>0</v>
      </c>
      <c r="M32" s="13"/>
      <c r="N32" s="20" t="s">
        <v>466</v>
      </c>
      <c r="O32" s="172">
        <v>1</v>
      </c>
      <c r="P32" s="172">
        <v>41</v>
      </c>
      <c r="Q32" s="172">
        <v>146</v>
      </c>
      <c r="R32" s="172">
        <v>19</v>
      </c>
      <c r="S32" s="172">
        <v>22</v>
      </c>
      <c r="T32" s="196">
        <v>2207</v>
      </c>
      <c r="U32" s="196">
        <v>868</v>
      </c>
      <c r="V32" s="172">
        <v>0</v>
      </c>
      <c r="W32" s="196">
        <v>92</v>
      </c>
      <c r="X32" s="172">
        <v>842</v>
      </c>
      <c r="Y32" s="13"/>
      <c r="Z32" s="20" t="s">
        <v>466</v>
      </c>
      <c r="AA32" s="172">
        <v>0</v>
      </c>
      <c r="AB32" s="196">
        <v>343</v>
      </c>
      <c r="AC32" s="172">
        <v>0</v>
      </c>
      <c r="AD32" s="172">
        <v>381</v>
      </c>
      <c r="AE32" s="172">
        <v>715</v>
      </c>
      <c r="AF32" s="172">
        <v>0</v>
      </c>
      <c r="AG32" s="172">
        <v>18</v>
      </c>
      <c r="AH32" s="196">
        <v>65</v>
      </c>
      <c r="AI32" s="172">
        <v>0</v>
      </c>
    </row>
    <row r="33" spans="1:35" ht="12" customHeight="1">
      <c r="A33" s="13" t="s">
        <v>33</v>
      </c>
      <c r="B33" s="20" t="s">
        <v>346</v>
      </c>
      <c r="C33" s="407">
        <v>3602.5</v>
      </c>
      <c r="D33" s="196">
        <v>0</v>
      </c>
      <c r="E33" s="196">
        <v>270.5</v>
      </c>
      <c r="F33" s="196">
        <v>119.5</v>
      </c>
      <c r="G33" s="196">
        <v>69</v>
      </c>
      <c r="H33" s="196">
        <v>0</v>
      </c>
      <c r="I33" s="196">
        <v>0.5</v>
      </c>
      <c r="J33" s="172">
        <v>29</v>
      </c>
      <c r="K33" s="172">
        <v>0</v>
      </c>
      <c r="L33" s="172">
        <v>5.5</v>
      </c>
      <c r="M33" s="13" t="s">
        <v>33</v>
      </c>
      <c r="N33" s="20" t="s">
        <v>346</v>
      </c>
      <c r="O33" s="172">
        <v>15</v>
      </c>
      <c r="P33" s="172">
        <v>41</v>
      </c>
      <c r="Q33" s="172">
        <v>13.5</v>
      </c>
      <c r="R33" s="172">
        <v>1</v>
      </c>
      <c r="S33" s="172">
        <v>34</v>
      </c>
      <c r="T33" s="196">
        <v>2352.5</v>
      </c>
      <c r="U33" s="196">
        <v>92.5</v>
      </c>
      <c r="V33" s="172">
        <v>28.5</v>
      </c>
      <c r="W33" s="196">
        <v>66.5</v>
      </c>
      <c r="X33" s="172">
        <v>153.5</v>
      </c>
      <c r="Y33" s="13" t="s">
        <v>33</v>
      </c>
      <c r="Z33" s="20" t="s">
        <v>346</v>
      </c>
      <c r="AA33" s="172">
        <v>0</v>
      </c>
      <c r="AB33" s="196">
        <v>49</v>
      </c>
      <c r="AC33" s="172">
        <v>0</v>
      </c>
      <c r="AD33" s="172">
        <v>23</v>
      </c>
      <c r="AE33" s="172">
        <v>27</v>
      </c>
      <c r="AF33" s="172">
        <v>180.5</v>
      </c>
      <c r="AG33" s="172">
        <v>0</v>
      </c>
      <c r="AH33" s="196">
        <v>31</v>
      </c>
      <c r="AI33" s="172">
        <v>0</v>
      </c>
    </row>
    <row r="34" spans="1:35" ht="12" customHeight="1">
      <c r="A34" s="13"/>
      <c r="B34" s="20" t="s">
        <v>466</v>
      </c>
      <c r="C34" s="407">
        <v>3667.5</v>
      </c>
      <c r="D34" s="196">
        <v>0</v>
      </c>
      <c r="E34" s="196">
        <v>406.5</v>
      </c>
      <c r="F34" s="196">
        <v>9.5</v>
      </c>
      <c r="G34" s="196">
        <v>180</v>
      </c>
      <c r="H34" s="196">
        <v>0</v>
      </c>
      <c r="I34" s="196">
        <v>0</v>
      </c>
      <c r="J34" s="172">
        <v>15</v>
      </c>
      <c r="K34" s="172">
        <v>0</v>
      </c>
      <c r="L34" s="172">
        <v>4.5</v>
      </c>
      <c r="M34" s="13"/>
      <c r="N34" s="20" t="s">
        <v>466</v>
      </c>
      <c r="O34" s="172">
        <v>10.5</v>
      </c>
      <c r="P34" s="172">
        <v>19.5</v>
      </c>
      <c r="Q34" s="172">
        <v>15</v>
      </c>
      <c r="R34" s="172">
        <v>0</v>
      </c>
      <c r="S34" s="172">
        <v>52</v>
      </c>
      <c r="T34" s="196">
        <v>2357.5</v>
      </c>
      <c r="U34" s="196">
        <v>102</v>
      </c>
      <c r="V34" s="172">
        <v>15</v>
      </c>
      <c r="W34" s="196">
        <v>23</v>
      </c>
      <c r="X34" s="172">
        <v>142</v>
      </c>
      <c r="Y34" s="13"/>
      <c r="Z34" s="20" t="s">
        <v>466</v>
      </c>
      <c r="AA34" s="172">
        <v>2</v>
      </c>
      <c r="AB34" s="196">
        <v>41.5</v>
      </c>
      <c r="AC34" s="172">
        <v>0</v>
      </c>
      <c r="AD34" s="172">
        <v>4</v>
      </c>
      <c r="AE34" s="172">
        <v>6.5</v>
      </c>
      <c r="AF34" s="172">
        <v>230</v>
      </c>
      <c r="AG34" s="172">
        <v>0</v>
      </c>
      <c r="AH34" s="196">
        <v>31.5</v>
      </c>
      <c r="AI34" s="172">
        <v>0</v>
      </c>
    </row>
    <row r="35" spans="1:35" ht="12" customHeight="1">
      <c r="A35" s="13" t="s">
        <v>34</v>
      </c>
      <c r="B35" s="20" t="s">
        <v>346</v>
      </c>
      <c r="C35" s="407">
        <v>2532</v>
      </c>
      <c r="D35" s="196">
        <v>0</v>
      </c>
      <c r="E35" s="196">
        <v>197</v>
      </c>
      <c r="F35" s="196">
        <v>159</v>
      </c>
      <c r="G35" s="196">
        <v>1548</v>
      </c>
      <c r="H35" s="196">
        <v>0</v>
      </c>
      <c r="I35" s="196">
        <v>0</v>
      </c>
      <c r="J35" s="172">
        <v>0</v>
      </c>
      <c r="K35" s="172">
        <v>10</v>
      </c>
      <c r="L35" s="172">
        <v>0</v>
      </c>
      <c r="M35" s="13" t="s">
        <v>34</v>
      </c>
      <c r="N35" s="20" t="s">
        <v>346</v>
      </c>
      <c r="O35" s="172">
        <v>23</v>
      </c>
      <c r="P35" s="172">
        <v>19</v>
      </c>
      <c r="Q35" s="172">
        <v>12</v>
      </c>
      <c r="R35" s="172">
        <v>0</v>
      </c>
      <c r="S35" s="172">
        <v>52</v>
      </c>
      <c r="T35" s="196">
        <v>30</v>
      </c>
      <c r="U35" s="196">
        <v>59</v>
      </c>
      <c r="V35" s="172">
        <v>143</v>
      </c>
      <c r="W35" s="196">
        <v>0</v>
      </c>
      <c r="X35" s="172">
        <v>0</v>
      </c>
      <c r="Y35" s="13" t="s">
        <v>34</v>
      </c>
      <c r="Z35" s="20" t="s">
        <v>346</v>
      </c>
      <c r="AA35" s="172">
        <v>3</v>
      </c>
      <c r="AB35" s="196">
        <v>27</v>
      </c>
      <c r="AC35" s="172">
        <v>48</v>
      </c>
      <c r="AD35" s="172">
        <v>0</v>
      </c>
      <c r="AE35" s="172">
        <v>105</v>
      </c>
      <c r="AF35" s="172">
        <v>97</v>
      </c>
      <c r="AG35" s="172">
        <v>0</v>
      </c>
      <c r="AH35" s="196">
        <v>0</v>
      </c>
      <c r="AI35" s="172">
        <v>0</v>
      </c>
    </row>
    <row r="36" spans="1:35" ht="12" customHeight="1">
      <c r="A36" s="13"/>
      <c r="B36" s="20" t="s">
        <v>466</v>
      </c>
      <c r="C36" s="407">
        <v>3907</v>
      </c>
      <c r="D36" s="196">
        <v>0</v>
      </c>
      <c r="E36" s="196">
        <v>325</v>
      </c>
      <c r="F36" s="196">
        <v>530</v>
      </c>
      <c r="G36" s="196">
        <v>1345</v>
      </c>
      <c r="H36" s="196">
        <v>0</v>
      </c>
      <c r="I36" s="196">
        <v>0</v>
      </c>
      <c r="J36" s="172">
        <v>0</v>
      </c>
      <c r="K36" s="172">
        <v>0</v>
      </c>
      <c r="L36" s="172">
        <v>7</v>
      </c>
      <c r="M36" s="13"/>
      <c r="N36" s="20" t="s">
        <v>466</v>
      </c>
      <c r="O36" s="172">
        <v>12</v>
      </c>
      <c r="P36" s="172">
        <v>8</v>
      </c>
      <c r="Q36" s="172">
        <v>0</v>
      </c>
      <c r="R36" s="172">
        <v>0</v>
      </c>
      <c r="S36" s="172">
        <v>27</v>
      </c>
      <c r="T36" s="196">
        <v>50</v>
      </c>
      <c r="U36" s="196">
        <v>112</v>
      </c>
      <c r="V36" s="172">
        <v>835</v>
      </c>
      <c r="W36" s="196">
        <v>0</v>
      </c>
      <c r="X36" s="172">
        <v>0</v>
      </c>
      <c r="Y36" s="13"/>
      <c r="Z36" s="20" t="s">
        <v>466</v>
      </c>
      <c r="AA36" s="172">
        <v>0</v>
      </c>
      <c r="AB36" s="196">
        <v>95</v>
      </c>
      <c r="AC36" s="172">
        <v>130</v>
      </c>
      <c r="AD36" s="172">
        <v>0</v>
      </c>
      <c r="AE36" s="172">
        <v>281</v>
      </c>
      <c r="AF36" s="172">
        <v>150</v>
      </c>
      <c r="AG36" s="172">
        <v>0</v>
      </c>
      <c r="AH36" s="196">
        <v>0</v>
      </c>
      <c r="AI36" s="172">
        <v>0</v>
      </c>
    </row>
    <row r="37" spans="1:35" ht="12" customHeight="1">
      <c r="A37" s="13" t="s">
        <v>35</v>
      </c>
      <c r="B37" s="20" t="s">
        <v>346</v>
      </c>
      <c r="C37" s="407">
        <v>5136.5</v>
      </c>
      <c r="D37" s="196">
        <v>2</v>
      </c>
      <c r="E37" s="196">
        <v>1194</v>
      </c>
      <c r="F37" s="196">
        <v>256</v>
      </c>
      <c r="G37" s="196">
        <v>0</v>
      </c>
      <c r="H37" s="196">
        <v>0</v>
      </c>
      <c r="I37" s="196">
        <v>0</v>
      </c>
      <c r="J37" s="172">
        <v>54.5</v>
      </c>
      <c r="K37" s="172">
        <v>0</v>
      </c>
      <c r="L37" s="172">
        <v>17</v>
      </c>
      <c r="M37" s="13" t="s">
        <v>35</v>
      </c>
      <c r="N37" s="20" t="s">
        <v>346</v>
      </c>
      <c r="O37" s="172">
        <v>49</v>
      </c>
      <c r="P37" s="172">
        <v>55</v>
      </c>
      <c r="Q37" s="172">
        <v>196</v>
      </c>
      <c r="R37" s="172">
        <v>129</v>
      </c>
      <c r="S37" s="172">
        <v>65</v>
      </c>
      <c r="T37" s="196">
        <v>961</v>
      </c>
      <c r="U37" s="196">
        <v>120</v>
      </c>
      <c r="V37" s="172">
        <v>397</v>
      </c>
      <c r="W37" s="196">
        <v>0</v>
      </c>
      <c r="X37" s="172">
        <v>0</v>
      </c>
      <c r="Y37" s="13" t="s">
        <v>35</v>
      </c>
      <c r="Z37" s="20" t="s">
        <v>346</v>
      </c>
      <c r="AA37" s="172">
        <v>365</v>
      </c>
      <c r="AB37" s="196">
        <v>120.5</v>
      </c>
      <c r="AC37" s="172">
        <v>17</v>
      </c>
      <c r="AD37" s="172">
        <v>3</v>
      </c>
      <c r="AE37" s="172">
        <v>71.5</v>
      </c>
      <c r="AF37" s="172">
        <v>1042</v>
      </c>
      <c r="AG37" s="172">
        <v>0</v>
      </c>
      <c r="AH37" s="196">
        <v>0</v>
      </c>
      <c r="AI37" s="172">
        <v>22</v>
      </c>
    </row>
    <row r="38" spans="1:35" ht="12" customHeight="1">
      <c r="A38" s="13"/>
      <c r="B38" s="20" t="s">
        <v>466</v>
      </c>
      <c r="C38" s="407">
        <v>4847</v>
      </c>
      <c r="D38" s="196">
        <v>0</v>
      </c>
      <c r="E38" s="196">
        <v>848</v>
      </c>
      <c r="F38" s="196">
        <v>354</v>
      </c>
      <c r="G38" s="196">
        <v>0</v>
      </c>
      <c r="H38" s="196">
        <v>0</v>
      </c>
      <c r="I38" s="196">
        <v>0</v>
      </c>
      <c r="J38" s="172">
        <v>51.5</v>
      </c>
      <c r="K38" s="172">
        <v>0</v>
      </c>
      <c r="L38" s="172">
        <v>19</v>
      </c>
      <c r="M38" s="13"/>
      <c r="N38" s="20" t="s">
        <v>466</v>
      </c>
      <c r="O38" s="172">
        <v>19</v>
      </c>
      <c r="P38" s="172">
        <v>33</v>
      </c>
      <c r="Q38" s="172">
        <v>76</v>
      </c>
      <c r="R38" s="172">
        <v>143</v>
      </c>
      <c r="S38" s="172">
        <v>85</v>
      </c>
      <c r="T38" s="196">
        <v>1114</v>
      </c>
      <c r="U38" s="196">
        <v>154</v>
      </c>
      <c r="V38" s="172">
        <v>195</v>
      </c>
      <c r="W38" s="196">
        <v>1</v>
      </c>
      <c r="X38" s="172">
        <v>8</v>
      </c>
      <c r="Y38" s="13"/>
      <c r="Z38" s="20" t="s">
        <v>466</v>
      </c>
      <c r="AA38" s="172">
        <v>596</v>
      </c>
      <c r="AB38" s="196">
        <v>317</v>
      </c>
      <c r="AC38" s="172">
        <v>29</v>
      </c>
      <c r="AD38" s="172">
        <v>1</v>
      </c>
      <c r="AE38" s="172">
        <v>37.5</v>
      </c>
      <c r="AF38" s="172">
        <v>763</v>
      </c>
      <c r="AG38" s="172">
        <v>0</v>
      </c>
      <c r="AH38" s="196">
        <v>0</v>
      </c>
      <c r="AI38" s="172">
        <v>3</v>
      </c>
    </row>
    <row r="39" spans="1:35" ht="12" customHeight="1">
      <c r="A39" s="13" t="s">
        <v>289</v>
      </c>
      <c r="B39" s="20" t="s">
        <v>346</v>
      </c>
      <c r="C39" s="407">
        <v>200</v>
      </c>
      <c r="D39" s="196">
        <v>0</v>
      </c>
      <c r="E39" s="196">
        <v>10</v>
      </c>
      <c r="F39" s="196">
        <v>2</v>
      </c>
      <c r="G39" s="196">
        <v>0</v>
      </c>
      <c r="H39" s="196">
        <v>3</v>
      </c>
      <c r="I39" s="196">
        <v>1</v>
      </c>
      <c r="J39" s="172">
        <v>22</v>
      </c>
      <c r="K39" s="172">
        <v>0</v>
      </c>
      <c r="L39" s="172">
        <v>8</v>
      </c>
      <c r="M39" s="13" t="s">
        <v>289</v>
      </c>
      <c r="N39" s="20" t="s">
        <v>346</v>
      </c>
      <c r="O39" s="172">
        <v>3</v>
      </c>
      <c r="P39" s="172">
        <v>0</v>
      </c>
      <c r="Q39" s="172">
        <v>1</v>
      </c>
      <c r="R39" s="172">
        <v>0</v>
      </c>
      <c r="S39" s="172">
        <v>38</v>
      </c>
      <c r="T39" s="196">
        <v>0</v>
      </c>
      <c r="U39" s="196">
        <v>0</v>
      </c>
      <c r="V39" s="172">
        <v>17</v>
      </c>
      <c r="W39" s="196">
        <v>0</v>
      </c>
      <c r="X39" s="172">
        <v>0</v>
      </c>
      <c r="Y39" s="13" t="s">
        <v>289</v>
      </c>
      <c r="Z39" s="20" t="s">
        <v>346</v>
      </c>
      <c r="AA39" s="172">
        <v>0</v>
      </c>
      <c r="AB39" s="196">
        <v>11</v>
      </c>
      <c r="AC39" s="172">
        <v>0</v>
      </c>
      <c r="AD39" s="172">
        <v>0</v>
      </c>
      <c r="AE39" s="172">
        <v>6</v>
      </c>
      <c r="AF39" s="172">
        <v>78</v>
      </c>
      <c r="AG39" s="172">
        <v>0</v>
      </c>
      <c r="AH39" s="196">
        <v>0</v>
      </c>
      <c r="AI39" s="172">
        <v>0</v>
      </c>
    </row>
    <row r="40" spans="1:35" ht="12" customHeight="1">
      <c r="A40" s="13"/>
      <c r="B40" s="20" t="s">
        <v>466</v>
      </c>
      <c r="C40" s="407">
        <v>210</v>
      </c>
      <c r="D40" s="196">
        <v>0</v>
      </c>
      <c r="E40" s="196">
        <v>2</v>
      </c>
      <c r="F40" s="196">
        <v>2</v>
      </c>
      <c r="G40" s="196">
        <v>0</v>
      </c>
      <c r="H40" s="196">
        <v>3</v>
      </c>
      <c r="I40" s="196">
        <v>0</v>
      </c>
      <c r="J40" s="172">
        <v>12</v>
      </c>
      <c r="K40" s="172">
        <v>0</v>
      </c>
      <c r="L40" s="172">
        <v>6</v>
      </c>
      <c r="M40" s="13"/>
      <c r="N40" s="20" t="s">
        <v>466</v>
      </c>
      <c r="O40" s="172">
        <v>6</v>
      </c>
      <c r="P40" s="172">
        <v>4</v>
      </c>
      <c r="Q40" s="172">
        <v>1</v>
      </c>
      <c r="R40" s="172">
        <v>0</v>
      </c>
      <c r="S40" s="172">
        <v>42</v>
      </c>
      <c r="T40" s="196">
        <v>0</v>
      </c>
      <c r="U40" s="196">
        <v>12</v>
      </c>
      <c r="V40" s="172">
        <v>18</v>
      </c>
      <c r="W40" s="196">
        <v>0</v>
      </c>
      <c r="X40" s="172">
        <v>0</v>
      </c>
      <c r="Y40" s="13"/>
      <c r="Z40" s="20" t="s">
        <v>466</v>
      </c>
      <c r="AA40" s="172">
        <v>0</v>
      </c>
      <c r="AB40" s="196">
        <v>12</v>
      </c>
      <c r="AC40" s="172">
        <v>0</v>
      </c>
      <c r="AD40" s="172">
        <v>0</v>
      </c>
      <c r="AE40" s="172">
        <v>5</v>
      </c>
      <c r="AF40" s="172">
        <v>85</v>
      </c>
      <c r="AG40" s="172">
        <v>0</v>
      </c>
      <c r="AH40" s="196">
        <v>0</v>
      </c>
      <c r="AI40" s="172">
        <v>0</v>
      </c>
    </row>
    <row r="41" spans="1:35" ht="12" customHeight="1">
      <c r="A41" s="13" t="s">
        <v>36</v>
      </c>
      <c r="B41" s="20" t="s">
        <v>346</v>
      </c>
      <c r="C41" s="407">
        <v>21012</v>
      </c>
      <c r="D41" s="196">
        <v>0</v>
      </c>
      <c r="E41" s="196">
        <v>9074</v>
      </c>
      <c r="F41" s="196">
        <v>0</v>
      </c>
      <c r="G41" s="196">
        <v>5407</v>
      </c>
      <c r="H41" s="196">
        <v>0</v>
      </c>
      <c r="I41" s="196">
        <v>0</v>
      </c>
      <c r="J41" s="172">
        <v>63</v>
      </c>
      <c r="K41" s="172">
        <v>0</v>
      </c>
      <c r="L41" s="172">
        <v>0</v>
      </c>
      <c r="M41" s="13" t="s">
        <v>36</v>
      </c>
      <c r="N41" s="20" t="s">
        <v>346</v>
      </c>
      <c r="O41" s="172">
        <v>89</v>
      </c>
      <c r="P41" s="172">
        <v>60</v>
      </c>
      <c r="Q41" s="172">
        <v>0</v>
      </c>
      <c r="R41" s="172">
        <v>0</v>
      </c>
      <c r="S41" s="172">
        <v>0</v>
      </c>
      <c r="T41" s="196">
        <v>0</v>
      </c>
      <c r="U41" s="196">
        <v>5931</v>
      </c>
      <c r="V41" s="172">
        <v>0</v>
      </c>
      <c r="W41" s="196">
        <v>0</v>
      </c>
      <c r="X41" s="172">
        <v>0</v>
      </c>
      <c r="Y41" s="13" t="s">
        <v>36</v>
      </c>
      <c r="Z41" s="20" t="s">
        <v>346</v>
      </c>
      <c r="AA41" s="172">
        <v>0</v>
      </c>
      <c r="AB41" s="196">
        <v>388</v>
      </c>
      <c r="AC41" s="172">
        <v>0</v>
      </c>
      <c r="AD41" s="172">
        <v>0</v>
      </c>
      <c r="AE41" s="172">
        <v>0</v>
      </c>
      <c r="AF41" s="172">
        <v>0</v>
      </c>
      <c r="AG41" s="172">
        <v>0</v>
      </c>
      <c r="AH41" s="196">
        <v>0</v>
      </c>
      <c r="AI41" s="172">
        <v>0</v>
      </c>
    </row>
    <row r="42" spans="1:35" ht="12" customHeight="1">
      <c r="A42" s="13"/>
      <c r="B42" s="20" t="s">
        <v>466</v>
      </c>
      <c r="C42" s="407">
        <v>21261</v>
      </c>
      <c r="D42" s="196">
        <v>0</v>
      </c>
      <c r="E42" s="196">
        <v>9144</v>
      </c>
      <c r="F42" s="196">
        <v>0</v>
      </c>
      <c r="G42" s="196">
        <v>5469</v>
      </c>
      <c r="H42" s="196">
        <v>0</v>
      </c>
      <c r="I42" s="196">
        <v>0</v>
      </c>
      <c r="J42" s="172">
        <v>70</v>
      </c>
      <c r="K42" s="172">
        <v>0</v>
      </c>
      <c r="L42" s="172">
        <v>0</v>
      </c>
      <c r="M42" s="13"/>
      <c r="N42" s="20" t="s">
        <v>466</v>
      </c>
      <c r="O42" s="172">
        <v>89</v>
      </c>
      <c r="P42" s="172">
        <v>63</v>
      </c>
      <c r="Q42" s="172">
        <v>0</v>
      </c>
      <c r="R42" s="172">
        <v>0</v>
      </c>
      <c r="S42" s="172">
        <v>0</v>
      </c>
      <c r="T42" s="196">
        <v>0</v>
      </c>
      <c r="U42" s="196">
        <v>6007</v>
      </c>
      <c r="V42" s="172">
        <v>0</v>
      </c>
      <c r="W42" s="196">
        <v>0</v>
      </c>
      <c r="X42" s="172">
        <v>0</v>
      </c>
      <c r="Y42" s="13"/>
      <c r="Z42" s="20" t="s">
        <v>466</v>
      </c>
      <c r="AA42" s="172">
        <v>0</v>
      </c>
      <c r="AB42" s="196">
        <v>419</v>
      </c>
      <c r="AC42" s="172">
        <v>0</v>
      </c>
      <c r="AD42" s="172">
        <v>0</v>
      </c>
      <c r="AE42" s="172">
        <v>0</v>
      </c>
      <c r="AF42" s="172">
        <v>0</v>
      </c>
      <c r="AG42" s="172">
        <v>0</v>
      </c>
      <c r="AH42" s="196">
        <v>0</v>
      </c>
      <c r="AI42" s="172">
        <v>0</v>
      </c>
    </row>
    <row r="43" spans="1:35" ht="12" customHeight="1">
      <c r="A43" s="13" t="s">
        <v>55</v>
      </c>
      <c r="B43" s="20" t="s">
        <v>346</v>
      </c>
      <c r="C43" s="407">
        <v>453</v>
      </c>
      <c r="D43" s="196">
        <v>0</v>
      </c>
      <c r="E43" s="196">
        <v>237</v>
      </c>
      <c r="F43" s="196">
        <v>0</v>
      </c>
      <c r="G43" s="196">
        <v>157</v>
      </c>
      <c r="H43" s="196">
        <v>0</v>
      </c>
      <c r="I43" s="196">
        <v>0</v>
      </c>
      <c r="J43" s="172">
        <v>0</v>
      </c>
      <c r="K43" s="172">
        <v>0</v>
      </c>
      <c r="L43" s="172">
        <v>0</v>
      </c>
      <c r="M43" s="13" t="s">
        <v>55</v>
      </c>
      <c r="N43" s="20" t="s">
        <v>346</v>
      </c>
      <c r="O43" s="172">
        <v>0</v>
      </c>
      <c r="P43" s="172">
        <v>0</v>
      </c>
      <c r="Q43" s="172">
        <v>0</v>
      </c>
      <c r="R43" s="172">
        <v>0</v>
      </c>
      <c r="S43" s="172">
        <v>0</v>
      </c>
      <c r="T43" s="196">
        <v>0</v>
      </c>
      <c r="U43" s="196">
        <v>58</v>
      </c>
      <c r="V43" s="172">
        <v>1</v>
      </c>
      <c r="W43" s="196">
        <v>0</v>
      </c>
      <c r="X43" s="172">
        <v>0</v>
      </c>
      <c r="Y43" s="13" t="s">
        <v>55</v>
      </c>
      <c r="Z43" s="20" t="s">
        <v>346</v>
      </c>
      <c r="AA43" s="172">
        <v>0</v>
      </c>
      <c r="AB43" s="196">
        <v>0</v>
      </c>
      <c r="AC43" s="172">
        <v>0</v>
      </c>
      <c r="AD43" s="172">
        <v>0</v>
      </c>
      <c r="AE43" s="172">
        <v>0</v>
      </c>
      <c r="AF43" s="172">
        <v>0</v>
      </c>
      <c r="AG43" s="172">
        <v>0</v>
      </c>
      <c r="AH43" s="196">
        <v>0</v>
      </c>
      <c r="AI43" s="172">
        <v>0</v>
      </c>
    </row>
    <row r="44" spans="1:35" ht="12" customHeight="1">
      <c r="A44" s="13"/>
      <c r="B44" s="20" t="s">
        <v>466</v>
      </c>
      <c r="C44" s="407">
        <v>81</v>
      </c>
      <c r="D44" s="196">
        <v>0</v>
      </c>
      <c r="E44" s="196">
        <v>47</v>
      </c>
      <c r="F44" s="196">
        <v>0</v>
      </c>
      <c r="G44" s="196">
        <v>0</v>
      </c>
      <c r="H44" s="196">
        <v>0</v>
      </c>
      <c r="I44" s="196">
        <v>0</v>
      </c>
      <c r="J44" s="172">
        <v>0</v>
      </c>
      <c r="K44" s="172">
        <v>0</v>
      </c>
      <c r="L44" s="172">
        <v>0</v>
      </c>
      <c r="M44" s="13"/>
      <c r="N44" s="20" t="s">
        <v>466</v>
      </c>
      <c r="O44" s="172">
        <v>0</v>
      </c>
      <c r="P44" s="172">
        <v>0</v>
      </c>
      <c r="Q44" s="172">
        <v>0</v>
      </c>
      <c r="R44" s="172">
        <v>0</v>
      </c>
      <c r="S44" s="172">
        <v>0</v>
      </c>
      <c r="T44" s="196">
        <v>0</v>
      </c>
      <c r="U44" s="196">
        <v>34</v>
      </c>
      <c r="V44" s="172">
        <v>0</v>
      </c>
      <c r="W44" s="196">
        <v>0</v>
      </c>
      <c r="X44" s="172">
        <v>0</v>
      </c>
      <c r="Y44" s="13"/>
      <c r="Z44" s="20" t="s">
        <v>466</v>
      </c>
      <c r="AA44" s="172">
        <v>0</v>
      </c>
      <c r="AB44" s="196">
        <v>0</v>
      </c>
      <c r="AC44" s="172">
        <v>0</v>
      </c>
      <c r="AD44" s="172">
        <v>0</v>
      </c>
      <c r="AE44" s="172">
        <v>0</v>
      </c>
      <c r="AF44" s="172">
        <v>0</v>
      </c>
      <c r="AG44" s="172">
        <v>0</v>
      </c>
      <c r="AH44" s="196">
        <v>0</v>
      </c>
      <c r="AI44" s="172">
        <v>0</v>
      </c>
    </row>
    <row r="45" spans="1:35" ht="12" customHeight="1">
      <c r="A45" s="13" t="s">
        <v>67</v>
      </c>
      <c r="B45" s="20" t="s">
        <v>346</v>
      </c>
      <c r="C45" s="407">
        <v>362</v>
      </c>
      <c r="D45" s="196">
        <v>0</v>
      </c>
      <c r="E45" s="196">
        <v>20</v>
      </c>
      <c r="F45" s="196">
        <v>144</v>
      </c>
      <c r="G45" s="196">
        <v>0</v>
      </c>
      <c r="H45" s="196">
        <v>0</v>
      </c>
      <c r="I45" s="196">
        <v>0</v>
      </c>
      <c r="J45" s="172">
        <v>1</v>
      </c>
      <c r="K45" s="172">
        <v>0</v>
      </c>
      <c r="L45" s="172">
        <v>0</v>
      </c>
      <c r="M45" s="13" t="s">
        <v>67</v>
      </c>
      <c r="N45" s="20" t="s">
        <v>346</v>
      </c>
      <c r="O45" s="172">
        <v>0</v>
      </c>
      <c r="P45" s="172">
        <v>6</v>
      </c>
      <c r="Q45" s="172">
        <v>2</v>
      </c>
      <c r="R45" s="172">
        <v>3</v>
      </c>
      <c r="S45" s="172">
        <v>3</v>
      </c>
      <c r="T45" s="196">
        <v>64</v>
      </c>
      <c r="U45" s="196">
        <v>0</v>
      </c>
      <c r="V45" s="172">
        <v>1</v>
      </c>
      <c r="W45" s="196">
        <v>0</v>
      </c>
      <c r="X45" s="172">
        <v>0</v>
      </c>
      <c r="Y45" s="13" t="s">
        <v>67</v>
      </c>
      <c r="Z45" s="20" t="s">
        <v>346</v>
      </c>
      <c r="AA45" s="172">
        <v>0</v>
      </c>
      <c r="AB45" s="196">
        <v>5</v>
      </c>
      <c r="AC45" s="172">
        <v>0</v>
      </c>
      <c r="AD45" s="172">
        <v>85</v>
      </c>
      <c r="AE45" s="172">
        <v>9</v>
      </c>
      <c r="AF45" s="172">
        <v>19</v>
      </c>
      <c r="AG45" s="172">
        <v>0</v>
      </c>
      <c r="AH45" s="196">
        <v>0</v>
      </c>
      <c r="AI45" s="172">
        <v>0</v>
      </c>
    </row>
    <row r="46" spans="1:35" ht="12" customHeight="1">
      <c r="A46" s="13"/>
      <c r="B46" s="20" t="s">
        <v>466</v>
      </c>
      <c r="C46" s="407">
        <v>307</v>
      </c>
      <c r="D46" s="196">
        <v>0</v>
      </c>
      <c r="E46" s="196">
        <v>34</v>
      </c>
      <c r="F46" s="196">
        <v>117</v>
      </c>
      <c r="G46" s="196">
        <v>0</v>
      </c>
      <c r="H46" s="196">
        <v>0</v>
      </c>
      <c r="I46" s="196">
        <v>0</v>
      </c>
      <c r="J46" s="172">
        <v>0</v>
      </c>
      <c r="K46" s="172">
        <v>0</v>
      </c>
      <c r="L46" s="172">
        <v>0</v>
      </c>
      <c r="M46" s="13"/>
      <c r="N46" s="20" t="s">
        <v>466</v>
      </c>
      <c r="O46" s="172">
        <v>5</v>
      </c>
      <c r="P46" s="172">
        <v>4</v>
      </c>
      <c r="Q46" s="172">
        <v>4</v>
      </c>
      <c r="R46" s="172">
        <v>4</v>
      </c>
      <c r="S46" s="172">
        <v>10</v>
      </c>
      <c r="T46" s="196">
        <v>71</v>
      </c>
      <c r="U46" s="196">
        <v>0</v>
      </c>
      <c r="V46" s="172">
        <v>1</v>
      </c>
      <c r="W46" s="196">
        <v>1</v>
      </c>
      <c r="X46" s="172">
        <v>0</v>
      </c>
      <c r="Y46" s="13"/>
      <c r="Z46" s="20" t="s">
        <v>466</v>
      </c>
      <c r="AA46" s="172">
        <v>0</v>
      </c>
      <c r="AB46" s="196">
        <v>4</v>
      </c>
      <c r="AC46" s="172">
        <v>0</v>
      </c>
      <c r="AD46" s="172">
        <v>19</v>
      </c>
      <c r="AE46" s="172">
        <v>8</v>
      </c>
      <c r="AF46" s="172">
        <v>25</v>
      </c>
      <c r="AG46" s="172">
        <v>0</v>
      </c>
      <c r="AH46" s="196">
        <v>0</v>
      </c>
      <c r="AI46" s="172">
        <v>0</v>
      </c>
    </row>
    <row r="47" spans="1:35" ht="12" customHeight="1">
      <c r="A47" s="13" t="s">
        <v>37</v>
      </c>
      <c r="B47" s="20" t="s">
        <v>346</v>
      </c>
      <c r="C47" s="407">
        <v>5181</v>
      </c>
      <c r="D47" s="196">
        <v>0</v>
      </c>
      <c r="E47" s="196">
        <v>870</v>
      </c>
      <c r="F47" s="196">
        <v>254</v>
      </c>
      <c r="G47" s="196">
        <v>118</v>
      </c>
      <c r="H47" s="196">
        <v>6</v>
      </c>
      <c r="I47" s="196">
        <v>0</v>
      </c>
      <c r="J47" s="172">
        <v>35</v>
      </c>
      <c r="K47" s="172">
        <v>0</v>
      </c>
      <c r="L47" s="172">
        <v>0</v>
      </c>
      <c r="M47" s="13" t="s">
        <v>37</v>
      </c>
      <c r="N47" s="20" t="s">
        <v>346</v>
      </c>
      <c r="O47" s="172">
        <v>0</v>
      </c>
      <c r="P47" s="172">
        <v>151</v>
      </c>
      <c r="Q47" s="172">
        <v>1</v>
      </c>
      <c r="R47" s="172">
        <v>0</v>
      </c>
      <c r="S47" s="172">
        <v>0</v>
      </c>
      <c r="T47" s="196">
        <v>2391</v>
      </c>
      <c r="U47" s="196">
        <v>600</v>
      </c>
      <c r="V47" s="172">
        <v>0</v>
      </c>
      <c r="W47" s="196">
        <v>264</v>
      </c>
      <c r="X47" s="172">
        <v>291</v>
      </c>
      <c r="Y47" s="13" t="s">
        <v>37</v>
      </c>
      <c r="Z47" s="20" t="s">
        <v>346</v>
      </c>
      <c r="AA47" s="172">
        <v>0</v>
      </c>
      <c r="AB47" s="196">
        <v>46</v>
      </c>
      <c r="AC47" s="172">
        <v>0</v>
      </c>
      <c r="AD47" s="172">
        <v>139</v>
      </c>
      <c r="AE47" s="172">
        <v>15</v>
      </c>
      <c r="AF47" s="172">
        <v>0</v>
      </c>
      <c r="AG47" s="172">
        <v>0</v>
      </c>
      <c r="AH47" s="196">
        <v>0</v>
      </c>
      <c r="AI47" s="172">
        <v>0</v>
      </c>
    </row>
    <row r="48" spans="1:35" ht="12" customHeight="1">
      <c r="A48" s="13"/>
      <c r="B48" s="20" t="s">
        <v>466</v>
      </c>
      <c r="C48" s="407">
        <v>4238</v>
      </c>
      <c r="D48" s="196">
        <v>0</v>
      </c>
      <c r="E48" s="196">
        <v>917</v>
      </c>
      <c r="F48" s="196">
        <v>255</v>
      </c>
      <c r="G48" s="196">
        <v>125</v>
      </c>
      <c r="H48" s="196">
        <v>0</v>
      </c>
      <c r="I48" s="196">
        <v>0</v>
      </c>
      <c r="J48" s="172">
        <v>27</v>
      </c>
      <c r="K48" s="172">
        <v>0</v>
      </c>
      <c r="L48" s="172">
        <v>0</v>
      </c>
      <c r="M48" s="13"/>
      <c r="N48" s="20" t="s">
        <v>466</v>
      </c>
      <c r="O48" s="172">
        <v>0</v>
      </c>
      <c r="P48" s="172">
        <v>52</v>
      </c>
      <c r="Q48" s="172">
        <v>0</v>
      </c>
      <c r="R48" s="172">
        <v>0</v>
      </c>
      <c r="S48" s="172">
        <v>0</v>
      </c>
      <c r="T48" s="196">
        <v>1412</v>
      </c>
      <c r="U48" s="196">
        <v>881</v>
      </c>
      <c r="V48" s="172">
        <v>0</v>
      </c>
      <c r="W48" s="196">
        <v>139</v>
      </c>
      <c r="X48" s="172">
        <v>206</v>
      </c>
      <c r="Y48" s="13"/>
      <c r="Z48" s="20" t="s">
        <v>466</v>
      </c>
      <c r="AA48" s="172">
        <v>0</v>
      </c>
      <c r="AB48" s="196">
        <v>104</v>
      </c>
      <c r="AC48" s="172">
        <v>0</v>
      </c>
      <c r="AD48" s="172">
        <v>120</v>
      </c>
      <c r="AE48" s="172">
        <v>0</v>
      </c>
      <c r="AF48" s="172">
        <v>0</v>
      </c>
      <c r="AG48" s="172">
        <v>0</v>
      </c>
      <c r="AH48" s="196">
        <v>0</v>
      </c>
      <c r="AI48" s="172">
        <v>0</v>
      </c>
    </row>
    <row r="49" spans="1:35" ht="12" customHeight="1">
      <c r="A49" s="13" t="s">
        <v>38</v>
      </c>
      <c r="B49" s="20" t="s">
        <v>346</v>
      </c>
      <c r="C49" s="407">
        <v>19799</v>
      </c>
      <c r="D49" s="196">
        <v>0</v>
      </c>
      <c r="E49" s="196">
        <v>4788</v>
      </c>
      <c r="F49" s="196">
        <v>0</v>
      </c>
      <c r="G49" s="196">
        <v>14236</v>
      </c>
      <c r="H49" s="196">
        <v>0</v>
      </c>
      <c r="I49" s="196">
        <v>0</v>
      </c>
      <c r="J49" s="172">
        <v>0</v>
      </c>
      <c r="K49" s="172">
        <v>0</v>
      </c>
      <c r="L49" s="172">
        <v>0</v>
      </c>
      <c r="M49" s="13" t="s">
        <v>38</v>
      </c>
      <c r="N49" s="20" t="s">
        <v>346</v>
      </c>
      <c r="O49" s="172">
        <v>22</v>
      </c>
      <c r="P49" s="172">
        <v>0</v>
      </c>
      <c r="Q49" s="172">
        <v>0</v>
      </c>
      <c r="R49" s="172">
        <v>7</v>
      </c>
      <c r="S49" s="172">
        <v>7</v>
      </c>
      <c r="T49" s="196">
        <v>242</v>
      </c>
      <c r="U49" s="196">
        <v>29</v>
      </c>
      <c r="V49" s="172">
        <v>20</v>
      </c>
      <c r="W49" s="196">
        <v>0</v>
      </c>
      <c r="X49" s="172">
        <v>0</v>
      </c>
      <c r="Y49" s="13" t="s">
        <v>38</v>
      </c>
      <c r="Z49" s="20" t="s">
        <v>346</v>
      </c>
      <c r="AA49" s="172">
        <v>349</v>
      </c>
      <c r="AB49" s="196">
        <v>0</v>
      </c>
      <c r="AC49" s="172">
        <v>0</v>
      </c>
      <c r="AD49" s="172">
        <v>0</v>
      </c>
      <c r="AE49" s="172">
        <v>99</v>
      </c>
      <c r="AF49" s="172">
        <v>0</v>
      </c>
      <c r="AG49" s="172">
        <v>0</v>
      </c>
      <c r="AH49" s="196">
        <v>0</v>
      </c>
      <c r="AI49" s="172">
        <v>0</v>
      </c>
    </row>
    <row r="50" spans="1:35" ht="12" customHeight="1">
      <c r="A50" s="13"/>
      <c r="B50" s="20" t="s">
        <v>466</v>
      </c>
      <c r="C50" s="407">
        <v>23414</v>
      </c>
      <c r="D50" s="196">
        <v>0</v>
      </c>
      <c r="E50" s="196">
        <v>8043</v>
      </c>
      <c r="F50" s="196">
        <v>10</v>
      </c>
      <c r="G50" s="196">
        <v>14360</v>
      </c>
      <c r="H50" s="196">
        <v>0</v>
      </c>
      <c r="I50" s="196">
        <v>0</v>
      </c>
      <c r="J50" s="172">
        <v>0</v>
      </c>
      <c r="K50" s="172">
        <v>287</v>
      </c>
      <c r="L50" s="172">
        <v>0</v>
      </c>
      <c r="M50" s="13"/>
      <c r="N50" s="20" t="s">
        <v>466</v>
      </c>
      <c r="O50" s="172">
        <v>7</v>
      </c>
      <c r="P50" s="172">
        <v>0</v>
      </c>
      <c r="Q50" s="172">
        <v>5</v>
      </c>
      <c r="R50" s="172">
        <v>0</v>
      </c>
      <c r="S50" s="172">
        <v>5</v>
      </c>
      <c r="T50" s="196">
        <v>179</v>
      </c>
      <c r="U50" s="196">
        <v>77</v>
      </c>
      <c r="V50" s="172">
        <v>109</v>
      </c>
      <c r="W50" s="196">
        <v>0</v>
      </c>
      <c r="X50" s="172">
        <v>0</v>
      </c>
      <c r="Y50" s="13"/>
      <c r="Z50" s="20" t="s">
        <v>466</v>
      </c>
      <c r="AA50" s="172">
        <v>159</v>
      </c>
      <c r="AB50" s="196">
        <v>0</v>
      </c>
      <c r="AC50" s="172">
        <v>0</v>
      </c>
      <c r="AD50" s="172">
        <v>9</v>
      </c>
      <c r="AE50" s="172">
        <v>164</v>
      </c>
      <c r="AF50" s="172">
        <v>0</v>
      </c>
      <c r="AG50" s="172">
        <v>0</v>
      </c>
      <c r="AH50" s="196">
        <v>0</v>
      </c>
      <c r="AI50" s="172">
        <v>0</v>
      </c>
    </row>
    <row r="51" spans="1:35" ht="12" customHeight="1">
      <c r="A51" s="13" t="s">
        <v>39</v>
      </c>
      <c r="B51" s="20" t="s">
        <v>346</v>
      </c>
      <c r="C51" s="407">
        <v>8323</v>
      </c>
      <c r="D51" s="196">
        <v>0</v>
      </c>
      <c r="E51" s="196">
        <v>994</v>
      </c>
      <c r="F51" s="196">
        <v>648</v>
      </c>
      <c r="G51" s="196">
        <v>0</v>
      </c>
      <c r="H51" s="196">
        <v>0</v>
      </c>
      <c r="I51" s="196">
        <v>0</v>
      </c>
      <c r="J51" s="172">
        <v>0</v>
      </c>
      <c r="K51" s="172">
        <v>0</v>
      </c>
      <c r="L51" s="172">
        <v>0</v>
      </c>
      <c r="M51" s="13" t="s">
        <v>39</v>
      </c>
      <c r="N51" s="20" t="s">
        <v>346</v>
      </c>
      <c r="O51" s="172">
        <v>0</v>
      </c>
      <c r="P51" s="172">
        <v>58</v>
      </c>
      <c r="Q51" s="172">
        <v>0</v>
      </c>
      <c r="R51" s="172">
        <v>0</v>
      </c>
      <c r="S51" s="172">
        <v>31</v>
      </c>
      <c r="T51" s="196">
        <v>3731</v>
      </c>
      <c r="U51" s="196">
        <v>850</v>
      </c>
      <c r="V51" s="172">
        <v>27</v>
      </c>
      <c r="W51" s="196">
        <v>296</v>
      </c>
      <c r="X51" s="172">
        <v>290</v>
      </c>
      <c r="Y51" s="13" t="s">
        <v>39</v>
      </c>
      <c r="Z51" s="20" t="s">
        <v>346</v>
      </c>
      <c r="AA51" s="172">
        <v>0</v>
      </c>
      <c r="AB51" s="196">
        <v>160</v>
      </c>
      <c r="AC51" s="172">
        <v>0</v>
      </c>
      <c r="AD51" s="172">
        <v>1107</v>
      </c>
      <c r="AE51" s="172">
        <v>131</v>
      </c>
      <c r="AF51" s="172">
        <v>0</v>
      </c>
      <c r="AG51" s="172">
        <v>0</v>
      </c>
      <c r="AH51" s="196">
        <v>0</v>
      </c>
      <c r="AI51" s="172">
        <v>0</v>
      </c>
    </row>
    <row r="52" spans="1:35" ht="12" customHeight="1">
      <c r="A52" s="13"/>
      <c r="B52" s="20" t="s">
        <v>466</v>
      </c>
      <c r="C52" s="407">
        <v>7859</v>
      </c>
      <c r="D52" s="196">
        <v>0</v>
      </c>
      <c r="E52" s="196">
        <v>817</v>
      </c>
      <c r="F52" s="196">
        <v>546</v>
      </c>
      <c r="G52" s="196">
        <v>35</v>
      </c>
      <c r="H52" s="196">
        <v>38</v>
      </c>
      <c r="I52" s="196">
        <v>0</v>
      </c>
      <c r="J52" s="172">
        <v>0</v>
      </c>
      <c r="K52" s="172">
        <v>0</v>
      </c>
      <c r="L52" s="172">
        <v>0</v>
      </c>
      <c r="M52" s="13"/>
      <c r="N52" s="20" t="s">
        <v>466</v>
      </c>
      <c r="O52" s="172">
        <v>0</v>
      </c>
      <c r="P52" s="172">
        <v>38</v>
      </c>
      <c r="Q52" s="172">
        <v>0</v>
      </c>
      <c r="R52" s="172">
        <v>0</v>
      </c>
      <c r="S52" s="172">
        <v>66</v>
      </c>
      <c r="T52" s="196">
        <v>3852</v>
      </c>
      <c r="U52" s="196">
        <v>567</v>
      </c>
      <c r="V52" s="172">
        <v>50</v>
      </c>
      <c r="W52" s="196">
        <v>145</v>
      </c>
      <c r="X52" s="172">
        <v>250</v>
      </c>
      <c r="Y52" s="13"/>
      <c r="Z52" s="20" t="s">
        <v>466</v>
      </c>
      <c r="AA52" s="172">
        <v>0</v>
      </c>
      <c r="AB52" s="196">
        <v>146</v>
      </c>
      <c r="AC52" s="172">
        <v>0</v>
      </c>
      <c r="AD52" s="172">
        <v>1175</v>
      </c>
      <c r="AE52" s="172">
        <v>134</v>
      </c>
      <c r="AF52" s="172">
        <v>0</v>
      </c>
      <c r="AG52" s="172">
        <v>0</v>
      </c>
      <c r="AH52" s="196">
        <v>0</v>
      </c>
      <c r="AI52" s="172">
        <v>0</v>
      </c>
    </row>
    <row r="53" spans="1:35" ht="12" customHeight="1">
      <c r="A53" s="13" t="s">
        <v>194</v>
      </c>
      <c r="B53" s="20" t="s">
        <v>346</v>
      </c>
      <c r="C53" s="407">
        <v>12357</v>
      </c>
      <c r="D53" s="196">
        <v>0</v>
      </c>
      <c r="E53" s="196">
        <v>2592</v>
      </c>
      <c r="F53" s="196">
        <v>0</v>
      </c>
      <c r="G53" s="196">
        <v>9008</v>
      </c>
      <c r="H53" s="196">
        <v>0</v>
      </c>
      <c r="I53" s="196">
        <v>0</v>
      </c>
      <c r="J53" s="172">
        <v>0</v>
      </c>
      <c r="K53" s="172">
        <v>0</v>
      </c>
      <c r="L53" s="172">
        <v>0</v>
      </c>
      <c r="M53" s="13" t="s">
        <v>70</v>
      </c>
      <c r="N53" s="20" t="s">
        <v>346</v>
      </c>
      <c r="O53" s="172">
        <v>23</v>
      </c>
      <c r="P53" s="172">
        <v>0</v>
      </c>
      <c r="Q53" s="172">
        <v>0</v>
      </c>
      <c r="R53" s="172">
        <v>0</v>
      </c>
      <c r="S53" s="172">
        <v>0</v>
      </c>
      <c r="T53" s="196">
        <v>0</v>
      </c>
      <c r="U53" s="196">
        <v>492</v>
      </c>
      <c r="V53" s="172">
        <v>0</v>
      </c>
      <c r="W53" s="196">
        <v>0</v>
      </c>
      <c r="X53" s="172">
        <v>0</v>
      </c>
      <c r="Y53" s="13" t="s">
        <v>70</v>
      </c>
      <c r="Z53" s="20" t="s">
        <v>346</v>
      </c>
      <c r="AA53" s="172">
        <v>0</v>
      </c>
      <c r="AB53" s="196">
        <v>242</v>
      </c>
      <c r="AC53" s="172">
        <v>0</v>
      </c>
      <c r="AD53" s="172">
        <v>0</v>
      </c>
      <c r="AE53" s="172">
        <v>0</v>
      </c>
      <c r="AF53" s="172">
        <v>0</v>
      </c>
      <c r="AG53" s="172">
        <v>0</v>
      </c>
      <c r="AH53" s="196">
        <v>0</v>
      </c>
      <c r="AI53" s="172">
        <v>0</v>
      </c>
    </row>
    <row r="54" spans="1:35" ht="12" customHeight="1">
      <c r="A54" s="13"/>
      <c r="B54" s="20" t="s">
        <v>466</v>
      </c>
      <c r="C54" s="407">
        <v>14831.5</v>
      </c>
      <c r="D54" s="196">
        <v>0</v>
      </c>
      <c r="E54" s="196">
        <v>3773</v>
      </c>
      <c r="F54" s="196">
        <v>0</v>
      </c>
      <c r="G54" s="196">
        <v>10205</v>
      </c>
      <c r="H54" s="196">
        <v>0</v>
      </c>
      <c r="I54" s="196">
        <v>0</v>
      </c>
      <c r="J54" s="172">
        <v>9</v>
      </c>
      <c r="K54" s="172">
        <v>0</v>
      </c>
      <c r="L54" s="172">
        <v>0</v>
      </c>
      <c r="M54" s="13"/>
      <c r="N54" s="20" t="s">
        <v>466</v>
      </c>
      <c r="O54" s="172">
        <v>75.5</v>
      </c>
      <c r="P54" s="172">
        <v>0</v>
      </c>
      <c r="Q54" s="172">
        <v>0</v>
      </c>
      <c r="R54" s="172">
        <v>0</v>
      </c>
      <c r="S54" s="172">
        <v>0</v>
      </c>
      <c r="T54" s="196">
        <v>0</v>
      </c>
      <c r="U54" s="196">
        <v>592.5</v>
      </c>
      <c r="V54" s="172">
        <v>0</v>
      </c>
      <c r="W54" s="196">
        <v>0</v>
      </c>
      <c r="X54" s="172">
        <v>0</v>
      </c>
      <c r="Y54" s="13"/>
      <c r="Z54" s="20" t="s">
        <v>466</v>
      </c>
      <c r="AA54" s="172">
        <v>0</v>
      </c>
      <c r="AB54" s="196">
        <v>176.5</v>
      </c>
      <c r="AC54" s="172">
        <v>0</v>
      </c>
      <c r="AD54" s="172">
        <v>0</v>
      </c>
      <c r="AE54" s="172">
        <v>0</v>
      </c>
      <c r="AF54" s="172">
        <v>0</v>
      </c>
      <c r="AG54" s="172">
        <v>0</v>
      </c>
      <c r="AH54" s="196">
        <v>0</v>
      </c>
      <c r="AI54" s="172">
        <v>0</v>
      </c>
    </row>
    <row r="55" spans="1:35" ht="12" customHeight="1">
      <c r="A55" s="13" t="s">
        <v>68</v>
      </c>
      <c r="B55" s="20" t="s">
        <v>346</v>
      </c>
      <c r="C55" s="407">
        <v>686</v>
      </c>
      <c r="D55" s="196">
        <v>0</v>
      </c>
      <c r="E55" s="196">
        <v>0</v>
      </c>
      <c r="F55" s="196">
        <v>49</v>
      </c>
      <c r="G55" s="196">
        <v>0</v>
      </c>
      <c r="H55" s="196">
        <v>0</v>
      </c>
      <c r="I55" s="196">
        <v>32</v>
      </c>
      <c r="J55" s="172">
        <v>235</v>
      </c>
      <c r="K55" s="172">
        <v>0</v>
      </c>
      <c r="L55" s="172">
        <v>12</v>
      </c>
      <c r="M55" s="13" t="s">
        <v>68</v>
      </c>
      <c r="N55" s="20" t="s">
        <v>346</v>
      </c>
      <c r="O55" s="172">
        <v>24</v>
      </c>
      <c r="P55" s="172">
        <v>69</v>
      </c>
      <c r="Q55" s="172">
        <v>0</v>
      </c>
      <c r="R55" s="172">
        <v>1</v>
      </c>
      <c r="S55" s="172">
        <v>23</v>
      </c>
      <c r="T55" s="196">
        <v>37</v>
      </c>
      <c r="U55" s="196">
        <v>0</v>
      </c>
      <c r="V55" s="172">
        <v>13</v>
      </c>
      <c r="W55" s="196">
        <v>0</v>
      </c>
      <c r="X55" s="172">
        <v>0</v>
      </c>
      <c r="Y55" s="13" t="s">
        <v>68</v>
      </c>
      <c r="Z55" s="20" t="s">
        <v>346</v>
      </c>
      <c r="AA55" s="172">
        <v>3</v>
      </c>
      <c r="AB55" s="196">
        <v>0</v>
      </c>
      <c r="AC55" s="172">
        <v>0</v>
      </c>
      <c r="AD55" s="172">
        <v>13</v>
      </c>
      <c r="AE55" s="172">
        <v>9</v>
      </c>
      <c r="AF55" s="172">
        <v>166</v>
      </c>
      <c r="AG55" s="172">
        <v>0</v>
      </c>
      <c r="AH55" s="196">
        <v>0</v>
      </c>
      <c r="AI55" s="172">
        <v>0</v>
      </c>
    </row>
    <row r="56" spans="1:35" ht="12" customHeight="1">
      <c r="A56" s="13"/>
      <c r="B56" s="20" t="s">
        <v>466</v>
      </c>
      <c r="C56" s="407">
        <v>576</v>
      </c>
      <c r="D56" s="196">
        <v>0</v>
      </c>
      <c r="E56" s="196">
        <v>0</v>
      </c>
      <c r="F56" s="196">
        <v>31</v>
      </c>
      <c r="G56" s="196">
        <v>0</v>
      </c>
      <c r="H56" s="196">
        <v>0</v>
      </c>
      <c r="I56" s="196">
        <v>15</v>
      </c>
      <c r="J56" s="172">
        <v>144</v>
      </c>
      <c r="K56" s="172">
        <v>0</v>
      </c>
      <c r="L56" s="172">
        <v>20</v>
      </c>
      <c r="M56" s="13"/>
      <c r="N56" s="20" t="s">
        <v>466</v>
      </c>
      <c r="O56" s="172">
        <v>31</v>
      </c>
      <c r="P56" s="172">
        <v>65</v>
      </c>
      <c r="Q56" s="172">
        <v>0</v>
      </c>
      <c r="R56" s="172">
        <v>8</v>
      </c>
      <c r="S56" s="172">
        <v>10</v>
      </c>
      <c r="T56" s="196">
        <v>27</v>
      </c>
      <c r="U56" s="196">
        <v>0</v>
      </c>
      <c r="V56" s="172">
        <v>39</v>
      </c>
      <c r="W56" s="196">
        <v>0</v>
      </c>
      <c r="X56" s="172">
        <v>0</v>
      </c>
      <c r="Y56" s="13"/>
      <c r="Z56" s="20" t="s">
        <v>466</v>
      </c>
      <c r="AA56" s="172">
        <v>5</v>
      </c>
      <c r="AB56" s="196">
        <v>0</v>
      </c>
      <c r="AC56" s="172">
        <v>0</v>
      </c>
      <c r="AD56" s="172">
        <v>12</v>
      </c>
      <c r="AE56" s="172">
        <v>5</v>
      </c>
      <c r="AF56" s="172">
        <v>164</v>
      </c>
      <c r="AG56" s="172">
        <v>0</v>
      </c>
      <c r="AH56" s="196">
        <v>0</v>
      </c>
      <c r="AI56" s="172">
        <v>0</v>
      </c>
    </row>
    <row r="57" spans="1:35" ht="12" customHeight="1">
      <c r="A57" s="13" t="s">
        <v>69</v>
      </c>
      <c r="B57" s="20" t="s">
        <v>346</v>
      </c>
      <c r="C57" s="407">
        <v>6307.8</v>
      </c>
      <c r="D57" s="196">
        <v>0</v>
      </c>
      <c r="E57" s="196">
        <v>41</v>
      </c>
      <c r="F57" s="196">
        <v>0</v>
      </c>
      <c r="G57" s="196">
        <v>6253</v>
      </c>
      <c r="H57" s="196">
        <v>0</v>
      </c>
      <c r="I57" s="196">
        <v>0</v>
      </c>
      <c r="J57" s="172">
        <v>0</v>
      </c>
      <c r="K57" s="172">
        <v>0</v>
      </c>
      <c r="L57" s="172">
        <v>0.7</v>
      </c>
      <c r="M57" s="13" t="s">
        <v>69</v>
      </c>
      <c r="N57" s="20" t="s">
        <v>346</v>
      </c>
      <c r="O57" s="172">
        <v>1</v>
      </c>
      <c r="P57" s="172">
        <v>1</v>
      </c>
      <c r="Q57" s="172">
        <v>0</v>
      </c>
      <c r="R57" s="172">
        <v>0</v>
      </c>
      <c r="S57" s="172">
        <v>0</v>
      </c>
      <c r="T57" s="196">
        <v>0</v>
      </c>
      <c r="U57" s="196">
        <v>10</v>
      </c>
      <c r="V57" s="172">
        <v>1.1000000000000001</v>
      </c>
      <c r="W57" s="196">
        <v>0</v>
      </c>
      <c r="X57" s="172">
        <v>0</v>
      </c>
      <c r="Y57" s="13" t="s">
        <v>69</v>
      </c>
      <c r="Z57" s="20" t="s">
        <v>346</v>
      </c>
      <c r="AA57" s="172">
        <v>0</v>
      </c>
      <c r="AB57" s="196">
        <v>0</v>
      </c>
      <c r="AC57" s="172">
        <v>0</v>
      </c>
      <c r="AD57" s="172">
        <v>0</v>
      </c>
      <c r="AE57" s="172">
        <v>0</v>
      </c>
      <c r="AF57" s="172">
        <v>0</v>
      </c>
      <c r="AG57" s="172">
        <v>0</v>
      </c>
      <c r="AH57" s="196">
        <v>0</v>
      </c>
      <c r="AI57" s="172">
        <v>0</v>
      </c>
    </row>
    <row r="58" spans="1:35" ht="12" customHeight="1">
      <c r="A58" s="13"/>
      <c r="B58" s="20" t="s">
        <v>466</v>
      </c>
      <c r="C58" s="407">
        <v>5988.5499999999993</v>
      </c>
      <c r="D58" s="196">
        <v>0</v>
      </c>
      <c r="E58" s="196">
        <v>44.7</v>
      </c>
      <c r="F58" s="196">
        <v>0</v>
      </c>
      <c r="G58" s="196">
        <v>5927</v>
      </c>
      <c r="H58" s="196">
        <v>0</v>
      </c>
      <c r="I58" s="196">
        <v>0</v>
      </c>
      <c r="J58" s="172">
        <v>0</v>
      </c>
      <c r="K58" s="172">
        <v>0</v>
      </c>
      <c r="L58" s="172">
        <v>0.2</v>
      </c>
      <c r="M58" s="13"/>
      <c r="N58" s="20" t="s">
        <v>466</v>
      </c>
      <c r="O58" s="172">
        <v>0</v>
      </c>
      <c r="P58" s="172">
        <v>0</v>
      </c>
      <c r="Q58" s="172">
        <v>0</v>
      </c>
      <c r="R58" s="172">
        <v>0</v>
      </c>
      <c r="S58" s="172">
        <v>0</v>
      </c>
      <c r="T58" s="196">
        <v>0</v>
      </c>
      <c r="U58" s="196">
        <v>16.5</v>
      </c>
      <c r="V58" s="172">
        <v>0.15</v>
      </c>
      <c r="W58" s="196">
        <v>0</v>
      </c>
      <c r="X58" s="172">
        <v>0</v>
      </c>
      <c r="Y58" s="13"/>
      <c r="Z58" s="20" t="s">
        <v>466</v>
      </c>
      <c r="AA58" s="172">
        <v>0</v>
      </c>
      <c r="AB58" s="196">
        <v>0</v>
      </c>
      <c r="AC58" s="172">
        <v>0</v>
      </c>
      <c r="AD58" s="172">
        <v>0</v>
      </c>
      <c r="AE58" s="172">
        <v>0</v>
      </c>
      <c r="AF58" s="172">
        <v>0</v>
      </c>
      <c r="AG58" s="172">
        <v>0</v>
      </c>
      <c r="AH58" s="196">
        <v>0</v>
      </c>
      <c r="AI58" s="172">
        <v>0</v>
      </c>
    </row>
    <row r="59" spans="1:35" ht="12" customHeight="1">
      <c r="A59" s="13" t="s">
        <v>71</v>
      </c>
      <c r="B59" s="20" t="s">
        <v>346</v>
      </c>
      <c r="C59" s="407">
        <v>2741</v>
      </c>
      <c r="D59" s="196">
        <v>0</v>
      </c>
      <c r="E59" s="196">
        <v>806</v>
      </c>
      <c r="F59" s="196">
        <v>0</v>
      </c>
      <c r="G59" s="196">
        <v>962</v>
      </c>
      <c r="H59" s="196">
        <v>0</v>
      </c>
      <c r="I59" s="196">
        <v>0</v>
      </c>
      <c r="J59" s="172">
        <v>0</v>
      </c>
      <c r="K59" s="172">
        <v>0</v>
      </c>
      <c r="L59" s="172">
        <v>0</v>
      </c>
      <c r="M59" s="13" t="s">
        <v>71</v>
      </c>
      <c r="N59" s="20" t="s">
        <v>346</v>
      </c>
      <c r="O59" s="172">
        <v>1</v>
      </c>
      <c r="P59" s="172">
        <v>0</v>
      </c>
      <c r="Q59" s="172">
        <v>0</v>
      </c>
      <c r="R59" s="172">
        <v>0</v>
      </c>
      <c r="S59" s="172">
        <v>0</v>
      </c>
      <c r="T59" s="196">
        <v>0</v>
      </c>
      <c r="U59" s="196">
        <v>892</v>
      </c>
      <c r="V59" s="172">
        <v>0</v>
      </c>
      <c r="W59" s="196">
        <v>0</v>
      </c>
      <c r="X59" s="172">
        <v>0</v>
      </c>
      <c r="Y59" s="13" t="s">
        <v>71</v>
      </c>
      <c r="Z59" s="20" t="s">
        <v>346</v>
      </c>
      <c r="AA59" s="172">
        <v>0</v>
      </c>
      <c r="AB59" s="196">
        <v>50</v>
      </c>
      <c r="AC59" s="172">
        <v>0</v>
      </c>
      <c r="AD59" s="172">
        <v>0</v>
      </c>
      <c r="AE59" s="172">
        <v>0</v>
      </c>
      <c r="AF59" s="172">
        <v>0</v>
      </c>
      <c r="AG59" s="172">
        <v>0</v>
      </c>
      <c r="AH59" s="196">
        <v>0</v>
      </c>
      <c r="AI59" s="172">
        <v>30</v>
      </c>
    </row>
    <row r="60" spans="1:35" ht="12" customHeight="1">
      <c r="A60" s="14"/>
      <c r="B60" s="21" t="s">
        <v>466</v>
      </c>
      <c r="C60" s="409">
        <v>4260</v>
      </c>
      <c r="D60" s="197">
        <v>0</v>
      </c>
      <c r="E60" s="197">
        <v>1645</v>
      </c>
      <c r="F60" s="197">
        <v>0</v>
      </c>
      <c r="G60" s="197">
        <v>1257</v>
      </c>
      <c r="H60" s="197">
        <v>0</v>
      </c>
      <c r="I60" s="197">
        <v>0</v>
      </c>
      <c r="J60" s="173">
        <v>0</v>
      </c>
      <c r="K60" s="173">
        <v>0</v>
      </c>
      <c r="L60" s="173">
        <v>0</v>
      </c>
      <c r="M60" s="14"/>
      <c r="N60" s="21" t="s">
        <v>466</v>
      </c>
      <c r="O60" s="173">
        <v>8</v>
      </c>
      <c r="P60" s="173">
        <v>1</v>
      </c>
      <c r="Q60" s="173">
        <v>0</v>
      </c>
      <c r="R60" s="173">
        <v>0</v>
      </c>
      <c r="S60" s="173">
        <v>0</v>
      </c>
      <c r="T60" s="197">
        <v>0</v>
      </c>
      <c r="U60" s="197">
        <v>1271</v>
      </c>
      <c r="V60" s="173">
        <v>9</v>
      </c>
      <c r="W60" s="197">
        <v>0</v>
      </c>
      <c r="X60" s="173">
        <v>0</v>
      </c>
      <c r="Y60" s="14"/>
      <c r="Z60" s="21" t="s">
        <v>466</v>
      </c>
      <c r="AA60" s="173">
        <v>0</v>
      </c>
      <c r="AB60" s="197">
        <v>29</v>
      </c>
      <c r="AC60" s="173">
        <v>0</v>
      </c>
      <c r="AD60" s="173">
        <v>0</v>
      </c>
      <c r="AE60" s="173">
        <v>0</v>
      </c>
      <c r="AF60" s="173">
        <v>0</v>
      </c>
      <c r="AG60" s="173">
        <v>0</v>
      </c>
      <c r="AH60" s="197">
        <v>0</v>
      </c>
      <c r="AI60" s="173">
        <v>40</v>
      </c>
    </row>
    <row r="61" spans="1:35" ht="9" customHeight="1">
      <c r="L61" s="123" t="s">
        <v>138</v>
      </c>
      <c r="W61" s="123"/>
      <c r="X61" s="123" t="s">
        <v>138</v>
      </c>
      <c r="Y61" s="207" t="s">
        <v>94</v>
      </c>
      <c r="Z61" s="165"/>
      <c r="AA61" s="165"/>
      <c r="AB61" s="165"/>
      <c r="AC61" s="165"/>
      <c r="AD61" s="165"/>
    </row>
    <row r="62" spans="1:35" ht="9" customHeight="1">
      <c r="Y62" s="207" t="s">
        <v>101</v>
      </c>
      <c r="Z62" s="165"/>
      <c r="AA62" s="165"/>
      <c r="AB62" s="165"/>
      <c r="AC62" s="165"/>
      <c r="AD62" s="165"/>
    </row>
    <row r="63" spans="1:35" ht="9" customHeight="1">
      <c r="Y63" s="528" t="s">
        <v>355</v>
      </c>
      <c r="Z63" s="528"/>
      <c r="AA63" s="528"/>
      <c r="AB63" s="528"/>
      <c r="AC63" s="528"/>
      <c r="AD63" s="528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="130" zoomScaleNormal="130" workbookViewId="0">
      <selection activeCell="A3" sqref="A3"/>
    </sheetView>
  </sheetViews>
  <sheetFormatPr baseColWidth="10" defaultColWidth="12.42578125" defaultRowHeight="17.25" customHeight="1"/>
  <cols>
    <col min="1" max="1" width="10.140625" style="22" customWidth="1"/>
    <col min="2" max="2" width="7.140625" style="22" customWidth="1"/>
    <col min="3" max="3" width="8" style="22" customWidth="1"/>
    <col min="4" max="15" width="6.7109375" style="22" customWidth="1"/>
    <col min="16" max="16" width="7.7109375" style="22" hidden="1" customWidth="1"/>
    <col min="17" max="17" width="8.7109375" style="22" customWidth="1"/>
    <col min="18" max="18" width="7" style="22" customWidth="1"/>
    <col min="19" max="27" width="12.42578125" style="22"/>
    <col min="28" max="28" width="7.28515625" style="22" customWidth="1"/>
    <col min="29" max="37" width="12.42578125" style="22"/>
    <col min="38" max="38" width="35.42578125" style="22" customWidth="1"/>
    <col min="39" max="39" width="12.42578125" style="22"/>
    <col min="40" max="40" width="35.42578125" style="22" customWidth="1"/>
    <col min="41" max="44" width="12.42578125" style="22"/>
    <col min="45" max="47" width="13.7109375" style="22" customWidth="1"/>
    <col min="48" max="48" width="12.42578125" style="22"/>
    <col min="49" max="49" width="6" style="22" customWidth="1"/>
    <col min="50" max="50" width="12.42578125" style="22"/>
    <col min="51" max="51" width="6" style="22" customWidth="1"/>
    <col min="52" max="52" width="12.42578125" style="22"/>
    <col min="53" max="53" width="6" style="22" customWidth="1"/>
    <col min="54" max="54" width="12.42578125" style="22"/>
    <col min="55" max="55" width="6" style="22" customWidth="1"/>
    <col min="56" max="56" width="12.42578125" style="22"/>
    <col min="57" max="57" width="6" style="22" customWidth="1"/>
    <col min="58" max="16384" width="12.42578125" style="22"/>
  </cols>
  <sheetData>
    <row r="1" spans="1:18" ht="16.5" customHeight="1">
      <c r="A1" s="221" t="s">
        <v>417</v>
      </c>
      <c r="B1" s="222"/>
      <c r="C1" s="222"/>
      <c r="D1" s="44"/>
    </row>
    <row r="2" spans="1:18" ht="11.25" customHeight="1">
      <c r="A2" s="100" t="s">
        <v>512</v>
      </c>
      <c r="B2" s="102"/>
      <c r="C2" s="102"/>
    </row>
    <row r="3" spans="1:18" ht="13.5">
      <c r="A3" s="17" t="s">
        <v>429</v>
      </c>
      <c r="B3" s="103"/>
      <c r="C3" s="103"/>
    </row>
    <row r="4" spans="1:18" ht="3" customHeight="1"/>
    <row r="5" spans="1:18" ht="21" customHeight="1">
      <c r="A5" s="412" t="s">
        <v>50</v>
      </c>
      <c r="B5" s="413" t="s">
        <v>195</v>
      </c>
      <c r="C5" s="412" t="s">
        <v>506</v>
      </c>
      <c r="D5" s="412" t="s">
        <v>293</v>
      </c>
      <c r="E5" s="412" t="s">
        <v>294</v>
      </c>
      <c r="F5" s="412" t="s">
        <v>295</v>
      </c>
      <c r="G5" s="412" t="s">
        <v>170</v>
      </c>
      <c r="H5" s="412" t="s">
        <v>171</v>
      </c>
      <c r="I5" s="412" t="s">
        <v>172</v>
      </c>
      <c r="J5" s="412" t="s">
        <v>173</v>
      </c>
      <c r="K5" s="412" t="s">
        <v>174</v>
      </c>
      <c r="L5" s="412" t="s">
        <v>175</v>
      </c>
      <c r="M5" s="412" t="s">
        <v>176</v>
      </c>
      <c r="N5" s="412" t="s">
        <v>177</v>
      </c>
      <c r="O5" s="412" t="s">
        <v>178</v>
      </c>
      <c r="P5" s="303" t="s">
        <v>137</v>
      </c>
    </row>
    <row r="6" spans="1:18" ht="14.1" customHeight="1">
      <c r="A6" s="534" t="s">
        <v>179</v>
      </c>
      <c r="B6" s="403" t="s">
        <v>443</v>
      </c>
      <c r="C6" s="415">
        <v>153046.44999999998</v>
      </c>
      <c r="D6" s="416">
        <v>153046.44999999998</v>
      </c>
      <c r="E6" s="416">
        <v>232428.51</v>
      </c>
      <c r="F6" s="416">
        <v>394098.55000000005</v>
      </c>
      <c r="G6" s="416">
        <v>303656.14999999997</v>
      </c>
      <c r="H6" s="416">
        <v>281940.24999999994</v>
      </c>
      <c r="I6" s="416">
        <v>186419.35</v>
      </c>
      <c r="J6" s="416">
        <v>192554.8</v>
      </c>
      <c r="K6" s="416">
        <v>118130.852</v>
      </c>
      <c r="L6" s="416">
        <v>74246.95</v>
      </c>
      <c r="M6" s="416">
        <v>72004.549999999988</v>
      </c>
      <c r="N6" s="416">
        <v>83374.799999999988</v>
      </c>
      <c r="O6" s="417">
        <v>87627.5</v>
      </c>
      <c r="P6" s="294">
        <v>2194096.4890000005</v>
      </c>
    </row>
    <row r="7" spans="1:18" ht="14.1" customHeight="1">
      <c r="A7" s="535"/>
      <c r="B7" s="405" t="s">
        <v>465</v>
      </c>
      <c r="C7" s="418">
        <v>152136.34999999998</v>
      </c>
      <c r="D7" s="418">
        <v>152136.34999999998</v>
      </c>
      <c r="E7" s="418"/>
      <c r="F7" s="418"/>
      <c r="G7" s="418"/>
      <c r="H7" s="418"/>
      <c r="I7" s="418"/>
      <c r="J7" s="418"/>
      <c r="K7" s="418"/>
      <c r="L7" s="418"/>
      <c r="M7" s="418"/>
      <c r="N7" s="418"/>
      <c r="O7" s="418"/>
      <c r="P7" s="233"/>
    </row>
    <row r="8" spans="1:18" ht="13.5" customHeight="1">
      <c r="A8" s="104" t="s">
        <v>24</v>
      </c>
      <c r="B8" s="107" t="s">
        <v>346</v>
      </c>
      <c r="C8" s="235">
        <v>8488</v>
      </c>
      <c r="D8" s="295">
        <v>8488</v>
      </c>
      <c r="E8" s="295">
        <v>7963.7</v>
      </c>
      <c r="F8" s="295">
        <v>10227.200000000001</v>
      </c>
      <c r="G8" s="295">
        <v>9979</v>
      </c>
      <c r="H8" s="295">
        <v>11138.5</v>
      </c>
      <c r="I8" s="295">
        <v>4875.5</v>
      </c>
      <c r="J8" s="295">
        <v>7586.5</v>
      </c>
      <c r="K8" s="295">
        <v>7047.0020000000004</v>
      </c>
      <c r="L8" s="295">
        <v>6896</v>
      </c>
      <c r="M8" s="295">
        <v>5739</v>
      </c>
      <c r="N8" s="295">
        <v>4020.5</v>
      </c>
      <c r="O8" s="295">
        <v>3984.5</v>
      </c>
      <c r="P8" s="243">
        <v>94535.900000000009</v>
      </c>
      <c r="R8" s="171"/>
    </row>
    <row r="9" spans="1:18" ht="13.5" customHeight="1">
      <c r="A9" s="104"/>
      <c r="B9" s="107" t="s">
        <v>466</v>
      </c>
      <c r="C9" s="235">
        <v>2854</v>
      </c>
      <c r="D9" s="295">
        <v>2854</v>
      </c>
      <c r="E9" s="295"/>
      <c r="F9" s="295"/>
      <c r="G9" s="295"/>
      <c r="H9" s="295"/>
      <c r="I9" s="295"/>
      <c r="J9" s="295"/>
      <c r="K9" s="295"/>
      <c r="L9" s="295"/>
      <c r="M9" s="295"/>
      <c r="N9" s="295"/>
      <c r="O9" s="295"/>
      <c r="P9" s="243"/>
      <c r="R9" s="171"/>
    </row>
    <row r="10" spans="1:18" ht="13.5" customHeight="1">
      <c r="A10" s="104" t="s">
        <v>25</v>
      </c>
      <c r="B10" s="107" t="s">
        <v>346</v>
      </c>
      <c r="C10" s="235">
        <v>3519</v>
      </c>
      <c r="D10" s="295">
        <v>3519</v>
      </c>
      <c r="E10" s="295">
        <v>4737</v>
      </c>
      <c r="F10" s="295">
        <v>8202</v>
      </c>
      <c r="G10" s="295">
        <v>9876</v>
      </c>
      <c r="H10" s="295">
        <v>10134</v>
      </c>
      <c r="I10" s="295">
        <v>10860</v>
      </c>
      <c r="J10" s="295">
        <v>6266</v>
      </c>
      <c r="K10" s="295">
        <v>1928</v>
      </c>
      <c r="L10" s="295">
        <v>2142</v>
      </c>
      <c r="M10" s="295">
        <v>3006</v>
      </c>
      <c r="N10" s="295">
        <v>3419</v>
      </c>
      <c r="O10" s="295">
        <v>3757</v>
      </c>
      <c r="P10" s="243">
        <v>61554</v>
      </c>
      <c r="R10" s="171"/>
    </row>
    <row r="11" spans="1:18" ht="13.5" customHeight="1">
      <c r="A11" s="104"/>
      <c r="B11" s="107" t="s">
        <v>466</v>
      </c>
      <c r="C11" s="235">
        <v>3170</v>
      </c>
      <c r="D11" s="295">
        <v>3170</v>
      </c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43"/>
      <c r="R11" s="171"/>
    </row>
    <row r="12" spans="1:18" ht="13.5" customHeight="1">
      <c r="A12" s="104" t="s">
        <v>356</v>
      </c>
      <c r="B12" s="107" t="s">
        <v>346</v>
      </c>
      <c r="C12" s="235">
        <v>2109.4</v>
      </c>
      <c r="D12" s="295">
        <v>2109.4</v>
      </c>
      <c r="E12" s="295">
        <v>8374.4500000000007</v>
      </c>
      <c r="F12" s="295">
        <v>36105.300000000003</v>
      </c>
      <c r="G12" s="295">
        <v>13071.8</v>
      </c>
      <c r="H12" s="295">
        <v>20459.5</v>
      </c>
      <c r="I12" s="295">
        <v>6941.2</v>
      </c>
      <c r="J12" s="295">
        <v>782.9</v>
      </c>
      <c r="K12" s="295">
        <v>70</v>
      </c>
      <c r="L12" s="295">
        <v>27</v>
      </c>
      <c r="M12" s="295">
        <v>38</v>
      </c>
      <c r="N12" s="295">
        <v>473.5</v>
      </c>
      <c r="O12" s="295">
        <v>886</v>
      </c>
      <c r="P12" s="243">
        <v>112628.24999999999</v>
      </c>
      <c r="R12" s="171"/>
    </row>
    <row r="13" spans="1:18" ht="13.5" customHeight="1">
      <c r="A13" s="104"/>
      <c r="B13" s="107" t="s">
        <v>466</v>
      </c>
      <c r="C13" s="235">
        <v>2392.8000000000002</v>
      </c>
      <c r="D13" s="295">
        <v>2392.8000000000002</v>
      </c>
      <c r="E13" s="295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43"/>
      <c r="R13" s="171"/>
    </row>
    <row r="14" spans="1:18" ht="13.5" customHeight="1">
      <c r="A14" s="104" t="s">
        <v>27</v>
      </c>
      <c r="B14" s="107" t="s">
        <v>346</v>
      </c>
      <c r="C14" s="235">
        <v>4364</v>
      </c>
      <c r="D14" s="295">
        <v>4364</v>
      </c>
      <c r="E14" s="295">
        <v>7994</v>
      </c>
      <c r="F14" s="295">
        <v>11815</v>
      </c>
      <c r="G14" s="295">
        <v>9760</v>
      </c>
      <c r="H14" s="295">
        <v>6356</v>
      </c>
      <c r="I14" s="295">
        <v>6487</v>
      </c>
      <c r="J14" s="295">
        <v>4607</v>
      </c>
      <c r="K14" s="295">
        <v>7723</v>
      </c>
      <c r="L14" s="295">
        <v>6377</v>
      </c>
      <c r="M14" s="295">
        <v>3860</v>
      </c>
      <c r="N14" s="295">
        <v>4573</v>
      </c>
      <c r="O14" s="295">
        <v>4691</v>
      </c>
      <c r="P14" s="243">
        <v>82386</v>
      </c>
      <c r="R14" s="171"/>
    </row>
    <row r="15" spans="1:18" ht="13.5" customHeight="1">
      <c r="A15" s="104"/>
      <c r="B15" s="107" t="s">
        <v>466</v>
      </c>
      <c r="C15" s="235">
        <v>4511</v>
      </c>
      <c r="D15" s="295">
        <v>4511</v>
      </c>
      <c r="E15" s="295"/>
      <c r="F15" s="295"/>
      <c r="G15" s="295"/>
      <c r="H15" s="295"/>
      <c r="I15" s="295"/>
      <c r="J15" s="295"/>
      <c r="K15" s="295"/>
      <c r="L15" s="295"/>
      <c r="M15" s="295"/>
      <c r="N15" s="295"/>
      <c r="O15" s="295"/>
      <c r="P15" s="243"/>
      <c r="R15" s="171"/>
    </row>
    <row r="16" spans="1:18" ht="13.5" customHeight="1">
      <c r="A16" s="104" t="s">
        <v>28</v>
      </c>
      <c r="B16" s="107" t="s">
        <v>346</v>
      </c>
      <c r="C16" s="235">
        <v>5580</v>
      </c>
      <c r="D16" s="295">
        <v>5580</v>
      </c>
      <c r="E16" s="295">
        <v>11404</v>
      </c>
      <c r="F16" s="295">
        <v>28669</v>
      </c>
      <c r="G16" s="295">
        <v>28022</v>
      </c>
      <c r="H16" s="295">
        <v>29664</v>
      </c>
      <c r="I16" s="295">
        <v>8525</v>
      </c>
      <c r="J16" s="295">
        <v>332</v>
      </c>
      <c r="K16" s="295">
        <v>143</v>
      </c>
      <c r="L16" s="295">
        <v>106</v>
      </c>
      <c r="M16" s="295">
        <v>255</v>
      </c>
      <c r="N16" s="295">
        <v>661</v>
      </c>
      <c r="O16" s="295">
        <v>782</v>
      </c>
      <c r="P16" s="243">
        <v>113680</v>
      </c>
      <c r="Q16" s="234"/>
      <c r="R16" s="171"/>
    </row>
    <row r="17" spans="1:18" ht="13.5" customHeight="1">
      <c r="A17" s="104"/>
      <c r="B17" s="107" t="s">
        <v>466</v>
      </c>
      <c r="C17" s="235">
        <v>5255</v>
      </c>
      <c r="D17" s="295">
        <v>5255</v>
      </c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43"/>
      <c r="R17" s="171"/>
    </row>
    <row r="18" spans="1:18" ht="13.5" customHeight="1">
      <c r="A18" s="104" t="s">
        <v>29</v>
      </c>
      <c r="B18" s="107" t="s">
        <v>346</v>
      </c>
      <c r="C18" s="235">
        <v>5749</v>
      </c>
      <c r="D18" s="295">
        <v>5749</v>
      </c>
      <c r="E18" s="295">
        <v>17165</v>
      </c>
      <c r="F18" s="295">
        <v>36271.300000000003</v>
      </c>
      <c r="G18" s="295">
        <v>35918.5</v>
      </c>
      <c r="H18" s="295">
        <v>28679.4</v>
      </c>
      <c r="I18" s="295">
        <v>20416.3</v>
      </c>
      <c r="J18" s="295">
        <v>21418.55</v>
      </c>
      <c r="K18" s="295">
        <v>19835</v>
      </c>
      <c r="L18" s="295">
        <v>12029.05</v>
      </c>
      <c r="M18" s="295">
        <v>9324.9</v>
      </c>
      <c r="N18" s="295">
        <v>7175.9</v>
      </c>
      <c r="O18" s="295">
        <v>3942.25</v>
      </c>
      <c r="P18" s="243">
        <v>210623.55</v>
      </c>
      <c r="R18" s="171"/>
    </row>
    <row r="19" spans="1:18" ht="13.5" customHeight="1">
      <c r="A19" s="104"/>
      <c r="B19" s="107" t="s">
        <v>466</v>
      </c>
      <c r="C19" s="235">
        <v>5227</v>
      </c>
      <c r="D19" s="295">
        <v>5227</v>
      </c>
      <c r="E19" s="295"/>
      <c r="F19" s="295"/>
      <c r="G19" s="295"/>
      <c r="H19" s="295"/>
      <c r="I19" s="295"/>
      <c r="J19" s="295"/>
      <c r="K19" s="295"/>
      <c r="L19" s="295"/>
      <c r="M19" s="295"/>
      <c r="N19" s="295"/>
      <c r="O19" s="295"/>
      <c r="P19" s="243"/>
      <c r="R19" s="171"/>
    </row>
    <row r="20" spans="1:18" ht="13.5" customHeight="1">
      <c r="A20" s="104" t="s">
        <v>290</v>
      </c>
      <c r="B20" s="107" t="s">
        <v>346</v>
      </c>
      <c r="C20" s="235">
        <v>0</v>
      </c>
      <c r="D20" s="295">
        <v>0</v>
      </c>
      <c r="E20" s="295">
        <v>0</v>
      </c>
      <c r="F20" s="295">
        <v>0</v>
      </c>
      <c r="G20" s="295">
        <v>0</v>
      </c>
      <c r="H20" s="295">
        <v>0</v>
      </c>
      <c r="I20" s="295">
        <v>0</v>
      </c>
      <c r="J20" s="295">
        <v>0</v>
      </c>
      <c r="K20" s="295">
        <v>0</v>
      </c>
      <c r="L20" s="295">
        <v>0</v>
      </c>
      <c r="M20" s="295">
        <v>0</v>
      </c>
      <c r="N20" s="295">
        <v>0</v>
      </c>
      <c r="O20" s="295">
        <v>0</v>
      </c>
      <c r="P20" s="243">
        <v>0</v>
      </c>
      <c r="R20" s="171"/>
    </row>
    <row r="21" spans="1:18" ht="13.5" customHeight="1">
      <c r="A21" s="104"/>
      <c r="B21" s="107" t="s">
        <v>466</v>
      </c>
      <c r="C21" s="235">
        <v>0</v>
      </c>
      <c r="D21" s="295">
        <v>0</v>
      </c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43"/>
      <c r="R21" s="171"/>
    </row>
    <row r="22" spans="1:18" ht="13.5" customHeight="1">
      <c r="A22" s="104" t="s">
        <v>30</v>
      </c>
      <c r="B22" s="107" t="s">
        <v>346</v>
      </c>
      <c r="C22" s="235">
        <v>14023</v>
      </c>
      <c r="D22" s="295">
        <v>14023</v>
      </c>
      <c r="E22" s="295">
        <v>23681.010000000002</v>
      </c>
      <c r="F22" s="295">
        <v>35106</v>
      </c>
      <c r="G22" s="295">
        <v>33537</v>
      </c>
      <c r="H22" s="295">
        <v>15465</v>
      </c>
      <c r="I22" s="295">
        <v>3389</v>
      </c>
      <c r="J22" s="295">
        <v>172</v>
      </c>
      <c r="K22" s="295">
        <v>176</v>
      </c>
      <c r="L22" s="295">
        <v>192</v>
      </c>
      <c r="M22" s="295">
        <v>164</v>
      </c>
      <c r="N22" s="295">
        <v>355</v>
      </c>
      <c r="O22" s="295">
        <v>1631</v>
      </c>
      <c r="P22" s="243">
        <v>123929.01</v>
      </c>
      <c r="R22" s="171"/>
    </row>
    <row r="23" spans="1:18" ht="13.5" customHeight="1">
      <c r="A23" s="104"/>
      <c r="B23" s="107" t="s">
        <v>466</v>
      </c>
      <c r="C23" s="235">
        <v>11863</v>
      </c>
      <c r="D23" s="295">
        <v>11863</v>
      </c>
      <c r="E23" s="295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43"/>
      <c r="R23" s="171"/>
    </row>
    <row r="24" spans="1:18" ht="13.5" customHeight="1">
      <c r="A24" s="104" t="s">
        <v>31</v>
      </c>
      <c r="B24" s="107" t="s">
        <v>346</v>
      </c>
      <c r="C24" s="235">
        <v>2495</v>
      </c>
      <c r="D24" s="295">
        <v>2495</v>
      </c>
      <c r="E24" s="295">
        <v>7351</v>
      </c>
      <c r="F24" s="295">
        <v>24718</v>
      </c>
      <c r="G24" s="295">
        <v>26797</v>
      </c>
      <c r="H24" s="295">
        <v>25335</v>
      </c>
      <c r="I24" s="295">
        <v>5771</v>
      </c>
      <c r="J24" s="295">
        <v>1075</v>
      </c>
      <c r="K24" s="295">
        <v>390</v>
      </c>
      <c r="L24" s="295">
        <v>1076</v>
      </c>
      <c r="M24" s="295">
        <v>1201</v>
      </c>
      <c r="N24" s="295">
        <v>334</v>
      </c>
      <c r="O24" s="295">
        <v>526</v>
      </c>
      <c r="P24" s="243">
        <v>99616</v>
      </c>
      <c r="R24" s="171"/>
    </row>
    <row r="25" spans="1:18" ht="13.5" customHeight="1">
      <c r="A25" s="104"/>
      <c r="B25" s="107" t="s">
        <v>466</v>
      </c>
      <c r="C25" s="235">
        <v>2223</v>
      </c>
      <c r="D25" s="295">
        <v>2223</v>
      </c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43"/>
      <c r="R25" s="171"/>
    </row>
    <row r="26" spans="1:18" ht="13.5" customHeight="1">
      <c r="A26" s="104" t="s">
        <v>153</v>
      </c>
      <c r="B26" s="107" t="s">
        <v>346</v>
      </c>
      <c r="C26" s="235">
        <v>8213.75</v>
      </c>
      <c r="D26" s="295">
        <v>8213.75</v>
      </c>
      <c r="E26" s="295">
        <v>16615</v>
      </c>
      <c r="F26" s="295">
        <v>19055.5</v>
      </c>
      <c r="G26" s="295">
        <v>12201.5</v>
      </c>
      <c r="H26" s="295">
        <v>12795.75</v>
      </c>
      <c r="I26" s="295">
        <v>9933.75</v>
      </c>
      <c r="J26" s="295">
        <v>2980.25</v>
      </c>
      <c r="K26" s="295">
        <v>2767</v>
      </c>
      <c r="L26" s="295">
        <v>4636</v>
      </c>
      <c r="M26" s="295">
        <v>8280.5</v>
      </c>
      <c r="N26" s="295">
        <v>9482.25</v>
      </c>
      <c r="O26" s="295">
        <v>6463</v>
      </c>
      <c r="P26" s="243">
        <v>115362</v>
      </c>
      <c r="R26" s="171"/>
    </row>
    <row r="27" spans="1:18" ht="13.5" customHeight="1">
      <c r="A27" s="104"/>
      <c r="B27" s="107" t="s">
        <v>466</v>
      </c>
      <c r="C27" s="235">
        <v>9515</v>
      </c>
      <c r="D27" s="295">
        <v>9515</v>
      </c>
      <c r="E27" s="295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243"/>
      <c r="R27" s="171"/>
    </row>
    <row r="28" spans="1:18" ht="13.5" customHeight="1">
      <c r="A28" s="104" t="s">
        <v>32</v>
      </c>
      <c r="B28" s="107" t="s">
        <v>346</v>
      </c>
      <c r="C28" s="235">
        <v>1413.5</v>
      </c>
      <c r="D28" s="295">
        <v>1413.5</v>
      </c>
      <c r="E28" s="295">
        <v>2814.5</v>
      </c>
      <c r="F28" s="295">
        <v>1852.5</v>
      </c>
      <c r="G28" s="295">
        <v>2634.5</v>
      </c>
      <c r="H28" s="295">
        <v>3625</v>
      </c>
      <c r="I28" s="295">
        <v>6464</v>
      </c>
      <c r="J28" s="295">
        <v>3752.5</v>
      </c>
      <c r="K28" s="295">
        <v>5158</v>
      </c>
      <c r="L28" s="295">
        <v>3341</v>
      </c>
      <c r="M28" s="295">
        <v>3291</v>
      </c>
      <c r="N28" s="295">
        <v>2336</v>
      </c>
      <c r="O28" s="295">
        <v>2045</v>
      </c>
      <c r="P28" s="243">
        <v>32702.75</v>
      </c>
      <c r="R28" s="171"/>
    </row>
    <row r="29" spans="1:18" ht="13.5" customHeight="1">
      <c r="A29" s="104"/>
      <c r="B29" s="107" t="s">
        <v>466</v>
      </c>
      <c r="C29" s="235">
        <v>1294</v>
      </c>
      <c r="D29" s="295">
        <v>1294</v>
      </c>
      <c r="E29" s="295"/>
      <c r="F29" s="295"/>
      <c r="G29" s="295"/>
      <c r="H29" s="295"/>
      <c r="I29" s="295"/>
      <c r="J29" s="295"/>
      <c r="K29" s="295"/>
      <c r="L29" s="295"/>
      <c r="M29" s="295"/>
      <c r="N29" s="295"/>
      <c r="O29" s="295"/>
      <c r="P29" s="243"/>
      <c r="R29" s="171"/>
    </row>
    <row r="30" spans="1:18" ht="13.5" customHeight="1">
      <c r="A30" s="104" t="s">
        <v>154</v>
      </c>
      <c r="B30" s="107" t="s">
        <v>346</v>
      </c>
      <c r="C30" s="235">
        <v>8399</v>
      </c>
      <c r="D30" s="295">
        <v>8399</v>
      </c>
      <c r="E30" s="295">
        <v>16724</v>
      </c>
      <c r="F30" s="295">
        <v>25799</v>
      </c>
      <c r="G30" s="295">
        <v>16054</v>
      </c>
      <c r="H30" s="295">
        <v>13342</v>
      </c>
      <c r="I30" s="295">
        <v>1699</v>
      </c>
      <c r="J30" s="295">
        <v>620</v>
      </c>
      <c r="K30" s="295">
        <v>1302</v>
      </c>
      <c r="L30" s="295">
        <v>1810</v>
      </c>
      <c r="M30" s="295">
        <v>1991</v>
      </c>
      <c r="N30" s="295">
        <v>2496</v>
      </c>
      <c r="O30" s="295">
        <v>3304</v>
      </c>
      <c r="P30" s="243">
        <v>96697</v>
      </c>
      <c r="R30" s="171"/>
    </row>
    <row r="31" spans="1:18" ht="13.5" customHeight="1">
      <c r="A31" s="104"/>
      <c r="B31" s="107" t="s">
        <v>466</v>
      </c>
      <c r="C31" s="235">
        <v>8384</v>
      </c>
      <c r="D31" s="295">
        <v>8384</v>
      </c>
      <c r="E31" s="295"/>
      <c r="F31" s="295"/>
      <c r="G31" s="295"/>
      <c r="H31" s="295"/>
      <c r="I31" s="295"/>
      <c r="J31" s="295"/>
      <c r="K31" s="295"/>
      <c r="L31" s="295"/>
      <c r="M31" s="295"/>
      <c r="N31" s="295"/>
      <c r="O31" s="295"/>
      <c r="P31" s="243"/>
      <c r="R31" s="171"/>
    </row>
    <row r="32" spans="1:18" ht="13.5" customHeight="1">
      <c r="A32" s="104" t="s">
        <v>33</v>
      </c>
      <c r="B32" s="107" t="s">
        <v>346</v>
      </c>
      <c r="C32" s="235">
        <v>3602.5</v>
      </c>
      <c r="D32" s="295">
        <v>3602.5</v>
      </c>
      <c r="E32" s="295">
        <v>6299</v>
      </c>
      <c r="F32" s="295">
        <v>16200.1</v>
      </c>
      <c r="G32" s="295">
        <v>18210</v>
      </c>
      <c r="H32" s="295">
        <v>26999</v>
      </c>
      <c r="I32" s="295">
        <v>45000</v>
      </c>
      <c r="J32" s="295">
        <v>32605</v>
      </c>
      <c r="K32" s="295">
        <v>9966.5</v>
      </c>
      <c r="L32" s="295">
        <v>2521</v>
      </c>
      <c r="M32" s="295">
        <v>3186</v>
      </c>
      <c r="N32" s="295">
        <v>2929.5</v>
      </c>
      <c r="O32" s="295">
        <v>1385</v>
      </c>
      <c r="P32" s="243">
        <v>171616.7</v>
      </c>
      <c r="R32" s="171"/>
    </row>
    <row r="33" spans="1:18" ht="13.5" customHeight="1">
      <c r="A33" s="104"/>
      <c r="B33" s="107" t="s">
        <v>466</v>
      </c>
      <c r="C33" s="235">
        <v>3667.5</v>
      </c>
      <c r="D33" s="295">
        <v>3667.5</v>
      </c>
      <c r="E33" s="487"/>
      <c r="F33" s="487"/>
      <c r="G33" s="487"/>
      <c r="H33" s="487"/>
      <c r="I33" s="487"/>
      <c r="J33" s="487"/>
      <c r="K33" s="487"/>
      <c r="L33" s="487"/>
      <c r="M33" s="487"/>
      <c r="N33" s="487"/>
      <c r="O33" s="487"/>
      <c r="P33" s="243"/>
      <c r="R33" s="171"/>
    </row>
    <row r="34" spans="1:18" ht="12.75">
      <c r="A34" s="175"/>
      <c r="B34" s="105"/>
      <c r="C34" s="105"/>
      <c r="D34" s="296"/>
      <c r="E34" s="295"/>
      <c r="F34" s="295"/>
      <c r="G34" s="295"/>
      <c r="H34" s="295"/>
      <c r="I34" s="295"/>
      <c r="J34" s="295"/>
      <c r="K34" s="295"/>
      <c r="L34" s="295"/>
      <c r="M34" s="295"/>
      <c r="N34" s="295"/>
      <c r="O34" s="123"/>
      <c r="P34" s="177" t="s">
        <v>341</v>
      </c>
      <c r="R34" s="291"/>
    </row>
    <row r="35" spans="1:18" ht="14.25" customHeight="1">
      <c r="A35" s="74" t="s">
        <v>242</v>
      </c>
      <c r="B35" s="107"/>
      <c r="C35" s="107"/>
      <c r="D35" s="295"/>
      <c r="E35" s="295"/>
      <c r="F35" s="295"/>
      <c r="G35" s="295"/>
      <c r="H35" s="295"/>
      <c r="I35" s="295"/>
      <c r="J35" s="295"/>
      <c r="K35" s="295"/>
      <c r="L35" s="295"/>
      <c r="M35" s="295"/>
      <c r="N35" s="295"/>
      <c r="O35" s="295"/>
      <c r="P35" s="106"/>
      <c r="R35" s="291"/>
    </row>
    <row r="36" spans="1:18" ht="21" customHeight="1">
      <c r="A36" s="412" t="s">
        <v>50</v>
      </c>
      <c r="B36" s="413" t="s">
        <v>195</v>
      </c>
      <c r="C36" s="412" t="s">
        <v>506</v>
      </c>
      <c r="D36" s="414" t="s">
        <v>293</v>
      </c>
      <c r="E36" s="414" t="s">
        <v>294</v>
      </c>
      <c r="F36" s="414" t="s">
        <v>295</v>
      </c>
      <c r="G36" s="414" t="s">
        <v>170</v>
      </c>
      <c r="H36" s="414" t="s">
        <v>171</v>
      </c>
      <c r="I36" s="414" t="s">
        <v>172</v>
      </c>
      <c r="J36" s="414" t="s">
        <v>173</v>
      </c>
      <c r="K36" s="414" t="s">
        <v>174</v>
      </c>
      <c r="L36" s="412" t="s">
        <v>175</v>
      </c>
      <c r="M36" s="414" t="s">
        <v>176</v>
      </c>
      <c r="N36" s="414" t="s">
        <v>177</v>
      </c>
      <c r="O36" s="414" t="s">
        <v>178</v>
      </c>
      <c r="P36" s="303" t="s">
        <v>137</v>
      </c>
      <c r="R36" s="292"/>
    </row>
    <row r="37" spans="1:18" ht="13.5" customHeight="1">
      <c r="A37" s="104" t="s">
        <v>34</v>
      </c>
      <c r="B37" s="107" t="s">
        <v>346</v>
      </c>
      <c r="C37" s="235">
        <v>2532</v>
      </c>
      <c r="D37" s="295">
        <v>2532</v>
      </c>
      <c r="E37" s="295">
        <v>3469</v>
      </c>
      <c r="F37" s="295">
        <v>1014</v>
      </c>
      <c r="G37" s="295">
        <v>2268</v>
      </c>
      <c r="H37" s="295">
        <v>2468</v>
      </c>
      <c r="I37" s="295">
        <v>9969</v>
      </c>
      <c r="J37" s="295">
        <v>35540</v>
      </c>
      <c r="K37" s="295">
        <v>8406</v>
      </c>
      <c r="L37" s="295">
        <v>4087</v>
      </c>
      <c r="M37" s="295">
        <v>866</v>
      </c>
      <c r="N37" s="295">
        <v>3921</v>
      </c>
      <c r="O37" s="295">
        <v>3505</v>
      </c>
      <c r="P37" s="243">
        <v>83180</v>
      </c>
      <c r="R37" s="171"/>
    </row>
    <row r="38" spans="1:18" ht="13.5" customHeight="1">
      <c r="A38" s="104"/>
      <c r="B38" s="107" t="s">
        <v>466</v>
      </c>
      <c r="C38" s="235">
        <v>3907</v>
      </c>
      <c r="D38" s="295">
        <v>3907</v>
      </c>
      <c r="E38" s="295"/>
      <c r="F38" s="295"/>
      <c r="G38" s="295"/>
      <c r="H38" s="295"/>
      <c r="I38" s="295"/>
      <c r="J38" s="295"/>
      <c r="K38" s="295"/>
      <c r="L38" s="295"/>
      <c r="M38" s="295"/>
      <c r="N38" s="295"/>
      <c r="O38" s="295"/>
      <c r="P38" s="243"/>
      <c r="R38" s="171"/>
    </row>
    <row r="39" spans="1:18" ht="13.5" customHeight="1">
      <c r="A39" s="104" t="s">
        <v>35</v>
      </c>
      <c r="B39" s="107" t="s">
        <v>346</v>
      </c>
      <c r="C39" s="235">
        <v>5136.5</v>
      </c>
      <c r="D39" s="295">
        <v>5136.5</v>
      </c>
      <c r="E39" s="295">
        <v>5469</v>
      </c>
      <c r="F39" s="295">
        <v>3572.5</v>
      </c>
      <c r="G39" s="295">
        <v>2838</v>
      </c>
      <c r="H39" s="295">
        <v>2707.2</v>
      </c>
      <c r="I39" s="295">
        <v>4992</v>
      </c>
      <c r="J39" s="295">
        <v>6039.2999999999993</v>
      </c>
      <c r="K39" s="295">
        <v>4518.8999999999996</v>
      </c>
      <c r="L39" s="295">
        <v>3525</v>
      </c>
      <c r="M39" s="295">
        <v>3810</v>
      </c>
      <c r="N39" s="295">
        <v>5414.5</v>
      </c>
      <c r="O39" s="295">
        <v>5324</v>
      </c>
      <c r="P39" s="243">
        <v>49556.9</v>
      </c>
      <c r="R39" s="171"/>
    </row>
    <row r="40" spans="1:18" ht="13.5" customHeight="1">
      <c r="A40" s="104"/>
      <c r="B40" s="107" t="s">
        <v>466</v>
      </c>
      <c r="C40" s="235">
        <v>4847</v>
      </c>
      <c r="D40" s="295">
        <v>4847</v>
      </c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295"/>
      <c r="P40" s="243"/>
      <c r="R40" s="171"/>
    </row>
    <row r="41" spans="1:18" ht="13.5" customHeight="1">
      <c r="A41" s="104" t="s">
        <v>289</v>
      </c>
      <c r="B41" s="107" t="s">
        <v>346</v>
      </c>
      <c r="C41" s="235">
        <v>200</v>
      </c>
      <c r="D41" s="295">
        <v>200</v>
      </c>
      <c r="E41" s="295">
        <v>253</v>
      </c>
      <c r="F41" s="295">
        <v>230</v>
      </c>
      <c r="G41" s="295">
        <v>64</v>
      </c>
      <c r="H41" s="295">
        <v>138</v>
      </c>
      <c r="I41" s="295">
        <v>234</v>
      </c>
      <c r="J41" s="295">
        <v>250</v>
      </c>
      <c r="K41" s="295">
        <v>211</v>
      </c>
      <c r="L41" s="295">
        <v>133</v>
      </c>
      <c r="M41" s="295">
        <v>170</v>
      </c>
      <c r="N41" s="295">
        <v>188</v>
      </c>
      <c r="O41" s="295">
        <v>124</v>
      </c>
      <c r="P41" s="243">
        <v>2151</v>
      </c>
      <c r="R41" s="171"/>
    </row>
    <row r="42" spans="1:18" ht="13.5" customHeight="1">
      <c r="A42" s="104"/>
      <c r="B42" s="107" t="s">
        <v>466</v>
      </c>
      <c r="C42" s="235">
        <v>210</v>
      </c>
      <c r="D42" s="295">
        <v>210</v>
      </c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43"/>
      <c r="R42" s="171"/>
    </row>
    <row r="43" spans="1:18" ht="13.5" customHeight="1">
      <c r="A43" s="104" t="s">
        <v>36</v>
      </c>
      <c r="B43" s="107" t="s">
        <v>346</v>
      </c>
      <c r="C43" s="235">
        <v>21012</v>
      </c>
      <c r="D43" s="295">
        <v>21012</v>
      </c>
      <c r="E43" s="295">
        <v>17957</v>
      </c>
      <c r="F43" s="295">
        <v>13288</v>
      </c>
      <c r="G43" s="295">
        <v>7146</v>
      </c>
      <c r="H43" s="295">
        <v>6697</v>
      </c>
      <c r="I43" s="295">
        <v>4259</v>
      </c>
      <c r="J43" s="295">
        <v>4651</v>
      </c>
      <c r="K43" s="295">
        <v>2859</v>
      </c>
      <c r="L43" s="295">
        <v>4652</v>
      </c>
      <c r="M43" s="295">
        <v>9208</v>
      </c>
      <c r="N43" s="295">
        <v>18022</v>
      </c>
      <c r="O43" s="295">
        <v>24203</v>
      </c>
      <c r="P43" s="243">
        <v>129835</v>
      </c>
      <c r="R43" s="171"/>
    </row>
    <row r="44" spans="1:18" ht="13.5" customHeight="1">
      <c r="A44" s="104"/>
      <c r="B44" s="107" t="s">
        <v>466</v>
      </c>
      <c r="C44" s="235">
        <v>21261</v>
      </c>
      <c r="D44" s="295">
        <v>21261</v>
      </c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43"/>
      <c r="R44" s="171"/>
    </row>
    <row r="45" spans="1:18" ht="13.5" customHeight="1">
      <c r="A45" s="108" t="s">
        <v>55</v>
      </c>
      <c r="B45" s="107" t="s">
        <v>346</v>
      </c>
      <c r="C45" s="235">
        <v>453</v>
      </c>
      <c r="D45" s="295">
        <v>453</v>
      </c>
      <c r="E45" s="295">
        <v>3490</v>
      </c>
      <c r="F45" s="295">
        <v>3851</v>
      </c>
      <c r="G45" s="295">
        <v>1735.5</v>
      </c>
      <c r="H45" s="295">
        <v>520.5</v>
      </c>
      <c r="I45" s="295">
        <v>226</v>
      </c>
      <c r="J45" s="295">
        <v>210.5</v>
      </c>
      <c r="K45" s="295">
        <v>186</v>
      </c>
      <c r="L45" s="295">
        <v>299</v>
      </c>
      <c r="M45" s="295">
        <v>519.5</v>
      </c>
      <c r="N45" s="295">
        <v>315.5</v>
      </c>
      <c r="O45" s="295">
        <v>81</v>
      </c>
      <c r="P45" s="243">
        <v>10191</v>
      </c>
      <c r="R45" s="171"/>
    </row>
    <row r="46" spans="1:18" ht="13.5" customHeight="1">
      <c r="A46" s="108"/>
      <c r="B46" s="107" t="s">
        <v>466</v>
      </c>
      <c r="C46" s="235">
        <v>81</v>
      </c>
      <c r="D46" s="295">
        <v>81</v>
      </c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43"/>
      <c r="R46" s="171"/>
    </row>
    <row r="47" spans="1:18" ht="13.5" customHeight="1">
      <c r="A47" s="104" t="s">
        <v>67</v>
      </c>
      <c r="B47" s="107" t="s">
        <v>346</v>
      </c>
      <c r="C47" s="235">
        <v>362</v>
      </c>
      <c r="D47" s="295">
        <v>362</v>
      </c>
      <c r="E47" s="295">
        <v>668</v>
      </c>
      <c r="F47" s="295">
        <v>429</v>
      </c>
      <c r="G47" s="295">
        <v>216</v>
      </c>
      <c r="H47" s="295">
        <v>126</v>
      </c>
      <c r="I47" s="295">
        <v>215</v>
      </c>
      <c r="J47" s="295">
        <v>98</v>
      </c>
      <c r="K47" s="295">
        <v>52</v>
      </c>
      <c r="L47" s="295">
        <v>52</v>
      </c>
      <c r="M47" s="295">
        <v>24</v>
      </c>
      <c r="N47" s="295">
        <v>36</v>
      </c>
      <c r="O47" s="295">
        <v>18</v>
      </c>
      <c r="P47" s="243">
        <v>1913</v>
      </c>
      <c r="R47" s="171"/>
    </row>
    <row r="48" spans="1:18" ht="13.5" customHeight="1">
      <c r="A48" s="104"/>
      <c r="B48" s="107" t="s">
        <v>466</v>
      </c>
      <c r="C48" s="235">
        <v>307</v>
      </c>
      <c r="D48" s="295">
        <v>307</v>
      </c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43"/>
      <c r="R48" s="171"/>
    </row>
    <row r="49" spans="1:18" ht="13.5" customHeight="1">
      <c r="A49" s="104" t="s">
        <v>37</v>
      </c>
      <c r="B49" s="107" t="s">
        <v>346</v>
      </c>
      <c r="C49" s="235">
        <v>5181</v>
      </c>
      <c r="D49" s="295">
        <v>5181</v>
      </c>
      <c r="E49" s="295">
        <v>7130.5</v>
      </c>
      <c r="F49" s="295">
        <v>6543</v>
      </c>
      <c r="G49" s="295">
        <v>1518</v>
      </c>
      <c r="H49" s="295">
        <v>437</v>
      </c>
      <c r="I49" s="295">
        <v>358</v>
      </c>
      <c r="J49" s="295">
        <v>515</v>
      </c>
      <c r="K49" s="295">
        <v>1225</v>
      </c>
      <c r="L49" s="295">
        <v>1113</v>
      </c>
      <c r="M49" s="295">
        <v>960</v>
      </c>
      <c r="N49" s="295">
        <v>1104</v>
      </c>
      <c r="O49" s="295">
        <v>1328</v>
      </c>
      <c r="P49" s="243">
        <v>24533.06</v>
      </c>
      <c r="R49" s="171"/>
    </row>
    <row r="50" spans="1:18" ht="13.5" customHeight="1">
      <c r="A50" s="104"/>
      <c r="B50" s="107" t="s">
        <v>466</v>
      </c>
      <c r="C50" s="235">
        <v>4238</v>
      </c>
      <c r="D50" s="295">
        <v>4238</v>
      </c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43"/>
      <c r="R50" s="171"/>
    </row>
    <row r="51" spans="1:18" ht="13.5" customHeight="1">
      <c r="A51" s="104" t="s">
        <v>38</v>
      </c>
      <c r="B51" s="107" t="s">
        <v>346</v>
      </c>
      <c r="C51" s="235">
        <v>19799</v>
      </c>
      <c r="D51" s="295">
        <v>19799</v>
      </c>
      <c r="E51" s="295">
        <v>2323</v>
      </c>
      <c r="F51" s="295">
        <v>2243</v>
      </c>
      <c r="G51" s="295">
        <v>988</v>
      </c>
      <c r="H51" s="295">
        <v>3933</v>
      </c>
      <c r="I51" s="295">
        <v>16445</v>
      </c>
      <c r="J51" s="295">
        <v>36300</v>
      </c>
      <c r="K51" s="295">
        <v>22103</v>
      </c>
      <c r="L51" s="295">
        <v>6454</v>
      </c>
      <c r="M51" s="295">
        <v>1306</v>
      </c>
      <c r="N51" s="295">
        <v>939</v>
      </c>
      <c r="O51" s="295">
        <v>545</v>
      </c>
      <c r="P51" s="243">
        <v>111769</v>
      </c>
      <c r="R51" s="171"/>
    </row>
    <row r="52" spans="1:18" ht="13.5" customHeight="1">
      <c r="A52" s="104"/>
      <c r="B52" s="107" t="s">
        <v>466</v>
      </c>
      <c r="C52" s="235">
        <v>23414</v>
      </c>
      <c r="D52" s="295">
        <v>23414</v>
      </c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95"/>
      <c r="P52" s="243"/>
      <c r="R52" s="171"/>
    </row>
    <row r="53" spans="1:18" ht="13.5" customHeight="1">
      <c r="A53" s="104" t="s">
        <v>39</v>
      </c>
      <c r="B53" s="107" t="s">
        <v>346</v>
      </c>
      <c r="C53" s="235">
        <v>8323</v>
      </c>
      <c r="D53" s="295">
        <v>8323</v>
      </c>
      <c r="E53" s="295">
        <v>34753</v>
      </c>
      <c r="F53" s="295">
        <v>90613</v>
      </c>
      <c r="G53" s="295">
        <v>58154</v>
      </c>
      <c r="H53" s="295">
        <v>47346</v>
      </c>
      <c r="I53" s="295">
        <v>2820</v>
      </c>
      <c r="J53" s="295">
        <v>0</v>
      </c>
      <c r="K53" s="295">
        <v>0</v>
      </c>
      <c r="L53" s="295">
        <v>0</v>
      </c>
      <c r="M53" s="295">
        <v>0</v>
      </c>
      <c r="N53" s="295">
        <v>500</v>
      </c>
      <c r="O53" s="295">
        <v>890</v>
      </c>
      <c r="P53" s="243">
        <v>245385</v>
      </c>
      <c r="R53" s="171"/>
    </row>
    <row r="54" spans="1:18" ht="13.5" customHeight="1">
      <c r="A54" s="104"/>
      <c r="B54" s="107" t="s">
        <v>466</v>
      </c>
      <c r="C54" s="235">
        <v>7859</v>
      </c>
      <c r="D54" s="295">
        <v>7859</v>
      </c>
      <c r="E54" s="295"/>
      <c r="F54" s="295"/>
      <c r="G54" s="295"/>
      <c r="H54" s="295"/>
      <c r="I54" s="295"/>
      <c r="J54" s="295"/>
      <c r="K54" s="295"/>
      <c r="L54" s="295"/>
      <c r="M54" s="295"/>
      <c r="N54" s="295"/>
      <c r="O54" s="295"/>
      <c r="P54" s="243"/>
      <c r="R54" s="171"/>
    </row>
    <row r="55" spans="1:18" ht="13.5" customHeight="1">
      <c r="A55" s="104" t="s">
        <v>70</v>
      </c>
      <c r="B55" s="107" t="s">
        <v>346</v>
      </c>
      <c r="C55" s="235">
        <v>12357</v>
      </c>
      <c r="D55" s="295">
        <v>12357</v>
      </c>
      <c r="E55" s="295">
        <v>20375</v>
      </c>
      <c r="F55" s="295">
        <v>13410</v>
      </c>
      <c r="G55" s="295">
        <v>8465</v>
      </c>
      <c r="H55" s="295">
        <v>10806.1</v>
      </c>
      <c r="I55" s="295">
        <v>13411.5</v>
      </c>
      <c r="J55" s="295">
        <v>20195.5</v>
      </c>
      <c r="K55" s="295">
        <v>18670</v>
      </c>
      <c r="L55" s="295">
        <v>10205.5</v>
      </c>
      <c r="M55" s="295">
        <v>11488</v>
      </c>
      <c r="N55" s="295">
        <v>11764.5</v>
      </c>
      <c r="O55" s="295">
        <v>14940</v>
      </c>
      <c r="P55" s="243">
        <v>166642</v>
      </c>
      <c r="R55" s="171"/>
    </row>
    <row r="56" spans="1:18" ht="13.5" customHeight="1">
      <c r="A56" s="104"/>
      <c r="B56" s="107" t="s">
        <v>466</v>
      </c>
      <c r="C56" s="235">
        <v>14831.5</v>
      </c>
      <c r="D56" s="295">
        <v>14831.5</v>
      </c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43"/>
      <c r="R56" s="171"/>
    </row>
    <row r="57" spans="1:18" ht="13.5" customHeight="1">
      <c r="A57" s="104" t="s">
        <v>68</v>
      </c>
      <c r="B57" s="107" t="s">
        <v>346</v>
      </c>
      <c r="C57" s="235">
        <v>686</v>
      </c>
      <c r="D57" s="295">
        <v>686</v>
      </c>
      <c r="E57" s="295">
        <v>915</v>
      </c>
      <c r="F57" s="295">
        <v>985</v>
      </c>
      <c r="G57" s="295">
        <v>825</v>
      </c>
      <c r="H57" s="295">
        <v>456</v>
      </c>
      <c r="I57" s="295">
        <v>387</v>
      </c>
      <c r="J57" s="295">
        <v>341</v>
      </c>
      <c r="K57" s="295">
        <v>412</v>
      </c>
      <c r="L57" s="295">
        <v>564</v>
      </c>
      <c r="M57" s="295">
        <v>383</v>
      </c>
      <c r="N57" s="295">
        <v>383</v>
      </c>
      <c r="O57" s="295">
        <v>412</v>
      </c>
      <c r="P57" s="243">
        <v>6538</v>
      </c>
      <c r="R57" s="171"/>
    </row>
    <row r="58" spans="1:18" ht="13.5" customHeight="1">
      <c r="A58" s="104"/>
      <c r="B58" s="107" t="s">
        <v>466</v>
      </c>
      <c r="C58" s="235">
        <v>576</v>
      </c>
      <c r="D58" s="295">
        <v>576</v>
      </c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43"/>
      <c r="R58" s="171"/>
    </row>
    <row r="59" spans="1:18" ht="13.5" customHeight="1">
      <c r="A59" s="104" t="s">
        <v>69</v>
      </c>
      <c r="B59" s="107" t="s">
        <v>346</v>
      </c>
      <c r="C59" s="235">
        <v>6307.8</v>
      </c>
      <c r="D59" s="295">
        <v>6307.8</v>
      </c>
      <c r="E59" s="295">
        <v>522.34999999999991</v>
      </c>
      <c r="F59" s="295">
        <v>99.149999999999977</v>
      </c>
      <c r="G59" s="295">
        <v>73.350000000000009</v>
      </c>
      <c r="H59" s="295">
        <v>74.3</v>
      </c>
      <c r="I59" s="295">
        <v>1686.1000000000001</v>
      </c>
      <c r="J59" s="295">
        <v>5425.8</v>
      </c>
      <c r="K59" s="295">
        <v>1294.45</v>
      </c>
      <c r="L59" s="295">
        <v>125.39999999999999</v>
      </c>
      <c r="M59" s="295">
        <v>133.64999999999998</v>
      </c>
      <c r="N59" s="295">
        <v>130.65</v>
      </c>
      <c r="O59" s="295">
        <v>1411.7499999999998</v>
      </c>
      <c r="P59" s="243">
        <v>12847.85</v>
      </c>
      <c r="R59" s="171"/>
    </row>
    <row r="60" spans="1:18" ht="13.5" customHeight="1">
      <c r="A60" s="104"/>
      <c r="B60" s="107" t="s">
        <v>466</v>
      </c>
      <c r="C60" s="235">
        <v>5988.5499999999993</v>
      </c>
      <c r="D60" s="295">
        <v>5988.5499999999993</v>
      </c>
      <c r="E60" s="295"/>
      <c r="F60" s="295"/>
      <c r="G60" s="295"/>
      <c r="H60" s="295"/>
      <c r="I60" s="295"/>
      <c r="J60" s="295"/>
      <c r="K60" s="295"/>
      <c r="L60" s="295"/>
      <c r="M60" s="295"/>
      <c r="N60" s="295"/>
      <c r="O60" s="295"/>
      <c r="P60" s="243"/>
      <c r="R60" s="171"/>
    </row>
    <row r="61" spans="1:18" ht="13.5" customHeight="1">
      <c r="A61" s="104" t="s">
        <v>71</v>
      </c>
      <c r="B61" s="107" t="s">
        <v>346</v>
      </c>
      <c r="C61" s="235">
        <v>2741</v>
      </c>
      <c r="D61" s="295">
        <v>2741</v>
      </c>
      <c r="E61" s="295">
        <v>3981</v>
      </c>
      <c r="F61" s="295">
        <v>3800</v>
      </c>
      <c r="G61" s="295">
        <v>3304</v>
      </c>
      <c r="H61" s="295">
        <v>2238</v>
      </c>
      <c r="I61" s="295">
        <v>1055</v>
      </c>
      <c r="J61" s="295">
        <v>791</v>
      </c>
      <c r="K61" s="295">
        <v>1688</v>
      </c>
      <c r="L61" s="295">
        <v>1884</v>
      </c>
      <c r="M61" s="295">
        <v>2800</v>
      </c>
      <c r="N61" s="295">
        <v>2401</v>
      </c>
      <c r="O61" s="295">
        <v>1449</v>
      </c>
      <c r="P61" s="243">
        <v>34223.519</v>
      </c>
      <c r="R61" s="171"/>
    </row>
    <row r="62" spans="1:18" ht="13.5" customHeight="1">
      <c r="A62" s="104"/>
      <c r="B62" s="107" t="s">
        <v>466</v>
      </c>
      <c r="C62" s="235">
        <v>4260</v>
      </c>
      <c r="D62" s="295">
        <v>4260</v>
      </c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295"/>
      <c r="P62" s="243"/>
      <c r="R62" s="171"/>
    </row>
    <row r="63" spans="1:18" ht="9" customHeight="1">
      <c r="A63" s="293" t="s">
        <v>94</v>
      </c>
      <c r="B63" s="105"/>
      <c r="C63" s="105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7"/>
      <c r="R63" s="52"/>
    </row>
    <row r="64" spans="1:18" ht="9" customHeight="1">
      <c r="A64" s="179" t="s">
        <v>101</v>
      </c>
      <c r="B64" s="178"/>
      <c r="C64" s="178"/>
      <c r="D64" s="165"/>
      <c r="E64" s="165"/>
      <c r="F64" s="165"/>
      <c r="G64" s="165"/>
      <c r="R64" s="52"/>
    </row>
    <row r="65" spans="1:18" ht="9" customHeight="1">
      <c r="A65" s="251" t="s">
        <v>355</v>
      </c>
      <c r="B65" s="251"/>
      <c r="C65" s="251"/>
      <c r="D65" s="251"/>
      <c r="E65" s="251"/>
      <c r="F65" s="251"/>
      <c r="G65" s="251"/>
      <c r="R65" s="52"/>
    </row>
    <row r="66" spans="1:18" ht="17.25" customHeight="1">
      <c r="R66" s="52"/>
    </row>
    <row r="67" spans="1:18" ht="17.25" customHeight="1">
      <c r="R67" s="52"/>
    </row>
    <row r="68" spans="1:18" ht="17.25" customHeight="1">
      <c r="R68" s="52"/>
    </row>
    <row r="69" spans="1:18" ht="17.25" customHeight="1">
      <c r="R69" s="52"/>
    </row>
    <row r="70" spans="1:18" ht="17.25" customHeight="1">
      <c r="R70" s="52"/>
    </row>
    <row r="71" spans="1:18" ht="17.25" customHeight="1">
      <c r="R71" s="52"/>
    </row>
    <row r="72" spans="1:18" ht="17.25" customHeight="1">
      <c r="R72" s="52"/>
    </row>
    <row r="73" spans="1:18" ht="17.25" customHeight="1">
      <c r="R73" s="52"/>
    </row>
    <row r="74" spans="1:18" ht="17.25" customHeight="1">
      <c r="R74" s="52"/>
    </row>
    <row r="75" spans="1:18" ht="17.25" customHeight="1">
      <c r="R75" s="52"/>
    </row>
    <row r="76" spans="1:18" ht="17.25" customHeight="1">
      <c r="R76" s="52"/>
    </row>
    <row r="77" spans="1:18" ht="17.25" customHeight="1">
      <c r="R77" s="52"/>
    </row>
    <row r="78" spans="1:18" ht="17.25" customHeight="1">
      <c r="R78" s="52"/>
    </row>
    <row r="79" spans="1:18" ht="17.25" customHeight="1">
      <c r="R79" s="52"/>
    </row>
    <row r="80" spans="1:18" ht="17.25" customHeight="1">
      <c r="R80" s="52"/>
    </row>
    <row r="81" spans="18:18" ht="17.25" customHeight="1">
      <c r="R81" s="52"/>
    </row>
    <row r="82" spans="18:18" ht="17.25" customHeight="1">
      <c r="R82" s="52"/>
    </row>
    <row r="83" spans="18:18" ht="17.25" customHeight="1">
      <c r="R83" s="52"/>
    </row>
    <row r="84" spans="18:18" ht="17.25" customHeight="1">
      <c r="R84" s="52"/>
    </row>
    <row r="85" spans="18:18" ht="17.25" customHeight="1">
      <c r="R85" s="52"/>
    </row>
    <row r="86" spans="18:18" ht="17.25" customHeight="1">
      <c r="R86" s="52"/>
    </row>
    <row r="87" spans="18:18" ht="17.25" customHeight="1">
      <c r="R87" s="52"/>
    </row>
    <row r="88" spans="18:18" ht="17.25" customHeight="1">
      <c r="R88" s="52"/>
    </row>
    <row r="89" spans="18:18" ht="17.25" customHeight="1">
      <c r="R89" s="52"/>
    </row>
    <row r="90" spans="18:18" ht="17.25" customHeight="1">
      <c r="R90" s="52"/>
    </row>
    <row r="91" spans="18:18" ht="17.25" customHeight="1">
      <c r="R91" s="52"/>
    </row>
    <row r="108" spans="18:18" ht="17.25" customHeight="1">
      <c r="R108" s="234"/>
    </row>
    <row r="197" spans="18:18" ht="17.25" customHeight="1">
      <c r="R197" s="23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="130" zoomScaleNormal="130" workbookViewId="0">
      <selection activeCell="A3" sqref="A3"/>
    </sheetView>
  </sheetViews>
  <sheetFormatPr baseColWidth="10" defaultColWidth="10.7109375" defaultRowHeight="17.25" customHeight="1"/>
  <cols>
    <col min="1" max="1" width="11" style="204" customWidth="1"/>
    <col min="2" max="2" width="6.42578125" style="204" customWidth="1"/>
    <col min="3" max="3" width="8.7109375" style="204" customWidth="1"/>
    <col min="4" max="15" width="6.85546875" style="204" customWidth="1"/>
    <col min="16" max="16" width="7.140625" style="204" hidden="1" customWidth="1"/>
    <col min="17" max="17" width="7.140625" style="204" customWidth="1"/>
    <col min="18" max="16384" width="10.7109375" style="204"/>
  </cols>
  <sheetData>
    <row r="1" spans="1:17" ht="16.5" customHeight="1">
      <c r="A1" s="221" t="s">
        <v>241</v>
      </c>
      <c r="B1" s="218"/>
      <c r="C1" s="44"/>
      <c r="D1" s="44"/>
    </row>
    <row r="2" spans="1:17" ht="12" customHeight="1">
      <c r="A2" s="100" t="s">
        <v>512</v>
      </c>
      <c r="B2" s="24"/>
    </row>
    <row r="3" spans="1:17" ht="13.5">
      <c r="A3" s="401" t="s">
        <v>429</v>
      </c>
      <c r="B3" s="24"/>
    </row>
    <row r="4" spans="1:17" ht="5.25" customHeight="1">
      <c r="A4" s="94"/>
    </row>
    <row r="5" spans="1:17" ht="21.95" customHeight="1">
      <c r="A5" s="412" t="s">
        <v>57</v>
      </c>
      <c r="B5" s="413" t="s">
        <v>195</v>
      </c>
      <c r="C5" s="412" t="s">
        <v>293</v>
      </c>
      <c r="D5" s="412" t="s">
        <v>293</v>
      </c>
      <c r="E5" s="412" t="s">
        <v>294</v>
      </c>
      <c r="F5" s="412" t="s">
        <v>295</v>
      </c>
      <c r="G5" s="412" t="s">
        <v>170</v>
      </c>
      <c r="H5" s="412" t="s">
        <v>171</v>
      </c>
      <c r="I5" s="412" t="s">
        <v>172</v>
      </c>
      <c r="J5" s="412" t="s">
        <v>422</v>
      </c>
      <c r="K5" s="412" t="s">
        <v>174</v>
      </c>
      <c r="L5" s="412" t="s">
        <v>175</v>
      </c>
      <c r="M5" s="412" t="s">
        <v>176</v>
      </c>
      <c r="N5" s="412" t="s">
        <v>177</v>
      </c>
      <c r="O5" s="412" t="s">
        <v>178</v>
      </c>
      <c r="P5" s="174"/>
    </row>
    <row r="6" spans="1:17" ht="13.5" customHeight="1">
      <c r="A6" s="536" t="s">
        <v>179</v>
      </c>
      <c r="B6" s="403" t="s">
        <v>443</v>
      </c>
      <c r="C6" s="419">
        <v>2179528.7119999998</v>
      </c>
      <c r="D6" s="420">
        <v>153046.44999999998</v>
      </c>
      <c r="E6" s="420">
        <v>232428.50999999998</v>
      </c>
      <c r="F6" s="420">
        <v>394098.55</v>
      </c>
      <c r="G6" s="420">
        <v>303656.15000000002</v>
      </c>
      <c r="H6" s="420">
        <v>281940.25</v>
      </c>
      <c r="I6" s="420">
        <v>186419.34999999998</v>
      </c>
      <c r="J6" s="420">
        <v>192554.8</v>
      </c>
      <c r="K6" s="420">
        <v>118130.85199999998</v>
      </c>
      <c r="L6" s="420">
        <v>74246.95</v>
      </c>
      <c r="M6" s="420">
        <v>72004.549999999988</v>
      </c>
      <c r="N6" s="420">
        <v>83374.8</v>
      </c>
      <c r="O6" s="420">
        <v>87627.5</v>
      </c>
      <c r="P6" s="193"/>
      <c r="Q6" s="42"/>
    </row>
    <row r="7" spans="1:17" ht="13.5" customHeight="1">
      <c r="A7" s="537"/>
      <c r="B7" s="405" t="s">
        <v>465</v>
      </c>
      <c r="C7" s="421">
        <v>152136.34999999998</v>
      </c>
      <c r="D7" s="421">
        <v>152136.34999999998</v>
      </c>
      <c r="E7" s="421">
        <v>0</v>
      </c>
      <c r="F7" s="421">
        <v>0</v>
      </c>
      <c r="G7" s="421">
        <v>0</v>
      </c>
      <c r="H7" s="421">
        <v>0</v>
      </c>
      <c r="I7" s="421">
        <v>0</v>
      </c>
      <c r="J7" s="421">
        <v>0</v>
      </c>
      <c r="K7" s="421">
        <v>0</v>
      </c>
      <c r="L7" s="421">
        <v>0</v>
      </c>
      <c r="M7" s="421">
        <v>0</v>
      </c>
      <c r="N7" s="421">
        <v>0</v>
      </c>
      <c r="O7" s="421">
        <v>0</v>
      </c>
      <c r="P7" s="236"/>
      <c r="Q7" s="42"/>
    </row>
    <row r="8" spans="1:17" ht="13.5" customHeight="1">
      <c r="A8" s="180" t="s">
        <v>253</v>
      </c>
      <c r="B8" s="107" t="s">
        <v>346</v>
      </c>
      <c r="C8" s="422">
        <v>117718.01000000001</v>
      </c>
      <c r="D8" s="298">
        <v>12</v>
      </c>
      <c r="E8" s="298">
        <v>996.01</v>
      </c>
      <c r="F8" s="298">
        <v>5346</v>
      </c>
      <c r="G8" s="298">
        <v>7896</v>
      </c>
      <c r="H8" s="298">
        <v>26146</v>
      </c>
      <c r="I8" s="298">
        <v>36005.5</v>
      </c>
      <c r="J8" s="298">
        <v>22261</v>
      </c>
      <c r="K8" s="298">
        <v>14620.5</v>
      </c>
      <c r="L8" s="298">
        <v>2825</v>
      </c>
      <c r="M8" s="298">
        <v>455</v>
      </c>
      <c r="N8" s="298">
        <v>752</v>
      </c>
      <c r="O8" s="298">
        <v>403</v>
      </c>
      <c r="P8" s="244"/>
    </row>
    <row r="9" spans="1:17" ht="13.5" customHeight="1">
      <c r="A9" s="22"/>
      <c r="B9" s="107" t="s">
        <v>466</v>
      </c>
      <c r="C9" s="422">
        <v>23</v>
      </c>
      <c r="D9" s="298">
        <v>23</v>
      </c>
      <c r="E9" s="298"/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44"/>
    </row>
    <row r="10" spans="1:17" ht="13.5" customHeight="1">
      <c r="A10" s="180" t="s">
        <v>225</v>
      </c>
      <c r="B10" s="107" t="s">
        <v>346</v>
      </c>
      <c r="C10" s="422">
        <v>256652.45</v>
      </c>
      <c r="D10" s="298">
        <v>26892</v>
      </c>
      <c r="E10" s="298">
        <v>40299</v>
      </c>
      <c r="F10" s="298">
        <v>27958.3</v>
      </c>
      <c r="G10" s="298">
        <v>15264.2</v>
      </c>
      <c r="H10" s="298">
        <v>15966.6</v>
      </c>
      <c r="I10" s="298">
        <v>20800.95</v>
      </c>
      <c r="J10" s="298">
        <v>28713.4</v>
      </c>
      <c r="K10" s="298">
        <v>24416.2</v>
      </c>
      <c r="L10" s="298">
        <v>13175.15</v>
      </c>
      <c r="M10" s="298">
        <v>10753.8</v>
      </c>
      <c r="N10" s="298">
        <v>14990.25</v>
      </c>
      <c r="O10" s="298">
        <v>17422.599999999999</v>
      </c>
      <c r="P10" s="244"/>
    </row>
    <row r="11" spans="1:17" ht="13.5" customHeight="1">
      <c r="A11" s="180"/>
      <c r="B11" s="107" t="s">
        <v>466</v>
      </c>
      <c r="C11" s="422">
        <v>31430.45</v>
      </c>
      <c r="D11" s="298">
        <v>31430.45</v>
      </c>
      <c r="E11" s="298"/>
      <c r="F11" s="298"/>
      <c r="G11" s="298"/>
      <c r="H11" s="298"/>
      <c r="I11" s="298"/>
      <c r="J11" s="298"/>
      <c r="K11" s="298"/>
      <c r="L11" s="298"/>
      <c r="M11" s="298"/>
      <c r="N11" s="298"/>
      <c r="O11" s="298"/>
      <c r="P11" s="244"/>
    </row>
    <row r="12" spans="1:17" ht="13.5" customHeight="1">
      <c r="A12" s="180" t="s">
        <v>193</v>
      </c>
      <c r="B12" s="107" t="s">
        <v>346</v>
      </c>
      <c r="C12" s="422">
        <v>239671.50200000001</v>
      </c>
      <c r="D12" s="298">
        <v>16631.25</v>
      </c>
      <c r="E12" s="298">
        <v>41413.25</v>
      </c>
      <c r="F12" s="298">
        <v>75422</v>
      </c>
      <c r="G12" s="298">
        <v>45361.5</v>
      </c>
      <c r="H12" s="298">
        <v>31333</v>
      </c>
      <c r="I12" s="298">
        <v>15417.5</v>
      </c>
      <c r="J12" s="298">
        <v>3937</v>
      </c>
      <c r="K12" s="298">
        <v>1899.752</v>
      </c>
      <c r="L12" s="298">
        <v>1161.75</v>
      </c>
      <c r="M12" s="298">
        <v>1932</v>
      </c>
      <c r="N12" s="298">
        <v>1644.5</v>
      </c>
      <c r="O12" s="298">
        <v>3518</v>
      </c>
      <c r="P12" s="244"/>
    </row>
    <row r="13" spans="1:17" ht="13.5" customHeight="1">
      <c r="A13" s="22"/>
      <c r="B13" s="107" t="s">
        <v>466</v>
      </c>
      <c r="C13" s="422">
        <v>15216</v>
      </c>
      <c r="D13" s="298">
        <v>15216</v>
      </c>
      <c r="E13" s="298"/>
      <c r="F13" s="298"/>
      <c r="G13" s="298"/>
      <c r="H13" s="298"/>
      <c r="I13" s="298"/>
      <c r="J13" s="298"/>
      <c r="K13" s="298"/>
      <c r="L13" s="298"/>
      <c r="M13" s="298"/>
      <c r="N13" s="298"/>
      <c r="O13" s="298"/>
      <c r="P13" s="244"/>
    </row>
    <row r="14" spans="1:17" ht="13.5" customHeight="1">
      <c r="A14" s="180" t="s">
        <v>277</v>
      </c>
      <c r="B14" s="107" t="s">
        <v>346</v>
      </c>
      <c r="C14" s="422">
        <v>413573.9</v>
      </c>
      <c r="D14" s="298">
        <v>43949</v>
      </c>
      <c r="E14" s="298">
        <v>27167</v>
      </c>
      <c r="F14" s="298">
        <v>28669</v>
      </c>
      <c r="G14" s="298">
        <v>29304</v>
      </c>
      <c r="H14" s="298">
        <v>26605.4</v>
      </c>
      <c r="I14" s="298">
        <v>45837.5</v>
      </c>
      <c r="J14" s="298">
        <v>94705.1</v>
      </c>
      <c r="K14" s="298">
        <v>32591</v>
      </c>
      <c r="L14" s="298">
        <v>17356.5</v>
      </c>
      <c r="M14" s="298">
        <v>19484</v>
      </c>
      <c r="N14" s="298">
        <v>21834.400000000001</v>
      </c>
      <c r="O14" s="298">
        <v>26071</v>
      </c>
      <c r="P14" s="244"/>
    </row>
    <row r="15" spans="1:17" ht="13.5" customHeight="1">
      <c r="A15" s="22"/>
      <c r="B15" s="107" t="s">
        <v>466</v>
      </c>
      <c r="C15" s="422">
        <v>40983.5</v>
      </c>
      <c r="D15" s="298">
        <v>40983.5</v>
      </c>
      <c r="E15" s="298"/>
      <c r="F15" s="298"/>
      <c r="G15" s="298"/>
      <c r="H15" s="298"/>
      <c r="I15" s="298"/>
      <c r="J15" s="298"/>
      <c r="K15" s="298"/>
      <c r="L15" s="298"/>
      <c r="M15" s="298"/>
      <c r="N15" s="298"/>
      <c r="O15" s="298"/>
      <c r="P15" s="244"/>
    </row>
    <row r="16" spans="1:17" ht="13.5" customHeight="1">
      <c r="A16" s="180" t="s">
        <v>149</v>
      </c>
      <c r="B16" s="107" t="s">
        <v>346</v>
      </c>
      <c r="C16" s="422">
        <v>127376.74999999999</v>
      </c>
      <c r="D16" s="298">
        <v>15</v>
      </c>
      <c r="E16" s="298">
        <v>966</v>
      </c>
      <c r="F16" s="298">
        <v>21294</v>
      </c>
      <c r="G16" s="298">
        <v>23383</v>
      </c>
      <c r="H16" s="298">
        <v>39958</v>
      </c>
      <c r="I16" s="298">
        <v>26352.95</v>
      </c>
      <c r="J16" s="298">
        <v>12357.4</v>
      </c>
      <c r="K16" s="298">
        <v>2551.4</v>
      </c>
      <c r="L16" s="298">
        <v>297</v>
      </c>
      <c r="M16" s="298">
        <v>58.5</v>
      </c>
      <c r="N16" s="298">
        <v>45.5</v>
      </c>
      <c r="O16" s="298">
        <v>98</v>
      </c>
      <c r="P16" s="244"/>
    </row>
    <row r="17" spans="1:16" ht="13.5" customHeight="1">
      <c r="A17" s="22"/>
      <c r="B17" s="107" t="s">
        <v>466</v>
      </c>
      <c r="C17" s="422">
        <v>50</v>
      </c>
      <c r="D17" s="298">
        <v>50</v>
      </c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44"/>
    </row>
    <row r="18" spans="1:16" ht="13.5" customHeight="1">
      <c r="A18" s="180" t="s">
        <v>62</v>
      </c>
      <c r="B18" s="107" t="s">
        <v>346</v>
      </c>
      <c r="C18" s="422">
        <v>71655.5</v>
      </c>
      <c r="D18" s="298">
        <v>1342.5</v>
      </c>
      <c r="E18" s="298">
        <v>12204</v>
      </c>
      <c r="F18" s="298">
        <v>31720.5</v>
      </c>
      <c r="G18" s="298">
        <v>14136</v>
      </c>
      <c r="H18" s="298">
        <v>7762.5</v>
      </c>
      <c r="I18" s="298">
        <v>1953.5</v>
      </c>
      <c r="J18" s="298">
        <v>745</v>
      </c>
      <c r="K18" s="298">
        <v>189</v>
      </c>
      <c r="L18" s="298">
        <v>223</v>
      </c>
      <c r="M18" s="298">
        <v>523</v>
      </c>
      <c r="N18" s="298">
        <v>517</v>
      </c>
      <c r="O18" s="298">
        <v>339.5</v>
      </c>
      <c r="P18" s="244"/>
    </row>
    <row r="19" spans="1:16" ht="13.5" customHeight="1">
      <c r="A19" s="22"/>
      <c r="B19" s="107" t="s">
        <v>466</v>
      </c>
      <c r="C19" s="422">
        <v>1459</v>
      </c>
      <c r="D19" s="298">
        <v>1459</v>
      </c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44"/>
    </row>
    <row r="20" spans="1:16" ht="13.5" customHeight="1">
      <c r="A20" s="180" t="s">
        <v>211</v>
      </c>
      <c r="B20" s="107" t="s">
        <v>346</v>
      </c>
      <c r="C20" s="422">
        <v>4432.3499999999995</v>
      </c>
      <c r="D20" s="298">
        <v>535.75</v>
      </c>
      <c r="E20" s="298">
        <v>601.70000000000005</v>
      </c>
      <c r="F20" s="298">
        <v>745.7</v>
      </c>
      <c r="G20" s="298">
        <v>580</v>
      </c>
      <c r="H20" s="298">
        <v>311</v>
      </c>
      <c r="I20" s="298">
        <v>257.7</v>
      </c>
      <c r="J20" s="298">
        <v>324.5</v>
      </c>
      <c r="K20" s="298">
        <v>248</v>
      </c>
      <c r="L20" s="298">
        <v>163.1</v>
      </c>
      <c r="M20" s="298">
        <v>174.5</v>
      </c>
      <c r="N20" s="298">
        <v>182.2</v>
      </c>
      <c r="O20" s="298">
        <v>308.2</v>
      </c>
      <c r="P20" s="244"/>
    </row>
    <row r="21" spans="1:16" ht="13.5" customHeight="1">
      <c r="A21" s="22"/>
      <c r="B21" s="107" t="s">
        <v>466</v>
      </c>
      <c r="C21" s="422">
        <v>439.5</v>
      </c>
      <c r="D21" s="298">
        <v>439.5</v>
      </c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44"/>
    </row>
    <row r="22" spans="1:16" ht="13.5" customHeight="1">
      <c r="A22" s="180" t="s">
        <v>265</v>
      </c>
      <c r="B22" s="107" t="s">
        <v>346</v>
      </c>
      <c r="C22" s="422">
        <v>893</v>
      </c>
      <c r="D22" s="298">
        <v>10</v>
      </c>
      <c r="E22" s="298">
        <v>70</v>
      </c>
      <c r="F22" s="298">
        <v>429</v>
      </c>
      <c r="G22" s="426">
        <v>0</v>
      </c>
      <c r="H22" s="426">
        <v>0</v>
      </c>
      <c r="I22" s="426">
        <v>15</v>
      </c>
      <c r="J22" s="426">
        <v>0</v>
      </c>
      <c r="K22" s="298">
        <v>58</v>
      </c>
      <c r="L22" s="298">
        <v>192</v>
      </c>
      <c r="M22" s="298">
        <v>0</v>
      </c>
      <c r="N22" s="298">
        <v>119</v>
      </c>
      <c r="O22" s="298">
        <v>0</v>
      </c>
      <c r="P22" s="244"/>
    </row>
    <row r="23" spans="1:16" ht="13.5" customHeight="1">
      <c r="A23" s="22"/>
      <c r="B23" s="107" t="s">
        <v>466</v>
      </c>
      <c r="C23" s="422">
        <v>287</v>
      </c>
      <c r="D23" s="298">
        <v>287</v>
      </c>
      <c r="E23" s="298"/>
      <c r="F23" s="298"/>
      <c r="G23" s="426"/>
      <c r="H23" s="426"/>
      <c r="I23" s="298"/>
      <c r="J23" s="426"/>
      <c r="K23" s="298"/>
      <c r="L23" s="298"/>
      <c r="M23" s="298"/>
      <c r="N23" s="298"/>
      <c r="O23" s="298"/>
      <c r="P23" s="244"/>
    </row>
    <row r="24" spans="1:16" ht="13.5" customHeight="1">
      <c r="A24" s="180" t="s">
        <v>212</v>
      </c>
      <c r="B24" s="107" t="s">
        <v>346</v>
      </c>
      <c r="C24" s="422">
        <v>886</v>
      </c>
      <c r="D24" s="298">
        <v>43.2</v>
      </c>
      <c r="E24" s="298">
        <v>98.2</v>
      </c>
      <c r="F24" s="298">
        <v>97.5</v>
      </c>
      <c r="G24" s="298">
        <v>60.2</v>
      </c>
      <c r="H24" s="298">
        <v>86</v>
      </c>
      <c r="I24" s="298">
        <v>139</v>
      </c>
      <c r="J24" s="298">
        <v>94.05</v>
      </c>
      <c r="K24" s="298">
        <v>79</v>
      </c>
      <c r="L24" s="298">
        <v>57.85</v>
      </c>
      <c r="M24" s="298">
        <v>35.75</v>
      </c>
      <c r="N24" s="298">
        <v>47.05</v>
      </c>
      <c r="O24" s="298">
        <v>48.2</v>
      </c>
      <c r="P24" s="244"/>
    </row>
    <row r="25" spans="1:16" ht="13.5" customHeight="1">
      <c r="A25" s="22"/>
      <c r="B25" s="107" t="s">
        <v>466</v>
      </c>
      <c r="C25" s="422">
        <v>56.7</v>
      </c>
      <c r="D25" s="298">
        <v>56.7</v>
      </c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44"/>
    </row>
    <row r="26" spans="1:16" ht="13.5" customHeight="1">
      <c r="A26" s="180" t="s">
        <v>147</v>
      </c>
      <c r="B26" s="107" t="s">
        <v>346</v>
      </c>
      <c r="C26" s="422">
        <v>5402.8</v>
      </c>
      <c r="D26" s="298">
        <v>481.75</v>
      </c>
      <c r="E26" s="298">
        <v>476.95</v>
      </c>
      <c r="F26" s="298">
        <v>465.3</v>
      </c>
      <c r="G26" s="298">
        <v>409</v>
      </c>
      <c r="H26" s="298">
        <v>342</v>
      </c>
      <c r="I26" s="298">
        <v>451.8</v>
      </c>
      <c r="J26" s="298">
        <v>466</v>
      </c>
      <c r="K26" s="298">
        <v>432.75</v>
      </c>
      <c r="L26" s="298">
        <v>330.25</v>
      </c>
      <c r="M26" s="298">
        <v>390</v>
      </c>
      <c r="N26" s="298">
        <v>584.25</v>
      </c>
      <c r="O26" s="298">
        <v>572.75</v>
      </c>
      <c r="P26" s="244"/>
    </row>
    <row r="27" spans="1:16" ht="13.5" customHeight="1">
      <c r="A27" s="22"/>
      <c r="B27" s="107" t="s">
        <v>466</v>
      </c>
      <c r="C27" s="422">
        <v>463.5</v>
      </c>
      <c r="D27" s="298">
        <v>463.5</v>
      </c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44"/>
    </row>
    <row r="28" spans="1:16" ht="13.5" customHeight="1">
      <c r="A28" s="180" t="s">
        <v>263</v>
      </c>
      <c r="B28" s="107" t="s">
        <v>346</v>
      </c>
      <c r="C28" s="422">
        <v>7558.1500000000005</v>
      </c>
      <c r="D28" s="298">
        <v>879.5</v>
      </c>
      <c r="E28" s="298">
        <v>1134</v>
      </c>
      <c r="F28" s="298">
        <v>1087.5</v>
      </c>
      <c r="G28" s="298">
        <v>795</v>
      </c>
      <c r="H28" s="298">
        <v>558.29999999999995</v>
      </c>
      <c r="I28" s="298">
        <v>372.35</v>
      </c>
      <c r="J28" s="298">
        <v>424.7</v>
      </c>
      <c r="K28" s="298">
        <v>814.5</v>
      </c>
      <c r="L28" s="298">
        <v>481</v>
      </c>
      <c r="M28" s="298">
        <v>275.2</v>
      </c>
      <c r="N28" s="298">
        <v>268</v>
      </c>
      <c r="O28" s="298">
        <v>468.1</v>
      </c>
      <c r="P28" s="244"/>
    </row>
    <row r="29" spans="1:16" ht="13.5" customHeight="1">
      <c r="A29" s="22"/>
      <c r="B29" s="107" t="s">
        <v>466</v>
      </c>
      <c r="C29" s="422">
        <v>686.5</v>
      </c>
      <c r="D29" s="298">
        <v>686.5</v>
      </c>
      <c r="E29" s="298"/>
      <c r="F29" s="298"/>
      <c r="G29" s="298"/>
      <c r="H29" s="298"/>
      <c r="I29" s="298"/>
      <c r="J29" s="298"/>
      <c r="K29" s="298"/>
      <c r="L29" s="298"/>
      <c r="M29" s="298"/>
      <c r="N29" s="298"/>
      <c r="O29" s="298"/>
      <c r="P29" s="244"/>
    </row>
    <row r="30" spans="1:16" ht="13.5" customHeight="1">
      <c r="A30" s="180" t="s">
        <v>262</v>
      </c>
      <c r="B30" s="107" t="s">
        <v>346</v>
      </c>
      <c r="C30" s="422">
        <v>8286.7000000000007</v>
      </c>
      <c r="D30" s="298">
        <v>705.7</v>
      </c>
      <c r="E30" s="298">
        <v>889.5</v>
      </c>
      <c r="F30" s="298">
        <v>869.75</v>
      </c>
      <c r="G30" s="298">
        <v>807.25</v>
      </c>
      <c r="H30" s="298">
        <v>746.75</v>
      </c>
      <c r="I30" s="298">
        <v>478.3</v>
      </c>
      <c r="J30" s="298">
        <v>416.45</v>
      </c>
      <c r="K30" s="298">
        <v>539</v>
      </c>
      <c r="L30" s="298">
        <v>705</v>
      </c>
      <c r="M30" s="298">
        <v>855</v>
      </c>
      <c r="N30" s="298">
        <v>657.75</v>
      </c>
      <c r="O30" s="298">
        <v>616.25</v>
      </c>
      <c r="P30" s="244"/>
    </row>
    <row r="31" spans="1:16" ht="13.5" customHeight="1">
      <c r="A31" s="22"/>
      <c r="B31" s="107" t="s">
        <v>466</v>
      </c>
      <c r="C31" s="422">
        <v>581.5</v>
      </c>
      <c r="D31" s="298">
        <v>581.5</v>
      </c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8"/>
      <c r="P31" s="244"/>
    </row>
    <row r="32" spans="1:16" ht="13.5" customHeight="1">
      <c r="A32" s="180" t="s">
        <v>259</v>
      </c>
      <c r="B32" s="107" t="s">
        <v>346</v>
      </c>
      <c r="C32" s="422">
        <v>9860.2000000000007</v>
      </c>
      <c r="D32" s="298">
        <v>241.4</v>
      </c>
      <c r="E32" s="298">
        <v>410</v>
      </c>
      <c r="F32" s="298">
        <v>671</v>
      </c>
      <c r="G32" s="298">
        <v>449.5</v>
      </c>
      <c r="H32" s="298">
        <v>576</v>
      </c>
      <c r="I32" s="298">
        <v>536.9</v>
      </c>
      <c r="J32" s="298">
        <v>563.9</v>
      </c>
      <c r="K32" s="298">
        <v>1146</v>
      </c>
      <c r="L32" s="298">
        <v>934</v>
      </c>
      <c r="M32" s="298">
        <v>1068.5</v>
      </c>
      <c r="N32" s="298">
        <v>1477</v>
      </c>
      <c r="O32" s="298">
        <v>1786</v>
      </c>
      <c r="P32" s="244"/>
    </row>
    <row r="33" spans="1:16" ht="13.5" customHeight="1">
      <c r="A33" s="22"/>
      <c r="B33" s="107" t="s">
        <v>466</v>
      </c>
      <c r="C33" s="422">
        <v>243</v>
      </c>
      <c r="D33" s="298">
        <v>243</v>
      </c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44"/>
    </row>
    <row r="34" spans="1:16" ht="12.75">
      <c r="A34" s="175"/>
      <c r="B34" s="105"/>
      <c r="C34" s="17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123"/>
      <c r="P34" s="177"/>
    </row>
    <row r="35" spans="1:16" ht="12.75">
      <c r="A35" s="74" t="s">
        <v>240</v>
      </c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1:16" ht="21.95" customHeight="1">
      <c r="A36" s="412" t="s">
        <v>57</v>
      </c>
      <c r="B36" s="413" t="s">
        <v>195</v>
      </c>
      <c r="C36" s="412" t="s">
        <v>293</v>
      </c>
      <c r="D36" s="414" t="s">
        <v>293</v>
      </c>
      <c r="E36" s="414" t="s">
        <v>294</v>
      </c>
      <c r="F36" s="414" t="s">
        <v>295</v>
      </c>
      <c r="G36" s="414" t="s">
        <v>170</v>
      </c>
      <c r="H36" s="414" t="s">
        <v>171</v>
      </c>
      <c r="I36" s="414" t="s">
        <v>172</v>
      </c>
      <c r="J36" s="414" t="s">
        <v>173</v>
      </c>
      <c r="K36" s="414" t="s">
        <v>174</v>
      </c>
      <c r="L36" s="414" t="s">
        <v>175</v>
      </c>
      <c r="M36" s="414" t="s">
        <v>176</v>
      </c>
      <c r="N36" s="414" t="s">
        <v>177</v>
      </c>
      <c r="O36" s="414" t="s">
        <v>178</v>
      </c>
      <c r="P36" s="174"/>
    </row>
    <row r="37" spans="1:16" ht="13.5" customHeight="1">
      <c r="A37" s="180" t="s">
        <v>52</v>
      </c>
      <c r="B37" s="107" t="s">
        <v>346</v>
      </c>
      <c r="C37" s="423">
        <v>15271</v>
      </c>
      <c r="D37" s="298">
        <v>1825.9</v>
      </c>
      <c r="E37" s="298">
        <v>1864.5</v>
      </c>
      <c r="F37" s="298">
        <v>1399.5</v>
      </c>
      <c r="G37" s="298">
        <v>732.5</v>
      </c>
      <c r="H37" s="298">
        <v>844.5</v>
      </c>
      <c r="I37" s="298">
        <v>834.8</v>
      </c>
      <c r="J37" s="298">
        <v>1701.3</v>
      </c>
      <c r="K37" s="298">
        <v>1950.5</v>
      </c>
      <c r="L37" s="298">
        <v>1723</v>
      </c>
      <c r="M37" s="298">
        <v>559</v>
      </c>
      <c r="N37" s="298">
        <v>726.5</v>
      </c>
      <c r="O37" s="298">
        <v>1109</v>
      </c>
      <c r="P37" s="244"/>
    </row>
    <row r="38" spans="1:16" ht="13.5" customHeight="1">
      <c r="A38" s="22"/>
      <c r="B38" s="107" t="s">
        <v>466</v>
      </c>
      <c r="C38" s="424">
        <v>1684</v>
      </c>
      <c r="D38" s="298">
        <v>1684</v>
      </c>
      <c r="E38" s="298"/>
      <c r="F38" s="298"/>
      <c r="G38" s="298"/>
      <c r="H38" s="298"/>
      <c r="I38" s="298"/>
      <c r="J38" s="298"/>
      <c r="K38" s="298"/>
      <c r="L38" s="298"/>
      <c r="M38" s="298"/>
      <c r="N38" s="298"/>
      <c r="O38" s="298"/>
      <c r="P38" s="244"/>
    </row>
    <row r="39" spans="1:16" ht="13.5" customHeight="1">
      <c r="A39" s="180" t="s">
        <v>278</v>
      </c>
      <c r="B39" s="107" t="s">
        <v>346</v>
      </c>
      <c r="C39" s="424">
        <v>340026.75</v>
      </c>
      <c r="D39" s="298">
        <v>26807.5</v>
      </c>
      <c r="E39" s="298">
        <v>47965.2</v>
      </c>
      <c r="F39" s="298">
        <v>104982.8</v>
      </c>
      <c r="G39" s="298">
        <v>65285</v>
      </c>
      <c r="H39" s="298">
        <v>26176</v>
      </c>
      <c r="I39" s="298">
        <v>4669.5</v>
      </c>
      <c r="J39" s="298">
        <v>2571.5</v>
      </c>
      <c r="K39" s="298">
        <v>4738</v>
      </c>
      <c r="L39" s="298">
        <v>8224.25</v>
      </c>
      <c r="M39" s="298">
        <v>14573.75</v>
      </c>
      <c r="N39" s="298">
        <v>19514.5</v>
      </c>
      <c r="O39" s="298">
        <v>14518.75</v>
      </c>
      <c r="P39" s="244"/>
    </row>
    <row r="40" spans="1:16" ht="13.5" customHeight="1">
      <c r="A40" s="22"/>
      <c r="B40" s="107" t="s">
        <v>466</v>
      </c>
      <c r="C40" s="424">
        <v>26875.5</v>
      </c>
      <c r="D40" s="298">
        <v>26875.5</v>
      </c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44"/>
    </row>
    <row r="41" spans="1:16" ht="13.5" customHeight="1">
      <c r="A41" s="180" t="s">
        <v>284</v>
      </c>
      <c r="B41" s="107" t="s">
        <v>346</v>
      </c>
      <c r="C41" s="424">
        <v>107766.2</v>
      </c>
      <c r="D41" s="298">
        <v>12397.5</v>
      </c>
      <c r="E41" s="298">
        <v>13729.3</v>
      </c>
      <c r="F41" s="298">
        <v>12794.15</v>
      </c>
      <c r="G41" s="298">
        <v>10672.95</v>
      </c>
      <c r="H41" s="298">
        <v>9096.9</v>
      </c>
      <c r="I41" s="298">
        <v>6205.65</v>
      </c>
      <c r="J41" s="298">
        <v>6530.25</v>
      </c>
      <c r="K41" s="298">
        <v>5601.75</v>
      </c>
      <c r="L41" s="298">
        <v>6563.65</v>
      </c>
      <c r="M41" s="298">
        <v>7672.85</v>
      </c>
      <c r="N41" s="298">
        <v>8025.9</v>
      </c>
      <c r="O41" s="298">
        <v>8475.35</v>
      </c>
      <c r="P41" s="244"/>
    </row>
    <row r="42" spans="1:16" ht="13.5" customHeight="1">
      <c r="A42" s="22"/>
      <c r="B42" s="107" t="s">
        <v>466</v>
      </c>
      <c r="C42" s="424">
        <v>11791.5</v>
      </c>
      <c r="D42" s="298">
        <v>11791.5</v>
      </c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44"/>
    </row>
    <row r="43" spans="1:16" ht="13.5" customHeight="1">
      <c r="A43" s="180" t="s">
        <v>202</v>
      </c>
      <c r="B43" s="107" t="s">
        <v>346</v>
      </c>
      <c r="C43" s="424">
        <v>12274.5</v>
      </c>
      <c r="D43" s="298">
        <v>822.35</v>
      </c>
      <c r="E43" s="298">
        <v>994.65</v>
      </c>
      <c r="F43" s="298">
        <v>1122.75</v>
      </c>
      <c r="G43" s="298">
        <v>920.75</v>
      </c>
      <c r="H43" s="298">
        <v>762.8</v>
      </c>
      <c r="I43" s="298">
        <v>948</v>
      </c>
      <c r="J43" s="298">
        <v>744.5</v>
      </c>
      <c r="K43" s="298">
        <v>894.75</v>
      </c>
      <c r="L43" s="298">
        <v>1143.45</v>
      </c>
      <c r="M43" s="298">
        <v>840.7</v>
      </c>
      <c r="N43" s="298">
        <v>1468</v>
      </c>
      <c r="O43" s="298">
        <v>1611.8</v>
      </c>
      <c r="P43" s="244"/>
    </row>
    <row r="44" spans="1:16" ht="13.5" customHeight="1">
      <c r="A44" s="22"/>
      <c r="B44" s="107" t="s">
        <v>466</v>
      </c>
      <c r="C44" s="424">
        <v>1415.15</v>
      </c>
      <c r="D44" s="298">
        <v>1415.15</v>
      </c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44"/>
    </row>
    <row r="45" spans="1:16" ht="13.5" customHeight="1">
      <c r="A45" s="180" t="s">
        <v>264</v>
      </c>
      <c r="B45" s="107" t="s">
        <v>346</v>
      </c>
      <c r="C45" s="424">
        <v>13303.75</v>
      </c>
      <c r="D45" s="298">
        <v>1261.75</v>
      </c>
      <c r="E45" s="298">
        <v>3615</v>
      </c>
      <c r="F45" s="298">
        <v>5333.5</v>
      </c>
      <c r="G45" s="298">
        <v>2001</v>
      </c>
      <c r="H45" s="298">
        <v>686</v>
      </c>
      <c r="I45" s="298">
        <v>103</v>
      </c>
      <c r="J45" s="298">
        <v>58</v>
      </c>
      <c r="K45" s="426">
        <v>6</v>
      </c>
      <c r="L45" s="426">
        <v>6</v>
      </c>
      <c r="M45" s="426">
        <v>0</v>
      </c>
      <c r="N45" s="426">
        <v>72.5</v>
      </c>
      <c r="O45" s="426">
        <v>161</v>
      </c>
      <c r="P45" s="244"/>
    </row>
    <row r="46" spans="1:16" ht="13.5" customHeight="1">
      <c r="A46" s="182"/>
      <c r="B46" s="107" t="s">
        <v>466</v>
      </c>
      <c r="C46" s="424">
        <v>1175</v>
      </c>
      <c r="D46" s="298">
        <v>1175</v>
      </c>
      <c r="E46" s="298"/>
      <c r="F46" s="298"/>
      <c r="G46" s="298"/>
      <c r="H46" s="298"/>
      <c r="I46" s="298"/>
      <c r="J46" s="298"/>
      <c r="K46" s="298"/>
      <c r="L46" s="298"/>
      <c r="M46" s="298"/>
      <c r="N46" s="298"/>
      <c r="O46" s="298"/>
      <c r="P46" s="245"/>
    </row>
    <row r="47" spans="1:16" ht="13.5" customHeight="1">
      <c r="A47" s="180" t="s">
        <v>297</v>
      </c>
      <c r="B47" s="107" t="s">
        <v>346</v>
      </c>
      <c r="C47" s="424">
        <v>25963.45</v>
      </c>
      <c r="D47" s="298">
        <v>3740.75</v>
      </c>
      <c r="E47" s="298">
        <v>6315.5</v>
      </c>
      <c r="F47" s="298">
        <v>8195</v>
      </c>
      <c r="G47" s="298">
        <v>3941</v>
      </c>
      <c r="H47" s="298">
        <v>1565.7</v>
      </c>
      <c r="I47" s="298">
        <v>302.5</v>
      </c>
      <c r="J47" s="298">
        <v>172</v>
      </c>
      <c r="K47" s="298">
        <v>113</v>
      </c>
      <c r="L47" s="298">
        <v>159.5</v>
      </c>
      <c r="M47" s="298">
        <v>417</v>
      </c>
      <c r="N47" s="298">
        <v>390</v>
      </c>
      <c r="O47" s="298">
        <v>651.5</v>
      </c>
      <c r="P47" s="244"/>
    </row>
    <row r="48" spans="1:16" ht="13.5" customHeight="1">
      <c r="A48" s="182"/>
      <c r="B48" s="107" t="s">
        <v>466</v>
      </c>
      <c r="C48" s="424">
        <v>3987.25</v>
      </c>
      <c r="D48" s="298">
        <v>3987.25</v>
      </c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45"/>
    </row>
    <row r="49" spans="1:16" ht="13.5" customHeight="1">
      <c r="A49" s="183" t="s">
        <v>46</v>
      </c>
      <c r="B49" s="107" t="s">
        <v>346</v>
      </c>
      <c r="C49" s="424">
        <v>4812.5</v>
      </c>
      <c r="D49" s="298">
        <v>945</v>
      </c>
      <c r="E49" s="298">
        <v>1083</v>
      </c>
      <c r="F49" s="298">
        <v>700</v>
      </c>
      <c r="G49" s="298">
        <v>375</v>
      </c>
      <c r="H49" s="298">
        <v>237</v>
      </c>
      <c r="I49" s="298">
        <v>188</v>
      </c>
      <c r="J49" s="298">
        <v>337</v>
      </c>
      <c r="K49" s="298">
        <v>302.5</v>
      </c>
      <c r="L49" s="298">
        <v>198</v>
      </c>
      <c r="M49" s="298">
        <v>67</v>
      </c>
      <c r="N49" s="298">
        <v>245</v>
      </c>
      <c r="O49" s="298">
        <v>135</v>
      </c>
      <c r="P49" s="245"/>
    </row>
    <row r="50" spans="1:16" ht="13.5" customHeight="1">
      <c r="A50" s="182"/>
      <c r="B50" s="107" t="s">
        <v>466</v>
      </c>
      <c r="C50" s="424">
        <v>855</v>
      </c>
      <c r="D50" s="298">
        <v>855</v>
      </c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45"/>
    </row>
    <row r="51" spans="1:16" ht="13.5" customHeight="1">
      <c r="A51" s="183" t="s">
        <v>73</v>
      </c>
      <c r="B51" s="107" t="s">
        <v>346</v>
      </c>
      <c r="C51" s="424">
        <v>74496.5</v>
      </c>
      <c r="D51" s="298">
        <v>3229</v>
      </c>
      <c r="E51" s="298">
        <v>5770.25</v>
      </c>
      <c r="F51" s="298">
        <v>10731.25</v>
      </c>
      <c r="G51" s="298">
        <v>12429</v>
      </c>
      <c r="H51" s="298">
        <v>12823.5</v>
      </c>
      <c r="I51" s="298">
        <v>5894.5</v>
      </c>
      <c r="J51" s="298">
        <v>2613</v>
      </c>
      <c r="K51" s="298">
        <v>4831.25</v>
      </c>
      <c r="L51" s="298">
        <v>4130.25</v>
      </c>
      <c r="M51" s="298">
        <v>4245.5</v>
      </c>
      <c r="N51" s="298">
        <v>4616</v>
      </c>
      <c r="O51" s="298">
        <v>3183</v>
      </c>
      <c r="P51" s="245"/>
    </row>
    <row r="52" spans="1:16" ht="13.5" customHeight="1">
      <c r="A52" s="182"/>
      <c r="B52" s="107" t="s">
        <v>466</v>
      </c>
      <c r="C52" s="424">
        <v>2814.5</v>
      </c>
      <c r="D52" s="298">
        <v>2814.5</v>
      </c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45"/>
    </row>
    <row r="53" spans="1:16" ht="13.5" customHeight="1">
      <c r="A53" s="183" t="s">
        <v>74</v>
      </c>
      <c r="B53" s="107" t="s">
        <v>346</v>
      </c>
      <c r="C53" s="424">
        <v>3901.5</v>
      </c>
      <c r="D53" s="298">
        <v>94</v>
      </c>
      <c r="E53" s="298">
        <v>108.5</v>
      </c>
      <c r="F53" s="298">
        <v>37.5</v>
      </c>
      <c r="G53" s="298">
        <v>45.5</v>
      </c>
      <c r="H53" s="298">
        <v>40</v>
      </c>
      <c r="I53" s="298">
        <v>66</v>
      </c>
      <c r="J53" s="298">
        <v>287.5</v>
      </c>
      <c r="K53" s="298">
        <v>1935</v>
      </c>
      <c r="L53" s="298">
        <v>425</v>
      </c>
      <c r="M53" s="298">
        <v>80.5</v>
      </c>
      <c r="N53" s="298">
        <v>343</v>
      </c>
      <c r="O53" s="298">
        <v>439</v>
      </c>
      <c r="P53" s="245"/>
    </row>
    <row r="54" spans="1:16" ht="13.5" customHeight="1">
      <c r="A54" s="182"/>
      <c r="B54" s="107" t="s">
        <v>466</v>
      </c>
      <c r="C54" s="424">
        <v>177</v>
      </c>
      <c r="D54" s="298">
        <v>177</v>
      </c>
      <c r="E54" s="298"/>
      <c r="F54" s="298"/>
      <c r="G54" s="298"/>
      <c r="H54" s="298"/>
      <c r="I54" s="298"/>
      <c r="J54" s="298"/>
      <c r="K54" s="298"/>
      <c r="L54" s="298"/>
      <c r="M54" s="298"/>
      <c r="N54" s="298"/>
      <c r="O54" s="298"/>
      <c r="P54" s="245"/>
    </row>
    <row r="55" spans="1:16" ht="13.5" customHeight="1">
      <c r="A55" s="183" t="s">
        <v>75</v>
      </c>
      <c r="B55" s="107" t="s">
        <v>346</v>
      </c>
      <c r="C55" s="424">
        <v>69507.05</v>
      </c>
      <c r="D55" s="298">
        <v>3794</v>
      </c>
      <c r="E55" s="298">
        <v>14031</v>
      </c>
      <c r="F55" s="298">
        <v>23797</v>
      </c>
      <c r="G55" s="298">
        <v>12645.75</v>
      </c>
      <c r="H55" s="298">
        <v>10249.799999999999</v>
      </c>
      <c r="I55" s="298">
        <v>2317.5</v>
      </c>
      <c r="J55" s="298">
        <v>907</v>
      </c>
      <c r="K55" s="298">
        <v>491.5</v>
      </c>
      <c r="L55" s="298">
        <v>234.5</v>
      </c>
      <c r="M55" s="298">
        <v>248</v>
      </c>
      <c r="N55" s="298">
        <v>337</v>
      </c>
      <c r="O55" s="298">
        <v>454</v>
      </c>
      <c r="P55" s="245"/>
    </row>
    <row r="56" spans="1:16" ht="13.5" customHeight="1">
      <c r="A56" s="182"/>
      <c r="B56" s="107" t="s">
        <v>466</v>
      </c>
      <c r="C56" s="424">
        <v>3009.8</v>
      </c>
      <c r="D56" s="298">
        <v>3009.8</v>
      </c>
      <c r="E56" s="298"/>
      <c r="F56" s="298"/>
      <c r="G56" s="298"/>
      <c r="H56" s="298"/>
      <c r="I56" s="298"/>
      <c r="J56" s="298"/>
      <c r="K56" s="298"/>
      <c r="L56" s="298"/>
      <c r="M56" s="298"/>
      <c r="N56" s="298"/>
      <c r="O56" s="298"/>
      <c r="P56" s="245"/>
    </row>
    <row r="57" spans="1:16" ht="13.5" customHeight="1">
      <c r="A57" s="183" t="s">
        <v>76</v>
      </c>
      <c r="B57" s="107" t="s">
        <v>346</v>
      </c>
      <c r="C57" s="424">
        <v>76764.2</v>
      </c>
      <c r="D57" s="298">
        <v>2374.15</v>
      </c>
      <c r="E57" s="298">
        <v>4496.5</v>
      </c>
      <c r="F57" s="298">
        <v>9583.5499999999993</v>
      </c>
      <c r="G57" s="298">
        <v>7847.55</v>
      </c>
      <c r="H57" s="298">
        <v>9509.5</v>
      </c>
      <c r="I57" s="298">
        <v>6604.45</v>
      </c>
      <c r="J57" s="298">
        <v>7515.25</v>
      </c>
      <c r="K57" s="298">
        <v>12774</v>
      </c>
      <c r="L57" s="298">
        <v>9721.25</v>
      </c>
      <c r="M57" s="298">
        <v>3915</v>
      </c>
      <c r="N57" s="298">
        <v>1276</v>
      </c>
      <c r="O57" s="298">
        <v>1147</v>
      </c>
      <c r="P57" s="245"/>
    </row>
    <row r="58" spans="1:16" ht="13.5" customHeight="1">
      <c r="A58" s="182"/>
      <c r="B58" s="107" t="s">
        <v>466</v>
      </c>
      <c r="C58" s="424">
        <v>2614.5</v>
      </c>
      <c r="D58" s="298">
        <v>2614.5</v>
      </c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45"/>
    </row>
    <row r="59" spans="1:16" ht="13.5" customHeight="1">
      <c r="A59" s="183" t="s">
        <v>47</v>
      </c>
      <c r="B59" s="107" t="s">
        <v>346</v>
      </c>
      <c r="C59" s="424">
        <v>37408.5</v>
      </c>
      <c r="D59" s="298">
        <v>2971</v>
      </c>
      <c r="E59" s="298">
        <v>3435.5</v>
      </c>
      <c r="F59" s="298">
        <v>3100.5</v>
      </c>
      <c r="G59" s="298">
        <v>2848</v>
      </c>
      <c r="H59" s="298">
        <v>2988</v>
      </c>
      <c r="I59" s="298">
        <v>3405.5</v>
      </c>
      <c r="J59" s="298">
        <v>3469.5</v>
      </c>
      <c r="K59" s="298">
        <v>3291</v>
      </c>
      <c r="L59" s="298">
        <v>3254</v>
      </c>
      <c r="M59" s="298">
        <v>2872.5</v>
      </c>
      <c r="N59" s="298">
        <v>2837</v>
      </c>
      <c r="O59" s="298">
        <v>2936</v>
      </c>
      <c r="P59" s="245"/>
    </row>
    <row r="60" spans="1:16" ht="13.5" customHeight="1">
      <c r="A60" s="182"/>
      <c r="B60" s="107" t="s">
        <v>466</v>
      </c>
      <c r="C60" s="424">
        <v>2917</v>
      </c>
      <c r="D60" s="298">
        <v>2917</v>
      </c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45"/>
    </row>
    <row r="61" spans="1:16" ht="13.5" customHeight="1">
      <c r="A61" s="183" t="s">
        <v>48</v>
      </c>
      <c r="B61" s="107" t="s">
        <v>346</v>
      </c>
      <c r="C61" s="424">
        <v>18763.5</v>
      </c>
      <c r="D61" s="298">
        <v>146</v>
      </c>
      <c r="E61" s="298">
        <v>205</v>
      </c>
      <c r="F61" s="298">
        <v>1051</v>
      </c>
      <c r="G61" s="298">
        <v>5087</v>
      </c>
      <c r="H61" s="298">
        <v>10631.5</v>
      </c>
      <c r="I61" s="298">
        <v>881</v>
      </c>
      <c r="J61" s="298">
        <v>217</v>
      </c>
      <c r="K61" s="298">
        <v>152</v>
      </c>
      <c r="L61" s="298">
        <v>140</v>
      </c>
      <c r="M61" s="298">
        <v>115</v>
      </c>
      <c r="N61" s="298">
        <v>77</v>
      </c>
      <c r="O61" s="298">
        <v>61</v>
      </c>
      <c r="P61" s="245"/>
    </row>
    <row r="62" spans="1:16" ht="13.5" customHeight="1">
      <c r="A62" s="182"/>
      <c r="B62" s="107" t="s">
        <v>466</v>
      </c>
      <c r="C62" s="424">
        <v>256</v>
      </c>
      <c r="D62" s="298">
        <v>256</v>
      </c>
      <c r="E62" s="298"/>
      <c r="F62" s="298"/>
      <c r="G62" s="298"/>
      <c r="H62" s="298"/>
      <c r="I62" s="298"/>
      <c r="J62" s="298"/>
      <c r="K62" s="298"/>
      <c r="L62" s="298"/>
      <c r="M62" s="298"/>
      <c r="N62" s="298"/>
      <c r="O62" s="298"/>
      <c r="P62" s="245"/>
    </row>
    <row r="63" spans="1:16" ht="13.5" customHeight="1">
      <c r="A63" s="183" t="s">
        <v>49</v>
      </c>
      <c r="B63" s="107" t="s">
        <v>346</v>
      </c>
      <c r="C63" s="424">
        <v>109619</v>
      </c>
      <c r="D63" s="298">
        <v>133</v>
      </c>
      <c r="E63" s="298">
        <v>926</v>
      </c>
      <c r="F63" s="298">
        <v>16110.5</v>
      </c>
      <c r="G63" s="298">
        <v>39607.5</v>
      </c>
      <c r="H63" s="298">
        <v>45908.5</v>
      </c>
      <c r="I63" s="298">
        <v>5353.5</v>
      </c>
      <c r="J63" s="298">
        <v>365.5</v>
      </c>
      <c r="K63" s="298">
        <v>772.5</v>
      </c>
      <c r="L63" s="298">
        <v>173.5</v>
      </c>
      <c r="M63" s="298">
        <v>90.5</v>
      </c>
      <c r="N63" s="298">
        <v>88.5</v>
      </c>
      <c r="O63" s="298">
        <v>89.5</v>
      </c>
      <c r="P63" s="245"/>
    </row>
    <row r="64" spans="1:16" ht="13.5" customHeight="1">
      <c r="A64" s="182"/>
      <c r="B64" s="107" t="s">
        <v>466</v>
      </c>
      <c r="C64" s="424">
        <v>268.5</v>
      </c>
      <c r="D64" s="298">
        <v>268.5</v>
      </c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8"/>
      <c r="P64" s="245"/>
    </row>
    <row r="65" spans="1:16" ht="13.5" customHeight="1">
      <c r="A65" s="183" t="s">
        <v>282</v>
      </c>
      <c r="B65" s="107" t="s">
        <v>346</v>
      </c>
      <c r="C65" s="424">
        <v>5683</v>
      </c>
      <c r="D65" s="298">
        <v>765.5</v>
      </c>
      <c r="E65" s="298">
        <v>1163</v>
      </c>
      <c r="F65" s="298">
        <v>384</v>
      </c>
      <c r="G65" s="298">
        <v>772</v>
      </c>
      <c r="H65" s="298">
        <v>29</v>
      </c>
      <c r="I65" s="298">
        <v>26.5</v>
      </c>
      <c r="J65" s="298">
        <v>57</v>
      </c>
      <c r="K65" s="298">
        <v>692</v>
      </c>
      <c r="L65" s="298">
        <v>249</v>
      </c>
      <c r="M65" s="298">
        <v>302</v>
      </c>
      <c r="N65" s="298">
        <v>239</v>
      </c>
      <c r="O65" s="298">
        <v>1004</v>
      </c>
      <c r="P65" s="245"/>
    </row>
    <row r="66" spans="1:16" ht="13.5" customHeight="1">
      <c r="A66" s="75"/>
      <c r="B66" s="109" t="s">
        <v>466</v>
      </c>
      <c r="C66" s="425">
        <v>376</v>
      </c>
      <c r="D66" s="300">
        <v>376</v>
      </c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246"/>
    </row>
    <row r="67" spans="1:16" ht="10.5" customHeight="1">
      <c r="A67" s="207" t="s">
        <v>94</v>
      </c>
      <c r="B67" s="163"/>
      <c r="C67" s="163"/>
      <c r="D67" s="163"/>
      <c r="E67" s="163"/>
      <c r="F67" s="163"/>
      <c r="G67" s="163"/>
      <c r="H67" s="163"/>
      <c r="I67" s="163"/>
      <c r="J67" s="163"/>
    </row>
    <row r="68" spans="1:16" ht="10.5" customHeight="1">
      <c r="A68" s="207" t="s">
        <v>101</v>
      </c>
      <c r="B68" s="163"/>
      <c r="C68" s="163"/>
      <c r="D68" s="163"/>
      <c r="E68" s="163"/>
      <c r="F68" s="163"/>
      <c r="G68" s="163"/>
      <c r="H68" s="163"/>
      <c r="I68" s="163"/>
      <c r="J68" s="163"/>
    </row>
    <row r="69" spans="1:16" ht="10.5" customHeight="1">
      <c r="A69" s="528" t="s">
        <v>355</v>
      </c>
      <c r="B69" s="528"/>
      <c r="C69" s="528"/>
      <c r="D69" s="528"/>
      <c r="E69" s="528"/>
      <c r="F69" s="528"/>
      <c r="G69" s="528"/>
      <c r="H69" s="163"/>
      <c r="I69" s="163"/>
      <c r="J69" s="163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T1" zoomScale="130" zoomScaleNormal="130" workbookViewId="0">
      <selection activeCell="AB7" sqref="AB7"/>
    </sheetView>
  </sheetViews>
  <sheetFormatPr baseColWidth="10" defaultColWidth="7" defaultRowHeight="17.25" customHeight="1"/>
  <cols>
    <col min="1" max="1" width="11" style="22" customWidth="1"/>
    <col min="2" max="2" width="5.85546875" style="22" customWidth="1"/>
    <col min="3" max="3" width="7.28515625" style="22" customWidth="1"/>
    <col min="4" max="4" width="6.140625" style="22" customWidth="1"/>
    <col min="5" max="6" width="6.42578125" style="22" customWidth="1"/>
    <col min="7" max="7" width="6.7109375" style="22" customWidth="1"/>
    <col min="8" max="8" width="6.28515625" style="22" customWidth="1"/>
    <col min="9" max="9" width="6" style="22" customWidth="1"/>
    <col min="10" max="10" width="6.28515625" style="22" customWidth="1"/>
    <col min="11" max="11" width="6" style="22" customWidth="1"/>
    <col min="12" max="12" width="6.28515625" style="22" customWidth="1"/>
    <col min="13" max="13" width="10.85546875" style="22" customWidth="1"/>
    <col min="14" max="14" width="5.140625" style="22" customWidth="1"/>
    <col min="15" max="15" width="6.85546875" style="22" customWidth="1"/>
    <col min="16" max="16" width="7.140625" style="22" customWidth="1"/>
    <col min="17" max="17" width="8.28515625" style="22" customWidth="1"/>
    <col min="18" max="18" width="6" style="22" customWidth="1"/>
    <col min="19" max="21" width="6.7109375" style="22" customWidth="1"/>
    <col min="22" max="22" width="6" style="22" customWidth="1"/>
    <col min="23" max="23" width="6.28515625" style="22" customWidth="1"/>
    <col min="24" max="24" width="5.7109375" style="22" customWidth="1"/>
    <col min="25" max="25" width="11.140625" style="22" customWidth="1"/>
    <col min="26" max="26" width="5.140625" style="22" customWidth="1"/>
    <col min="27" max="28" width="5.85546875" style="22" customWidth="1"/>
    <col min="29" max="29" width="6.140625" style="22" customWidth="1"/>
    <col min="30" max="31" width="6.28515625" style="22" customWidth="1"/>
    <col min="32" max="32" width="6.7109375" style="22" customWidth="1"/>
    <col min="33" max="33" width="7" style="22"/>
    <col min="34" max="34" width="6.7109375" style="22" customWidth="1"/>
    <col min="35" max="35" width="6.85546875" style="22" customWidth="1"/>
    <col min="36" max="36" width="6.7109375" style="22" customWidth="1"/>
    <col min="37" max="16384" width="7" style="22"/>
  </cols>
  <sheetData>
    <row r="1" spans="1:36" ht="16.5" customHeight="1">
      <c r="A1" s="220" t="s">
        <v>239</v>
      </c>
      <c r="B1" s="218"/>
      <c r="C1" s="218"/>
      <c r="D1" s="44"/>
    </row>
    <row r="2" spans="1:36" ht="13.5">
      <c r="A2" s="17" t="s">
        <v>461</v>
      </c>
      <c r="B2" s="19"/>
      <c r="C2" s="19"/>
    </row>
    <row r="3" spans="1:36" ht="13.5">
      <c r="A3" s="401" t="s">
        <v>429</v>
      </c>
      <c r="B3" s="19"/>
      <c r="C3" s="19"/>
      <c r="M3" s="74" t="s">
        <v>316</v>
      </c>
      <c r="Y3" s="74" t="s">
        <v>316</v>
      </c>
    </row>
    <row r="4" spans="1:36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23.25" customHeight="1">
      <c r="A5" s="427" t="s">
        <v>50</v>
      </c>
      <c r="B5" s="427" t="s">
        <v>124</v>
      </c>
      <c r="C5" s="427" t="s">
        <v>507</v>
      </c>
      <c r="D5" s="427" t="s">
        <v>253</v>
      </c>
      <c r="E5" s="427" t="s">
        <v>234</v>
      </c>
      <c r="F5" s="427" t="s">
        <v>193</v>
      </c>
      <c r="G5" s="427" t="s">
        <v>277</v>
      </c>
      <c r="H5" s="427" t="s">
        <v>149</v>
      </c>
      <c r="I5" s="427" t="s">
        <v>62</v>
      </c>
      <c r="J5" s="427" t="s">
        <v>211</v>
      </c>
      <c r="K5" s="427" t="s">
        <v>265</v>
      </c>
      <c r="L5" s="427" t="s">
        <v>147</v>
      </c>
      <c r="M5" s="427" t="s">
        <v>50</v>
      </c>
      <c r="N5" s="427" t="s">
        <v>124</v>
      </c>
      <c r="O5" s="427" t="s">
        <v>263</v>
      </c>
      <c r="P5" s="427" t="s">
        <v>86</v>
      </c>
      <c r="Q5" s="427" t="s">
        <v>262</v>
      </c>
      <c r="R5" s="427" t="s">
        <v>259</v>
      </c>
      <c r="S5" s="427" t="s">
        <v>285</v>
      </c>
      <c r="T5" s="427" t="s">
        <v>235</v>
      </c>
      <c r="U5" s="427" t="s">
        <v>278</v>
      </c>
      <c r="V5" s="427" t="s">
        <v>284</v>
      </c>
      <c r="W5" s="427" t="s">
        <v>202</v>
      </c>
      <c r="X5" s="427" t="s">
        <v>264</v>
      </c>
      <c r="Y5" s="427" t="s">
        <v>50</v>
      </c>
      <c r="Z5" s="427" t="s">
        <v>124</v>
      </c>
      <c r="AA5" s="427" t="s">
        <v>297</v>
      </c>
      <c r="AB5" s="427" t="s">
        <v>274</v>
      </c>
      <c r="AC5" s="427" t="s">
        <v>143</v>
      </c>
      <c r="AD5" s="427" t="s">
        <v>88</v>
      </c>
      <c r="AE5" s="427" t="s">
        <v>418</v>
      </c>
      <c r="AF5" s="427" t="s">
        <v>90</v>
      </c>
      <c r="AG5" s="427" t="s">
        <v>144</v>
      </c>
      <c r="AH5" s="427" t="s">
        <v>419</v>
      </c>
      <c r="AI5" s="427" t="s">
        <v>48</v>
      </c>
      <c r="AJ5" s="427" t="s">
        <v>49</v>
      </c>
    </row>
    <row r="6" spans="1:36" ht="12" customHeight="1">
      <c r="A6" s="538" t="s">
        <v>179</v>
      </c>
      <c r="B6" s="428" t="s">
        <v>440</v>
      </c>
      <c r="C6" s="410">
        <v>1806668.1878218828</v>
      </c>
      <c r="D6" s="410">
        <v>103312.8</v>
      </c>
      <c r="E6" s="410">
        <v>168668.65</v>
      </c>
      <c r="F6" s="410">
        <v>193775.05</v>
      </c>
      <c r="G6" s="410">
        <v>312233.3</v>
      </c>
      <c r="H6" s="410">
        <v>120826.5</v>
      </c>
      <c r="I6" s="410">
        <v>65872.100000000006</v>
      </c>
      <c r="J6" s="410">
        <v>3054.5</v>
      </c>
      <c r="K6" s="410">
        <v>403</v>
      </c>
      <c r="L6" s="410">
        <v>2912.9</v>
      </c>
      <c r="M6" s="538" t="s">
        <v>179</v>
      </c>
      <c r="N6" s="428" t="s">
        <v>440</v>
      </c>
      <c r="O6" s="410">
        <v>5033</v>
      </c>
      <c r="P6" s="410">
        <v>27843.300000000003</v>
      </c>
      <c r="Q6" s="410">
        <v>5323.6</v>
      </c>
      <c r="R6" s="410">
        <v>2775.3</v>
      </c>
      <c r="S6" s="410">
        <v>10354.050000000001</v>
      </c>
      <c r="T6" s="410">
        <v>35052.400000000001</v>
      </c>
      <c r="U6" s="410">
        <v>283966.05</v>
      </c>
      <c r="V6" s="410">
        <v>69424.55</v>
      </c>
      <c r="W6" s="410">
        <v>9184.25</v>
      </c>
      <c r="X6" s="410">
        <v>13788</v>
      </c>
      <c r="Y6" s="538" t="s">
        <v>179</v>
      </c>
      <c r="Z6" s="428" t="s">
        <v>440</v>
      </c>
      <c r="AA6" s="410">
        <v>25211.85</v>
      </c>
      <c r="AB6" s="410">
        <v>4822.5</v>
      </c>
      <c r="AC6" s="410">
        <v>56192.25</v>
      </c>
      <c r="AD6" s="410">
        <v>455</v>
      </c>
      <c r="AE6" s="410">
        <v>53749.95</v>
      </c>
      <c r="AF6" s="410">
        <v>33323.5</v>
      </c>
      <c r="AG6" s="410">
        <v>51103.327821882915</v>
      </c>
      <c r="AH6" s="410">
        <v>23866.5</v>
      </c>
      <c r="AI6" s="410">
        <v>18775.5</v>
      </c>
      <c r="AJ6" s="410">
        <v>105364.51</v>
      </c>
    </row>
    <row r="7" spans="1:36" ht="12" customHeight="1">
      <c r="A7" s="539"/>
      <c r="B7" s="429" t="s">
        <v>441</v>
      </c>
      <c r="C7" s="411">
        <v>1783604.0980546977</v>
      </c>
      <c r="D7" s="411">
        <v>101990.2</v>
      </c>
      <c r="E7" s="411">
        <v>177534.1</v>
      </c>
      <c r="F7" s="411">
        <v>177702.495</v>
      </c>
      <c r="G7" s="411">
        <v>306622.65000000002</v>
      </c>
      <c r="H7" s="411">
        <v>120269</v>
      </c>
      <c r="I7" s="411">
        <v>65816.5</v>
      </c>
      <c r="J7" s="411">
        <v>3446.5</v>
      </c>
      <c r="K7" s="411">
        <v>590</v>
      </c>
      <c r="L7" s="411">
        <v>3420</v>
      </c>
      <c r="M7" s="539"/>
      <c r="N7" s="429" t="s">
        <v>441</v>
      </c>
      <c r="O7" s="411">
        <v>5857.1</v>
      </c>
      <c r="P7" s="411">
        <v>26955.200000000001</v>
      </c>
      <c r="Q7" s="411">
        <v>5466.8</v>
      </c>
      <c r="R7" s="411">
        <v>3503.87</v>
      </c>
      <c r="S7" s="411">
        <v>11222.1</v>
      </c>
      <c r="T7" s="411">
        <v>35922.83</v>
      </c>
      <c r="U7" s="411">
        <v>281403.24900000001</v>
      </c>
      <c r="V7" s="411">
        <v>65722.83</v>
      </c>
      <c r="W7" s="411">
        <v>7015.42</v>
      </c>
      <c r="X7" s="411">
        <v>12695.2</v>
      </c>
      <c r="Y7" s="539"/>
      <c r="Z7" s="429" t="s">
        <v>441</v>
      </c>
      <c r="AA7" s="411">
        <v>24209.200000000001</v>
      </c>
      <c r="AB7" s="411">
        <v>3989.8</v>
      </c>
      <c r="AC7" s="411">
        <v>53611.75</v>
      </c>
      <c r="AD7" s="411">
        <v>539.5</v>
      </c>
      <c r="AE7" s="411">
        <v>51498.8</v>
      </c>
      <c r="AF7" s="411">
        <v>31020.75</v>
      </c>
      <c r="AG7" s="411">
        <v>50416.754054697944</v>
      </c>
      <c r="AH7" s="411">
        <v>25451.5</v>
      </c>
      <c r="AI7" s="411">
        <v>17751</v>
      </c>
      <c r="AJ7" s="411">
        <v>111959</v>
      </c>
    </row>
    <row r="8" spans="1:36" ht="12.6" customHeight="1">
      <c r="A8" s="13" t="s">
        <v>24</v>
      </c>
      <c r="B8" s="199" t="s">
        <v>345</v>
      </c>
      <c r="C8" s="430">
        <v>71683</v>
      </c>
      <c r="D8" s="237">
        <v>125</v>
      </c>
      <c r="E8" s="237">
        <v>8138</v>
      </c>
      <c r="F8" s="237">
        <v>7587.5</v>
      </c>
      <c r="G8" s="237">
        <v>34685</v>
      </c>
      <c r="H8" s="237">
        <v>26</v>
      </c>
      <c r="I8" s="237">
        <v>0</v>
      </c>
      <c r="J8" s="237">
        <v>26</v>
      </c>
      <c r="K8" s="237">
        <v>0</v>
      </c>
      <c r="L8" s="237">
        <v>85</v>
      </c>
      <c r="M8" s="13" t="s">
        <v>24</v>
      </c>
      <c r="N8" s="199" t="s">
        <v>345</v>
      </c>
      <c r="O8" s="237">
        <v>78.5</v>
      </c>
      <c r="P8" s="237">
        <v>482</v>
      </c>
      <c r="Q8" s="237">
        <v>190.5</v>
      </c>
      <c r="R8" s="237">
        <v>2</v>
      </c>
      <c r="S8" s="237">
        <v>1</v>
      </c>
      <c r="T8" s="237">
        <v>786</v>
      </c>
      <c r="U8" s="237">
        <v>2663</v>
      </c>
      <c r="V8" s="237">
        <v>8471.5</v>
      </c>
      <c r="W8" s="237">
        <v>24.5</v>
      </c>
      <c r="X8" s="237">
        <v>49.5</v>
      </c>
      <c r="Y8" s="13" t="s">
        <v>24</v>
      </c>
      <c r="Z8" s="199" t="s">
        <v>345</v>
      </c>
      <c r="AA8" s="237">
        <v>163</v>
      </c>
      <c r="AB8" s="237">
        <v>0</v>
      </c>
      <c r="AC8" s="237">
        <v>7862</v>
      </c>
      <c r="AD8" s="237">
        <v>0</v>
      </c>
      <c r="AE8" s="237">
        <v>110.5</v>
      </c>
      <c r="AF8" s="237">
        <v>126.5</v>
      </c>
      <c r="AG8" s="237">
        <v>0</v>
      </c>
      <c r="AH8" s="237">
        <v>0</v>
      </c>
      <c r="AI8" s="237">
        <v>0</v>
      </c>
      <c r="AJ8" s="237">
        <v>0</v>
      </c>
    </row>
    <row r="9" spans="1:36" ht="12.6" customHeight="1">
      <c r="A9" s="13"/>
      <c r="B9" s="199" t="s">
        <v>351</v>
      </c>
      <c r="C9" s="430">
        <v>60871</v>
      </c>
      <c r="D9" s="237">
        <v>93</v>
      </c>
      <c r="E9" s="237">
        <v>9308</v>
      </c>
      <c r="F9" s="237">
        <v>4426</v>
      </c>
      <c r="G9" s="237">
        <v>31251</v>
      </c>
      <c r="H9" s="237">
        <v>23</v>
      </c>
      <c r="I9" s="237">
        <v>0</v>
      </c>
      <c r="J9" s="237">
        <v>22.5</v>
      </c>
      <c r="K9" s="237">
        <v>0</v>
      </c>
      <c r="L9" s="237">
        <v>163.5</v>
      </c>
      <c r="M9" s="13"/>
      <c r="N9" s="199" t="s">
        <v>351</v>
      </c>
      <c r="O9" s="237">
        <v>44</v>
      </c>
      <c r="P9" s="237">
        <v>555</v>
      </c>
      <c r="Q9" s="237">
        <v>228.5</v>
      </c>
      <c r="R9" s="237">
        <v>2</v>
      </c>
      <c r="S9" s="237">
        <v>1</v>
      </c>
      <c r="T9" s="237">
        <v>1362</v>
      </c>
      <c r="U9" s="237">
        <v>2551.5</v>
      </c>
      <c r="V9" s="237">
        <v>4661</v>
      </c>
      <c r="W9" s="237">
        <v>20</v>
      </c>
      <c r="X9" s="237">
        <v>37</v>
      </c>
      <c r="Y9" s="13"/>
      <c r="Z9" s="199" t="s">
        <v>351</v>
      </c>
      <c r="AA9" s="237">
        <v>174.5</v>
      </c>
      <c r="AB9" s="237">
        <v>0</v>
      </c>
      <c r="AC9" s="237">
        <v>5778</v>
      </c>
      <c r="AD9" s="237">
        <v>0</v>
      </c>
      <c r="AE9" s="237">
        <v>77</v>
      </c>
      <c r="AF9" s="237">
        <v>92.5</v>
      </c>
      <c r="AG9" s="237">
        <v>0</v>
      </c>
      <c r="AH9" s="237">
        <v>0</v>
      </c>
      <c r="AI9" s="237">
        <v>0</v>
      </c>
      <c r="AJ9" s="237">
        <v>0</v>
      </c>
    </row>
    <row r="10" spans="1:36" ht="12.6" customHeight="1">
      <c r="A10" s="13" t="s">
        <v>25</v>
      </c>
      <c r="B10" s="201" t="s">
        <v>345</v>
      </c>
      <c r="C10" s="430">
        <v>52542.069000000003</v>
      </c>
      <c r="D10" s="237">
        <v>8783</v>
      </c>
      <c r="E10" s="237">
        <v>6842</v>
      </c>
      <c r="F10" s="237">
        <v>5265</v>
      </c>
      <c r="G10" s="237">
        <v>6090</v>
      </c>
      <c r="H10" s="237">
        <v>4435</v>
      </c>
      <c r="I10" s="237">
        <v>148</v>
      </c>
      <c r="J10" s="237">
        <v>53</v>
      </c>
      <c r="K10" s="237">
        <v>0</v>
      </c>
      <c r="L10" s="237">
        <v>120</v>
      </c>
      <c r="M10" s="13" t="s">
        <v>25</v>
      </c>
      <c r="N10" s="201" t="s">
        <v>345</v>
      </c>
      <c r="O10" s="237">
        <v>126</v>
      </c>
      <c r="P10" s="237">
        <v>474</v>
      </c>
      <c r="Q10" s="237">
        <v>51</v>
      </c>
      <c r="R10" s="237">
        <v>17</v>
      </c>
      <c r="S10" s="237">
        <v>122</v>
      </c>
      <c r="T10" s="237">
        <v>2970</v>
      </c>
      <c r="U10" s="237">
        <v>8439</v>
      </c>
      <c r="V10" s="237">
        <v>117</v>
      </c>
      <c r="W10" s="237">
        <v>627</v>
      </c>
      <c r="X10" s="237">
        <v>263</v>
      </c>
      <c r="Y10" s="13" t="s">
        <v>25</v>
      </c>
      <c r="Z10" s="201" t="s">
        <v>345</v>
      </c>
      <c r="AA10" s="237">
        <v>479</v>
      </c>
      <c r="AB10" s="237">
        <v>204</v>
      </c>
      <c r="AC10" s="237">
        <v>509</v>
      </c>
      <c r="AD10" s="237">
        <v>60</v>
      </c>
      <c r="AE10" s="237">
        <v>1059</v>
      </c>
      <c r="AF10" s="237">
        <v>855</v>
      </c>
      <c r="AG10" s="237">
        <v>3901.069</v>
      </c>
      <c r="AH10" s="237">
        <v>533</v>
      </c>
      <c r="AI10" s="237">
        <v>0</v>
      </c>
      <c r="AJ10" s="237">
        <v>0</v>
      </c>
    </row>
    <row r="11" spans="1:36" ht="12.6" customHeight="1">
      <c r="A11" s="13"/>
      <c r="B11" s="201" t="s">
        <v>351</v>
      </c>
      <c r="C11" s="430">
        <v>58454.979999999996</v>
      </c>
      <c r="D11" s="237">
        <v>10133</v>
      </c>
      <c r="E11" s="237">
        <v>7405</v>
      </c>
      <c r="F11" s="237">
        <v>6691</v>
      </c>
      <c r="G11" s="237">
        <v>5946</v>
      </c>
      <c r="H11" s="237">
        <v>5552</v>
      </c>
      <c r="I11" s="237">
        <v>164</v>
      </c>
      <c r="J11" s="237">
        <v>81</v>
      </c>
      <c r="K11" s="237">
        <v>0</v>
      </c>
      <c r="L11" s="237">
        <v>221</v>
      </c>
      <c r="M11" s="13"/>
      <c r="N11" s="201" t="s">
        <v>351</v>
      </c>
      <c r="O11" s="237">
        <v>220</v>
      </c>
      <c r="P11" s="237">
        <v>542</v>
      </c>
      <c r="Q11" s="237">
        <v>132</v>
      </c>
      <c r="R11" s="237">
        <v>7</v>
      </c>
      <c r="S11" s="237">
        <v>152</v>
      </c>
      <c r="T11" s="237">
        <v>3405</v>
      </c>
      <c r="U11" s="237">
        <v>8600</v>
      </c>
      <c r="V11" s="237">
        <v>133</v>
      </c>
      <c r="W11" s="237">
        <v>931</v>
      </c>
      <c r="X11" s="237">
        <v>238</v>
      </c>
      <c r="Y11" s="13"/>
      <c r="Z11" s="201" t="s">
        <v>351</v>
      </c>
      <c r="AA11" s="237">
        <v>648</v>
      </c>
      <c r="AB11" s="237">
        <v>400</v>
      </c>
      <c r="AC11" s="237">
        <v>285</v>
      </c>
      <c r="AD11" s="237">
        <v>22</v>
      </c>
      <c r="AE11" s="237">
        <v>1024</v>
      </c>
      <c r="AF11" s="237">
        <v>1006</v>
      </c>
      <c r="AG11" s="237">
        <v>4155.9799999999996</v>
      </c>
      <c r="AH11" s="237">
        <v>361</v>
      </c>
      <c r="AI11" s="237">
        <v>0</v>
      </c>
      <c r="AJ11" s="237">
        <v>0</v>
      </c>
    </row>
    <row r="12" spans="1:36" ht="12.6" customHeight="1">
      <c r="A12" s="13" t="s">
        <v>26</v>
      </c>
      <c r="B12" s="201" t="s">
        <v>345</v>
      </c>
      <c r="C12" s="430">
        <v>79130.649999999994</v>
      </c>
      <c r="D12" s="237">
        <v>5250.5</v>
      </c>
      <c r="E12" s="237">
        <v>1810</v>
      </c>
      <c r="F12" s="237">
        <v>23298.5</v>
      </c>
      <c r="G12" s="237">
        <v>0</v>
      </c>
      <c r="H12" s="237">
        <v>4553.5</v>
      </c>
      <c r="I12" s="237">
        <v>5202.1000000000004</v>
      </c>
      <c r="J12" s="237">
        <v>14</v>
      </c>
      <c r="K12" s="237">
        <v>0</v>
      </c>
      <c r="L12" s="237">
        <v>92.5</v>
      </c>
      <c r="M12" s="13" t="s">
        <v>26</v>
      </c>
      <c r="N12" s="201" t="s">
        <v>345</v>
      </c>
      <c r="O12" s="237">
        <v>208.5</v>
      </c>
      <c r="P12" s="237">
        <v>847.7</v>
      </c>
      <c r="Q12" s="237">
        <v>268.5</v>
      </c>
      <c r="R12" s="237">
        <v>79.299999999999983</v>
      </c>
      <c r="S12" s="237">
        <v>143.44999999999999</v>
      </c>
      <c r="T12" s="237">
        <v>1908</v>
      </c>
      <c r="U12" s="237">
        <v>19923.299999999996</v>
      </c>
      <c r="V12" s="237">
        <v>32</v>
      </c>
      <c r="W12" s="237">
        <v>75</v>
      </c>
      <c r="X12" s="237">
        <v>1385.1</v>
      </c>
      <c r="Y12" s="13" t="s">
        <v>26</v>
      </c>
      <c r="Z12" s="201" t="s">
        <v>345</v>
      </c>
      <c r="AA12" s="237">
        <v>2614.6999999999998</v>
      </c>
      <c r="AB12" s="237">
        <v>0</v>
      </c>
      <c r="AC12" s="237">
        <v>3792.5</v>
      </c>
      <c r="AD12" s="237">
        <v>5</v>
      </c>
      <c r="AE12" s="237">
        <v>5067</v>
      </c>
      <c r="AF12" s="237">
        <v>1296</v>
      </c>
      <c r="AG12" s="237">
        <v>0</v>
      </c>
      <c r="AH12" s="237">
        <v>0</v>
      </c>
      <c r="AI12" s="237">
        <v>509.5</v>
      </c>
      <c r="AJ12" s="237">
        <v>754</v>
      </c>
    </row>
    <row r="13" spans="1:36" ht="12.6" customHeight="1">
      <c r="A13" s="13"/>
      <c r="B13" s="201" t="s">
        <v>351</v>
      </c>
      <c r="C13" s="430">
        <v>79093.5</v>
      </c>
      <c r="D13" s="237">
        <v>5388</v>
      </c>
      <c r="E13" s="237">
        <v>1975</v>
      </c>
      <c r="F13" s="237">
        <v>21353.5</v>
      </c>
      <c r="G13" s="237">
        <v>0</v>
      </c>
      <c r="H13" s="237">
        <v>4752</v>
      </c>
      <c r="I13" s="237">
        <v>4552</v>
      </c>
      <c r="J13" s="237">
        <v>12</v>
      </c>
      <c r="K13" s="237">
        <v>0</v>
      </c>
      <c r="L13" s="237">
        <v>72</v>
      </c>
      <c r="M13" s="13"/>
      <c r="N13" s="201" t="s">
        <v>351</v>
      </c>
      <c r="O13" s="237">
        <v>144</v>
      </c>
      <c r="P13" s="237">
        <v>915.5</v>
      </c>
      <c r="Q13" s="237">
        <v>211.8</v>
      </c>
      <c r="R13" s="237">
        <v>124.7</v>
      </c>
      <c r="S13" s="237">
        <v>123.5</v>
      </c>
      <c r="T13" s="237">
        <v>2171.5</v>
      </c>
      <c r="U13" s="237">
        <v>21607</v>
      </c>
      <c r="V13" s="237">
        <v>36</v>
      </c>
      <c r="W13" s="237">
        <v>97</v>
      </c>
      <c r="X13" s="237">
        <v>1260</v>
      </c>
      <c r="Y13" s="13"/>
      <c r="Z13" s="201" t="s">
        <v>351</v>
      </c>
      <c r="AA13" s="237">
        <v>2609</v>
      </c>
      <c r="AB13" s="237">
        <v>0</v>
      </c>
      <c r="AC13" s="237">
        <v>3827</v>
      </c>
      <c r="AD13" s="237">
        <v>4</v>
      </c>
      <c r="AE13" s="237">
        <v>4826</v>
      </c>
      <c r="AF13" s="237">
        <v>1444</v>
      </c>
      <c r="AG13" s="237">
        <v>0</v>
      </c>
      <c r="AH13" s="237">
        <v>0</v>
      </c>
      <c r="AI13" s="237">
        <v>840.5</v>
      </c>
      <c r="AJ13" s="237">
        <v>747.5</v>
      </c>
    </row>
    <row r="14" spans="1:36" ht="12.6" customHeight="1">
      <c r="A14" s="13" t="s">
        <v>27</v>
      </c>
      <c r="B14" s="201" t="s">
        <v>345</v>
      </c>
      <c r="C14" s="430">
        <v>56540.25</v>
      </c>
      <c r="D14" s="237">
        <v>55</v>
      </c>
      <c r="E14" s="237">
        <v>16</v>
      </c>
      <c r="F14" s="237">
        <v>2313</v>
      </c>
      <c r="G14" s="237">
        <v>21153</v>
      </c>
      <c r="H14" s="237">
        <v>275</v>
      </c>
      <c r="I14" s="237">
        <v>975</v>
      </c>
      <c r="J14" s="237">
        <v>449</v>
      </c>
      <c r="K14" s="237">
        <v>0</v>
      </c>
      <c r="L14" s="237">
        <v>492</v>
      </c>
      <c r="M14" s="13" t="s">
        <v>27</v>
      </c>
      <c r="N14" s="201" t="s">
        <v>345</v>
      </c>
      <c r="O14" s="237">
        <v>905</v>
      </c>
      <c r="P14" s="237">
        <v>1148</v>
      </c>
      <c r="Q14" s="237">
        <v>1349</v>
      </c>
      <c r="R14" s="237">
        <v>573</v>
      </c>
      <c r="S14" s="237">
        <v>5971</v>
      </c>
      <c r="T14" s="237">
        <v>789</v>
      </c>
      <c r="U14" s="237">
        <v>4200</v>
      </c>
      <c r="V14" s="237">
        <v>16</v>
      </c>
      <c r="W14" s="237">
        <v>59</v>
      </c>
      <c r="X14" s="237">
        <v>19</v>
      </c>
      <c r="Y14" s="13" t="s">
        <v>27</v>
      </c>
      <c r="Z14" s="201" t="s">
        <v>345</v>
      </c>
      <c r="AA14" s="237">
        <v>31</v>
      </c>
      <c r="AB14" s="237">
        <v>1271</v>
      </c>
      <c r="AC14" s="237">
        <v>2314</v>
      </c>
      <c r="AD14" s="237">
        <v>0</v>
      </c>
      <c r="AE14" s="237">
        <v>298</v>
      </c>
      <c r="AF14" s="237">
        <v>3</v>
      </c>
      <c r="AG14" s="237">
        <v>345.25</v>
      </c>
      <c r="AH14" s="237">
        <v>10658</v>
      </c>
      <c r="AI14" s="237">
        <v>431</v>
      </c>
      <c r="AJ14" s="237">
        <v>432</v>
      </c>
    </row>
    <row r="15" spans="1:36" ht="12.6" customHeight="1">
      <c r="A15" s="13"/>
      <c r="B15" s="201" t="s">
        <v>351</v>
      </c>
      <c r="C15" s="430">
        <v>58023.53</v>
      </c>
      <c r="D15" s="237">
        <v>64</v>
      </c>
      <c r="E15" s="237">
        <v>223</v>
      </c>
      <c r="F15" s="237">
        <v>2543</v>
      </c>
      <c r="G15" s="237">
        <v>20628</v>
      </c>
      <c r="H15" s="237">
        <v>197</v>
      </c>
      <c r="I15" s="237">
        <v>743</v>
      </c>
      <c r="J15" s="237">
        <v>510</v>
      </c>
      <c r="K15" s="237">
        <v>0</v>
      </c>
      <c r="L15" s="237">
        <v>620</v>
      </c>
      <c r="M15" s="13"/>
      <c r="N15" s="201" t="s">
        <v>351</v>
      </c>
      <c r="O15" s="237">
        <v>826</v>
      </c>
      <c r="P15" s="237">
        <v>1088</v>
      </c>
      <c r="Q15" s="237">
        <v>1229</v>
      </c>
      <c r="R15" s="237">
        <v>797</v>
      </c>
      <c r="S15" s="237">
        <v>6567</v>
      </c>
      <c r="T15" s="237">
        <v>676</v>
      </c>
      <c r="U15" s="237">
        <v>3416</v>
      </c>
      <c r="V15" s="237">
        <v>14</v>
      </c>
      <c r="W15" s="237">
        <v>56</v>
      </c>
      <c r="X15" s="237">
        <v>19</v>
      </c>
      <c r="Y15" s="13"/>
      <c r="Z15" s="201" t="s">
        <v>351</v>
      </c>
      <c r="AA15" s="237">
        <v>28</v>
      </c>
      <c r="AB15" s="237">
        <v>1481</v>
      </c>
      <c r="AC15" s="237">
        <v>2811</v>
      </c>
      <c r="AD15" s="237">
        <v>0</v>
      </c>
      <c r="AE15" s="237">
        <v>416</v>
      </c>
      <c r="AF15" s="237">
        <v>4</v>
      </c>
      <c r="AG15" s="237">
        <v>446.53</v>
      </c>
      <c r="AH15" s="237">
        <v>11619</v>
      </c>
      <c r="AI15" s="237">
        <v>516</v>
      </c>
      <c r="AJ15" s="237">
        <v>486</v>
      </c>
    </row>
    <row r="16" spans="1:36" ht="12.6" customHeight="1">
      <c r="A16" s="13" t="s">
        <v>28</v>
      </c>
      <c r="B16" s="201" t="s">
        <v>345</v>
      </c>
      <c r="C16" s="430">
        <v>106773</v>
      </c>
      <c r="D16" s="237">
        <v>8420</v>
      </c>
      <c r="E16" s="237">
        <v>753</v>
      </c>
      <c r="F16" s="237">
        <v>17942</v>
      </c>
      <c r="G16" s="237">
        <v>19</v>
      </c>
      <c r="H16" s="237">
        <v>11714</v>
      </c>
      <c r="I16" s="237">
        <v>13762</v>
      </c>
      <c r="J16" s="237">
        <v>15</v>
      </c>
      <c r="K16" s="237">
        <v>0</v>
      </c>
      <c r="L16" s="237">
        <v>47</v>
      </c>
      <c r="M16" s="13" t="s">
        <v>28</v>
      </c>
      <c r="N16" s="201" t="s">
        <v>345</v>
      </c>
      <c r="O16" s="237">
        <v>44</v>
      </c>
      <c r="P16" s="237">
        <v>1521</v>
      </c>
      <c r="Q16" s="237">
        <v>88</v>
      </c>
      <c r="R16" s="237">
        <v>389</v>
      </c>
      <c r="S16" s="237">
        <v>358</v>
      </c>
      <c r="T16" s="237">
        <v>1828</v>
      </c>
      <c r="U16" s="237">
        <v>25629</v>
      </c>
      <c r="V16" s="237">
        <v>380</v>
      </c>
      <c r="W16" s="237">
        <v>26</v>
      </c>
      <c r="X16" s="237">
        <v>1774</v>
      </c>
      <c r="Y16" s="13" t="s">
        <v>28</v>
      </c>
      <c r="Z16" s="201" t="s">
        <v>345</v>
      </c>
      <c r="AA16" s="237">
        <v>2690</v>
      </c>
      <c r="AB16" s="237">
        <v>0</v>
      </c>
      <c r="AC16" s="237">
        <v>1539</v>
      </c>
      <c r="AD16" s="237">
        <v>7</v>
      </c>
      <c r="AE16" s="237">
        <v>6935</v>
      </c>
      <c r="AF16" s="237">
        <v>4590</v>
      </c>
      <c r="AG16" s="237">
        <v>0</v>
      </c>
      <c r="AH16" s="237">
        <v>0</v>
      </c>
      <c r="AI16" s="237">
        <v>13</v>
      </c>
      <c r="AJ16" s="237">
        <v>6290</v>
      </c>
    </row>
    <row r="17" spans="1:36" ht="12.6" customHeight="1">
      <c r="A17" s="13"/>
      <c r="B17" s="201" t="s">
        <v>351</v>
      </c>
      <c r="C17" s="430">
        <v>98130</v>
      </c>
      <c r="D17" s="237">
        <v>8066</v>
      </c>
      <c r="E17" s="237">
        <v>613</v>
      </c>
      <c r="F17" s="237">
        <v>15645</v>
      </c>
      <c r="G17" s="237">
        <v>9</v>
      </c>
      <c r="H17" s="237">
        <v>10549</v>
      </c>
      <c r="I17" s="237">
        <v>12497</v>
      </c>
      <c r="J17" s="237">
        <v>13</v>
      </c>
      <c r="K17" s="237">
        <v>0</v>
      </c>
      <c r="L17" s="237">
        <v>45</v>
      </c>
      <c r="M17" s="13"/>
      <c r="N17" s="201" t="s">
        <v>351</v>
      </c>
      <c r="O17" s="237">
        <v>44</v>
      </c>
      <c r="P17" s="237">
        <v>1476</v>
      </c>
      <c r="Q17" s="237">
        <v>159</v>
      </c>
      <c r="R17" s="237">
        <v>364</v>
      </c>
      <c r="S17" s="237">
        <v>344</v>
      </c>
      <c r="T17" s="237">
        <v>1650</v>
      </c>
      <c r="U17" s="237">
        <v>23789</v>
      </c>
      <c r="V17" s="237">
        <v>680</v>
      </c>
      <c r="W17" s="237">
        <v>18</v>
      </c>
      <c r="X17" s="237">
        <v>1570</v>
      </c>
      <c r="Y17" s="13"/>
      <c r="Z17" s="201" t="s">
        <v>351</v>
      </c>
      <c r="AA17" s="237">
        <v>2495</v>
      </c>
      <c r="AB17" s="237">
        <v>0</v>
      </c>
      <c r="AC17" s="237">
        <v>1457</v>
      </c>
      <c r="AD17" s="237">
        <v>13</v>
      </c>
      <c r="AE17" s="237">
        <v>5876</v>
      </c>
      <c r="AF17" s="237">
        <v>4177</v>
      </c>
      <c r="AG17" s="237">
        <v>0</v>
      </c>
      <c r="AH17" s="237">
        <v>0</v>
      </c>
      <c r="AI17" s="237">
        <v>8</v>
      </c>
      <c r="AJ17" s="237">
        <v>6573</v>
      </c>
    </row>
    <row r="18" spans="1:36" ht="12.6" customHeight="1">
      <c r="A18" s="13" t="s">
        <v>29</v>
      </c>
      <c r="B18" s="201" t="s">
        <v>345</v>
      </c>
      <c r="C18" s="430">
        <v>167115.1</v>
      </c>
      <c r="D18" s="237">
        <v>17678</v>
      </c>
      <c r="E18" s="237">
        <v>15399</v>
      </c>
      <c r="F18" s="237">
        <v>36780</v>
      </c>
      <c r="G18" s="237">
        <v>12890</v>
      </c>
      <c r="H18" s="237">
        <v>7826</v>
      </c>
      <c r="I18" s="237">
        <v>475</v>
      </c>
      <c r="J18" s="237">
        <v>0</v>
      </c>
      <c r="K18" s="237">
        <v>0</v>
      </c>
      <c r="L18" s="237">
        <v>133.5</v>
      </c>
      <c r="M18" s="13" t="s">
        <v>29</v>
      </c>
      <c r="N18" s="201" t="s">
        <v>345</v>
      </c>
      <c r="O18" s="237">
        <v>742.25</v>
      </c>
      <c r="P18" s="237">
        <v>9503</v>
      </c>
      <c r="Q18" s="237">
        <v>556.35</v>
      </c>
      <c r="R18" s="237">
        <v>643</v>
      </c>
      <c r="S18" s="237">
        <v>150.6</v>
      </c>
      <c r="T18" s="237">
        <v>8735.5</v>
      </c>
      <c r="U18" s="237">
        <v>21537.9</v>
      </c>
      <c r="V18" s="237">
        <v>4387</v>
      </c>
      <c r="W18" s="237">
        <v>848</v>
      </c>
      <c r="X18" s="237">
        <v>1168</v>
      </c>
      <c r="Y18" s="13" t="s">
        <v>29</v>
      </c>
      <c r="Z18" s="201" t="s">
        <v>345</v>
      </c>
      <c r="AA18" s="237">
        <v>2780</v>
      </c>
      <c r="AB18" s="237">
        <v>4</v>
      </c>
      <c r="AC18" s="237">
        <v>14731.5</v>
      </c>
      <c r="AD18" s="237">
        <v>0</v>
      </c>
      <c r="AE18" s="237">
        <v>3794.5</v>
      </c>
      <c r="AF18" s="237">
        <v>5413</v>
      </c>
      <c r="AG18" s="237">
        <v>0</v>
      </c>
      <c r="AH18" s="237">
        <v>198</v>
      </c>
      <c r="AI18" s="237">
        <v>0</v>
      </c>
      <c r="AJ18" s="237">
        <v>741</v>
      </c>
    </row>
    <row r="19" spans="1:36" ht="12.6" customHeight="1">
      <c r="A19" s="13"/>
      <c r="B19" s="201" t="s">
        <v>351</v>
      </c>
      <c r="C19" s="430">
        <v>171462.29500000001</v>
      </c>
      <c r="D19" s="237">
        <v>19001.2</v>
      </c>
      <c r="E19" s="237">
        <v>17056</v>
      </c>
      <c r="F19" s="237">
        <v>36291.995000000003</v>
      </c>
      <c r="G19" s="237">
        <v>14641.9</v>
      </c>
      <c r="H19" s="237">
        <v>7809</v>
      </c>
      <c r="I19" s="237">
        <v>529</v>
      </c>
      <c r="J19" s="237">
        <v>5</v>
      </c>
      <c r="K19" s="237">
        <v>0</v>
      </c>
      <c r="L19" s="237">
        <v>152</v>
      </c>
      <c r="M19" s="13"/>
      <c r="N19" s="201" t="s">
        <v>351</v>
      </c>
      <c r="O19" s="237">
        <v>714.75</v>
      </c>
      <c r="P19" s="237">
        <v>9427</v>
      </c>
      <c r="Q19" s="237">
        <v>533</v>
      </c>
      <c r="R19" s="237">
        <v>1034</v>
      </c>
      <c r="S19" s="237">
        <v>167.6</v>
      </c>
      <c r="T19" s="237">
        <v>9711.5</v>
      </c>
      <c r="U19" s="237">
        <v>20714.849999999999</v>
      </c>
      <c r="V19" s="237">
        <v>3675</v>
      </c>
      <c r="W19" s="237">
        <v>753.8</v>
      </c>
      <c r="X19" s="237">
        <v>680.45</v>
      </c>
      <c r="Y19" s="13"/>
      <c r="Z19" s="201" t="s">
        <v>351</v>
      </c>
      <c r="AA19" s="237">
        <v>2304.5</v>
      </c>
      <c r="AB19" s="237">
        <v>0</v>
      </c>
      <c r="AC19" s="237">
        <v>14657.75</v>
      </c>
      <c r="AD19" s="237">
        <v>0</v>
      </c>
      <c r="AE19" s="237">
        <v>4142</v>
      </c>
      <c r="AF19" s="237">
        <v>5963</v>
      </c>
      <c r="AG19" s="237">
        <v>0</v>
      </c>
      <c r="AH19" s="237">
        <v>282</v>
      </c>
      <c r="AI19" s="237">
        <v>0</v>
      </c>
      <c r="AJ19" s="237">
        <v>1215</v>
      </c>
    </row>
    <row r="20" spans="1:36" ht="12.6" customHeight="1">
      <c r="A20" s="13" t="s">
        <v>290</v>
      </c>
      <c r="B20" s="201" t="s">
        <v>345</v>
      </c>
      <c r="C20" s="430">
        <v>0</v>
      </c>
      <c r="D20" s="237">
        <v>0</v>
      </c>
      <c r="E20" s="237">
        <v>0</v>
      </c>
      <c r="F20" s="237">
        <v>0</v>
      </c>
      <c r="G20" s="237">
        <v>0</v>
      </c>
      <c r="H20" s="237">
        <v>0</v>
      </c>
      <c r="I20" s="237">
        <v>0</v>
      </c>
      <c r="J20" s="237">
        <v>0</v>
      </c>
      <c r="K20" s="237">
        <v>0</v>
      </c>
      <c r="L20" s="237">
        <v>0</v>
      </c>
      <c r="M20" s="13" t="s">
        <v>290</v>
      </c>
      <c r="N20" s="201" t="s">
        <v>345</v>
      </c>
      <c r="O20" s="237">
        <v>0</v>
      </c>
      <c r="P20" s="237">
        <v>0</v>
      </c>
      <c r="Q20" s="237">
        <v>0</v>
      </c>
      <c r="R20" s="237">
        <v>0</v>
      </c>
      <c r="S20" s="237">
        <v>0</v>
      </c>
      <c r="T20" s="237">
        <v>0</v>
      </c>
      <c r="U20" s="237">
        <v>0</v>
      </c>
      <c r="V20" s="237">
        <v>0</v>
      </c>
      <c r="W20" s="237">
        <v>0</v>
      </c>
      <c r="X20" s="237">
        <v>0</v>
      </c>
      <c r="Y20" s="13" t="s">
        <v>290</v>
      </c>
      <c r="Z20" s="201" t="s">
        <v>345</v>
      </c>
      <c r="AA20" s="237">
        <v>0</v>
      </c>
      <c r="AB20" s="237">
        <v>0</v>
      </c>
      <c r="AC20" s="237">
        <v>0</v>
      </c>
      <c r="AD20" s="237">
        <v>0</v>
      </c>
      <c r="AE20" s="237">
        <v>0</v>
      </c>
      <c r="AF20" s="237">
        <v>0</v>
      </c>
      <c r="AG20" s="237">
        <v>0</v>
      </c>
      <c r="AH20" s="237">
        <v>0</v>
      </c>
      <c r="AI20" s="237">
        <v>0</v>
      </c>
      <c r="AJ20" s="237">
        <v>0</v>
      </c>
    </row>
    <row r="21" spans="1:36" ht="12.6" customHeight="1">
      <c r="A21" s="13"/>
      <c r="B21" s="201" t="s">
        <v>351</v>
      </c>
      <c r="C21" s="430">
        <v>0</v>
      </c>
      <c r="D21" s="237">
        <v>0</v>
      </c>
      <c r="E21" s="237">
        <v>0</v>
      </c>
      <c r="F21" s="237">
        <v>0</v>
      </c>
      <c r="G21" s="237">
        <v>0</v>
      </c>
      <c r="H21" s="237">
        <v>0</v>
      </c>
      <c r="I21" s="237">
        <v>0</v>
      </c>
      <c r="J21" s="237">
        <v>0</v>
      </c>
      <c r="K21" s="237">
        <v>0</v>
      </c>
      <c r="L21" s="237">
        <v>0</v>
      </c>
      <c r="M21" s="13"/>
      <c r="N21" s="201" t="s">
        <v>351</v>
      </c>
      <c r="O21" s="237">
        <v>0</v>
      </c>
      <c r="P21" s="237">
        <v>0</v>
      </c>
      <c r="Q21" s="237">
        <v>0</v>
      </c>
      <c r="R21" s="237">
        <v>0</v>
      </c>
      <c r="S21" s="237">
        <v>0</v>
      </c>
      <c r="T21" s="237">
        <v>0</v>
      </c>
      <c r="U21" s="237">
        <v>0</v>
      </c>
      <c r="V21" s="237">
        <v>0</v>
      </c>
      <c r="W21" s="237">
        <v>0</v>
      </c>
      <c r="X21" s="237">
        <v>0</v>
      </c>
      <c r="Y21" s="13"/>
      <c r="Z21" s="201" t="s">
        <v>351</v>
      </c>
      <c r="AA21" s="237">
        <v>0</v>
      </c>
      <c r="AB21" s="237">
        <v>0</v>
      </c>
      <c r="AC21" s="237">
        <v>0</v>
      </c>
      <c r="AD21" s="237">
        <v>0</v>
      </c>
      <c r="AE21" s="237">
        <v>0</v>
      </c>
      <c r="AF21" s="237">
        <v>0</v>
      </c>
      <c r="AG21" s="237">
        <v>0</v>
      </c>
      <c r="AH21" s="237">
        <v>0</v>
      </c>
      <c r="AI21" s="237">
        <v>0</v>
      </c>
      <c r="AJ21" s="237">
        <v>0</v>
      </c>
    </row>
    <row r="22" spans="1:36" ht="12.6" customHeight="1">
      <c r="A22" s="13" t="s">
        <v>30</v>
      </c>
      <c r="B22" s="201" t="s">
        <v>345</v>
      </c>
      <c r="C22" s="430">
        <v>123521.26</v>
      </c>
      <c r="D22" s="237">
        <v>7977</v>
      </c>
      <c r="E22" s="237">
        <v>3609.5</v>
      </c>
      <c r="F22" s="237">
        <v>26302</v>
      </c>
      <c r="G22" s="237">
        <v>1172</v>
      </c>
      <c r="H22" s="237">
        <v>13097</v>
      </c>
      <c r="I22" s="237">
        <v>3495</v>
      </c>
      <c r="J22" s="237">
        <v>0</v>
      </c>
      <c r="K22" s="237">
        <v>0</v>
      </c>
      <c r="L22" s="237">
        <v>30</v>
      </c>
      <c r="M22" s="13" t="s">
        <v>30</v>
      </c>
      <c r="N22" s="201" t="s">
        <v>345</v>
      </c>
      <c r="O22" s="237">
        <v>170</v>
      </c>
      <c r="P22" s="237">
        <v>297</v>
      </c>
      <c r="Q22" s="237">
        <v>479</v>
      </c>
      <c r="R22" s="237">
        <v>0</v>
      </c>
      <c r="S22" s="237">
        <v>323</v>
      </c>
      <c r="T22" s="237">
        <v>1777</v>
      </c>
      <c r="U22" s="237">
        <v>29840</v>
      </c>
      <c r="V22" s="237">
        <v>3582.75</v>
      </c>
      <c r="W22" s="237">
        <v>64</v>
      </c>
      <c r="X22" s="237">
        <v>1638</v>
      </c>
      <c r="Y22" s="13" t="s">
        <v>30</v>
      </c>
      <c r="Z22" s="201" t="s">
        <v>345</v>
      </c>
      <c r="AA22" s="237">
        <v>3539</v>
      </c>
      <c r="AB22" s="237">
        <v>0</v>
      </c>
      <c r="AC22" s="237">
        <v>1651</v>
      </c>
      <c r="AD22" s="237">
        <v>0</v>
      </c>
      <c r="AE22" s="237">
        <v>9610</v>
      </c>
      <c r="AF22" s="237">
        <v>2320</v>
      </c>
      <c r="AG22" s="237">
        <v>0</v>
      </c>
      <c r="AH22" s="237">
        <v>0</v>
      </c>
      <c r="AI22" s="237">
        <v>878</v>
      </c>
      <c r="AJ22" s="237">
        <v>11670.01</v>
      </c>
    </row>
    <row r="23" spans="1:36" ht="12.6" customHeight="1">
      <c r="A23" s="13"/>
      <c r="B23" s="201" t="s">
        <v>351</v>
      </c>
      <c r="C23" s="430">
        <v>127047</v>
      </c>
      <c r="D23" s="237">
        <v>8146</v>
      </c>
      <c r="E23" s="237">
        <v>2908</v>
      </c>
      <c r="F23" s="237">
        <v>25157</v>
      </c>
      <c r="G23" s="237">
        <v>999</v>
      </c>
      <c r="H23" s="237">
        <v>13852</v>
      </c>
      <c r="I23" s="237">
        <v>4456</v>
      </c>
      <c r="J23" s="237">
        <v>0</v>
      </c>
      <c r="K23" s="237">
        <v>0</v>
      </c>
      <c r="L23" s="237">
        <v>47</v>
      </c>
      <c r="M23" s="13"/>
      <c r="N23" s="201" t="s">
        <v>351</v>
      </c>
      <c r="O23" s="237">
        <v>160</v>
      </c>
      <c r="P23" s="237">
        <v>437</v>
      </c>
      <c r="Q23" s="237">
        <v>550</v>
      </c>
      <c r="R23" s="237">
        <v>0</v>
      </c>
      <c r="S23" s="237">
        <v>396</v>
      </c>
      <c r="T23" s="237">
        <v>2076</v>
      </c>
      <c r="U23" s="237">
        <v>29778</v>
      </c>
      <c r="V23" s="237">
        <v>2462</v>
      </c>
      <c r="W23" s="237">
        <v>71</v>
      </c>
      <c r="X23" s="237">
        <v>1659</v>
      </c>
      <c r="Y23" s="13"/>
      <c r="Z23" s="201" t="s">
        <v>351</v>
      </c>
      <c r="AA23" s="237">
        <v>3377</v>
      </c>
      <c r="AB23" s="237">
        <v>0</v>
      </c>
      <c r="AC23" s="237">
        <v>2016</v>
      </c>
      <c r="AD23" s="237">
        <v>0</v>
      </c>
      <c r="AE23" s="237">
        <v>9551</v>
      </c>
      <c r="AF23" s="237">
        <v>2091</v>
      </c>
      <c r="AG23" s="237">
        <v>0</v>
      </c>
      <c r="AH23" s="237">
        <v>0</v>
      </c>
      <c r="AI23" s="237">
        <v>1077</v>
      </c>
      <c r="AJ23" s="237">
        <v>15781</v>
      </c>
    </row>
    <row r="24" spans="1:36" ht="12.6" customHeight="1">
      <c r="A24" s="13" t="s">
        <v>31</v>
      </c>
      <c r="B24" s="201" t="s">
        <v>345</v>
      </c>
      <c r="C24" s="430">
        <v>92594</v>
      </c>
      <c r="D24" s="237">
        <v>4313</v>
      </c>
      <c r="E24" s="237">
        <v>192</v>
      </c>
      <c r="F24" s="237">
        <v>20062</v>
      </c>
      <c r="G24" s="237">
        <v>0</v>
      </c>
      <c r="H24" s="237">
        <v>14321</v>
      </c>
      <c r="I24" s="237">
        <v>1638</v>
      </c>
      <c r="J24" s="237">
        <v>0</v>
      </c>
      <c r="K24" s="237">
        <v>0</v>
      </c>
      <c r="L24" s="237">
        <v>21</v>
      </c>
      <c r="M24" s="13" t="s">
        <v>31</v>
      </c>
      <c r="N24" s="201" t="s">
        <v>345</v>
      </c>
      <c r="O24" s="237">
        <v>211</v>
      </c>
      <c r="P24" s="237">
        <v>5001</v>
      </c>
      <c r="Q24" s="237">
        <v>33</v>
      </c>
      <c r="R24" s="237">
        <v>100</v>
      </c>
      <c r="S24" s="237">
        <v>8</v>
      </c>
      <c r="T24" s="237">
        <v>798</v>
      </c>
      <c r="U24" s="237">
        <v>23793</v>
      </c>
      <c r="V24" s="237">
        <v>0</v>
      </c>
      <c r="W24" s="237">
        <v>14</v>
      </c>
      <c r="X24" s="237">
        <v>496</v>
      </c>
      <c r="Y24" s="13" t="s">
        <v>31</v>
      </c>
      <c r="Z24" s="201" t="s">
        <v>345</v>
      </c>
      <c r="AA24" s="237">
        <v>2873</v>
      </c>
      <c r="AB24" s="237">
        <v>0</v>
      </c>
      <c r="AC24" s="237">
        <v>7194</v>
      </c>
      <c r="AD24" s="237">
        <v>0</v>
      </c>
      <c r="AE24" s="237">
        <v>6360</v>
      </c>
      <c r="AF24" s="237">
        <v>3649</v>
      </c>
      <c r="AG24" s="237">
        <v>0</v>
      </c>
      <c r="AH24" s="237">
        <v>0</v>
      </c>
      <c r="AI24" s="237">
        <v>0</v>
      </c>
      <c r="AJ24" s="237">
        <v>1517</v>
      </c>
    </row>
    <row r="25" spans="1:36" ht="12.6" customHeight="1">
      <c r="A25" s="13"/>
      <c r="B25" s="201" t="s">
        <v>351</v>
      </c>
      <c r="C25" s="430">
        <v>80015</v>
      </c>
      <c r="D25" s="237">
        <v>4004</v>
      </c>
      <c r="E25" s="237">
        <v>433</v>
      </c>
      <c r="F25" s="237">
        <v>16272</v>
      </c>
      <c r="G25" s="237">
        <v>0</v>
      </c>
      <c r="H25" s="237">
        <v>14322</v>
      </c>
      <c r="I25" s="237">
        <v>1552</v>
      </c>
      <c r="J25" s="237">
        <v>0</v>
      </c>
      <c r="K25" s="237">
        <v>0</v>
      </c>
      <c r="L25" s="237">
        <v>41</v>
      </c>
      <c r="M25" s="13"/>
      <c r="N25" s="201" t="s">
        <v>351</v>
      </c>
      <c r="O25" s="237">
        <v>439</v>
      </c>
      <c r="P25" s="237">
        <v>3343</v>
      </c>
      <c r="Q25" s="237">
        <v>88</v>
      </c>
      <c r="R25" s="237">
        <v>145</v>
      </c>
      <c r="S25" s="237">
        <v>100</v>
      </c>
      <c r="T25" s="237">
        <v>672</v>
      </c>
      <c r="U25" s="237">
        <v>18745</v>
      </c>
      <c r="V25" s="237">
        <v>0</v>
      </c>
      <c r="W25" s="237">
        <v>9</v>
      </c>
      <c r="X25" s="237">
        <v>507</v>
      </c>
      <c r="Y25" s="13"/>
      <c r="Z25" s="201" t="s">
        <v>351</v>
      </c>
      <c r="AA25" s="237">
        <v>2211</v>
      </c>
      <c r="AB25" s="237">
        <v>0</v>
      </c>
      <c r="AC25" s="237">
        <v>6664</v>
      </c>
      <c r="AD25" s="237">
        <v>4</v>
      </c>
      <c r="AE25" s="237">
        <v>5471</v>
      </c>
      <c r="AF25" s="237">
        <v>3211</v>
      </c>
      <c r="AG25" s="237">
        <v>0</v>
      </c>
      <c r="AH25" s="237">
        <v>0</v>
      </c>
      <c r="AI25" s="237">
        <v>19</v>
      </c>
      <c r="AJ25" s="237">
        <v>1763</v>
      </c>
    </row>
    <row r="26" spans="1:36" ht="12.6" customHeight="1">
      <c r="A26" s="13" t="s">
        <v>153</v>
      </c>
      <c r="B26" s="201" t="s">
        <v>345</v>
      </c>
      <c r="C26" s="430">
        <v>87720.75</v>
      </c>
      <c r="D26" s="237">
        <v>7895</v>
      </c>
      <c r="E26" s="237">
        <v>9208</v>
      </c>
      <c r="F26" s="237">
        <v>13637.75</v>
      </c>
      <c r="G26" s="237">
        <v>4817</v>
      </c>
      <c r="H26" s="237">
        <v>6142.5</v>
      </c>
      <c r="I26" s="237">
        <v>643</v>
      </c>
      <c r="J26" s="237">
        <v>52.75</v>
      </c>
      <c r="K26" s="237">
        <v>0</v>
      </c>
      <c r="L26" s="237">
        <v>39</v>
      </c>
      <c r="M26" s="13" t="s">
        <v>153</v>
      </c>
      <c r="N26" s="201" t="s">
        <v>345</v>
      </c>
      <c r="O26" s="237">
        <v>545.5</v>
      </c>
      <c r="P26" s="237">
        <v>1818.5</v>
      </c>
      <c r="Q26" s="237">
        <v>105.25</v>
      </c>
      <c r="R26" s="237">
        <v>35</v>
      </c>
      <c r="S26" s="237">
        <v>83</v>
      </c>
      <c r="T26" s="237">
        <v>866.5</v>
      </c>
      <c r="U26" s="237">
        <v>27616.75</v>
      </c>
      <c r="V26" s="237">
        <v>2962</v>
      </c>
      <c r="W26" s="237">
        <v>207.5</v>
      </c>
      <c r="X26" s="237">
        <v>679</v>
      </c>
      <c r="Y26" s="13" t="s">
        <v>153</v>
      </c>
      <c r="Z26" s="201" t="s">
        <v>345</v>
      </c>
      <c r="AA26" s="237">
        <v>1623</v>
      </c>
      <c r="AB26" s="237">
        <v>0</v>
      </c>
      <c r="AC26" s="237">
        <v>3266.5</v>
      </c>
      <c r="AD26" s="237">
        <v>0</v>
      </c>
      <c r="AE26" s="237">
        <v>2929.75</v>
      </c>
      <c r="AF26" s="237">
        <v>1022</v>
      </c>
      <c r="AG26" s="237">
        <v>0</v>
      </c>
      <c r="AH26" s="237">
        <v>250.5</v>
      </c>
      <c r="AI26" s="237">
        <v>0</v>
      </c>
      <c r="AJ26" s="237">
        <v>1275</v>
      </c>
    </row>
    <row r="27" spans="1:36" ht="12.6" customHeight="1">
      <c r="A27" s="13"/>
      <c r="B27" s="201" t="s">
        <v>351</v>
      </c>
      <c r="C27" s="430">
        <v>87453.25</v>
      </c>
      <c r="D27" s="237">
        <v>8147</v>
      </c>
      <c r="E27" s="237">
        <v>7673.75</v>
      </c>
      <c r="F27" s="237">
        <v>12808</v>
      </c>
      <c r="G27" s="237">
        <v>4471</v>
      </c>
      <c r="H27" s="237">
        <v>6100</v>
      </c>
      <c r="I27" s="237">
        <v>734</v>
      </c>
      <c r="J27" s="237">
        <v>56.5</v>
      </c>
      <c r="K27" s="237">
        <v>0</v>
      </c>
      <c r="L27" s="237">
        <v>48.25</v>
      </c>
      <c r="M27" s="13"/>
      <c r="N27" s="201" t="s">
        <v>351</v>
      </c>
      <c r="O27" s="237">
        <v>772.25</v>
      </c>
      <c r="P27" s="237">
        <v>1940.5</v>
      </c>
      <c r="Q27" s="237">
        <v>139</v>
      </c>
      <c r="R27" s="237">
        <v>34.5</v>
      </c>
      <c r="S27" s="237">
        <v>85.5</v>
      </c>
      <c r="T27" s="237">
        <v>905.25</v>
      </c>
      <c r="U27" s="237">
        <v>28913</v>
      </c>
      <c r="V27" s="237">
        <v>2960.5</v>
      </c>
      <c r="W27" s="237">
        <v>206.25</v>
      </c>
      <c r="X27" s="237">
        <v>735.75</v>
      </c>
      <c r="Y27" s="13"/>
      <c r="Z27" s="201" t="s">
        <v>351</v>
      </c>
      <c r="AA27" s="237">
        <v>1776.5</v>
      </c>
      <c r="AB27" s="237">
        <v>0</v>
      </c>
      <c r="AC27" s="237">
        <v>3407</v>
      </c>
      <c r="AD27" s="237">
        <v>0</v>
      </c>
      <c r="AE27" s="237">
        <v>2822</v>
      </c>
      <c r="AF27" s="237">
        <v>1087.25</v>
      </c>
      <c r="AG27" s="237">
        <v>0</v>
      </c>
      <c r="AH27" s="237">
        <v>262.5</v>
      </c>
      <c r="AI27" s="237">
        <v>57.5</v>
      </c>
      <c r="AJ27" s="237">
        <v>1309.5</v>
      </c>
    </row>
    <row r="28" spans="1:36" ht="12.6" customHeight="1">
      <c r="A28" s="13" t="s">
        <v>32</v>
      </c>
      <c r="B28" s="201" t="s">
        <v>345</v>
      </c>
      <c r="C28" s="430">
        <v>18051.75</v>
      </c>
      <c r="D28" s="237">
        <v>23</v>
      </c>
      <c r="E28" s="237">
        <v>11977</v>
      </c>
      <c r="F28" s="237">
        <v>17.5</v>
      </c>
      <c r="G28" s="237">
        <v>0</v>
      </c>
      <c r="H28" s="237">
        <v>38</v>
      </c>
      <c r="I28" s="237">
        <v>2</v>
      </c>
      <c r="J28" s="237">
        <v>215</v>
      </c>
      <c r="K28" s="237">
        <v>0</v>
      </c>
      <c r="L28" s="237">
        <v>534</v>
      </c>
      <c r="M28" s="13" t="s">
        <v>32</v>
      </c>
      <c r="N28" s="201" t="s">
        <v>345</v>
      </c>
      <c r="O28" s="237">
        <v>324.25</v>
      </c>
      <c r="P28" s="237">
        <v>97.5</v>
      </c>
      <c r="Q28" s="237">
        <v>8</v>
      </c>
      <c r="R28" s="237">
        <v>2</v>
      </c>
      <c r="S28" s="237">
        <v>1058</v>
      </c>
      <c r="T28" s="237">
        <v>332.5</v>
      </c>
      <c r="U28" s="237">
        <v>1987.5</v>
      </c>
      <c r="V28" s="237">
        <v>187</v>
      </c>
      <c r="W28" s="237">
        <v>742.5</v>
      </c>
      <c r="X28" s="237">
        <v>11</v>
      </c>
      <c r="Y28" s="13" t="s">
        <v>32</v>
      </c>
      <c r="Z28" s="201" t="s">
        <v>345</v>
      </c>
      <c r="AA28" s="237">
        <v>0</v>
      </c>
      <c r="AB28" s="237">
        <v>188.5</v>
      </c>
      <c r="AC28" s="237">
        <v>27.5</v>
      </c>
      <c r="AD28" s="237">
        <v>279</v>
      </c>
      <c r="AE28" s="237">
        <v>0</v>
      </c>
      <c r="AF28" s="237">
        <v>0</v>
      </c>
      <c r="AG28" s="237">
        <v>0</v>
      </c>
      <c r="AH28" s="237">
        <v>0</v>
      </c>
      <c r="AI28" s="237">
        <v>0</v>
      </c>
      <c r="AJ28" s="237">
        <v>0</v>
      </c>
    </row>
    <row r="29" spans="1:36" ht="12.6" customHeight="1">
      <c r="A29" s="13"/>
      <c r="B29" s="201" t="s">
        <v>351</v>
      </c>
      <c r="C29" s="430">
        <v>25326.5</v>
      </c>
      <c r="D29" s="237">
        <v>15</v>
      </c>
      <c r="E29" s="237">
        <v>18233.5</v>
      </c>
      <c r="F29" s="237">
        <v>59</v>
      </c>
      <c r="G29" s="237">
        <v>0</v>
      </c>
      <c r="H29" s="237">
        <v>36</v>
      </c>
      <c r="I29" s="237">
        <v>5</v>
      </c>
      <c r="J29" s="237">
        <v>224</v>
      </c>
      <c r="K29" s="237">
        <v>0</v>
      </c>
      <c r="L29" s="237">
        <v>644</v>
      </c>
      <c r="M29" s="13"/>
      <c r="N29" s="201" t="s">
        <v>351</v>
      </c>
      <c r="O29" s="237">
        <v>703</v>
      </c>
      <c r="P29" s="237">
        <v>97.5</v>
      </c>
      <c r="Q29" s="237">
        <v>2</v>
      </c>
      <c r="R29" s="237">
        <v>0</v>
      </c>
      <c r="S29" s="237">
        <v>1003</v>
      </c>
      <c r="T29" s="237">
        <v>261.5</v>
      </c>
      <c r="U29" s="237">
        <v>2276</v>
      </c>
      <c r="V29" s="237">
        <v>224</v>
      </c>
      <c r="W29" s="237">
        <v>701</v>
      </c>
      <c r="X29" s="237">
        <v>0</v>
      </c>
      <c r="Y29" s="13"/>
      <c r="Z29" s="201" t="s">
        <v>351</v>
      </c>
      <c r="AA29" s="237">
        <v>4</v>
      </c>
      <c r="AB29" s="237">
        <v>376.5</v>
      </c>
      <c r="AC29" s="237">
        <v>47</v>
      </c>
      <c r="AD29" s="237">
        <v>414.5</v>
      </c>
      <c r="AE29" s="237">
        <v>0</v>
      </c>
      <c r="AF29" s="237">
        <v>0</v>
      </c>
      <c r="AG29" s="237">
        <v>0</v>
      </c>
      <c r="AH29" s="237">
        <v>0</v>
      </c>
      <c r="AI29" s="237">
        <v>0</v>
      </c>
      <c r="AJ29" s="237">
        <v>0</v>
      </c>
    </row>
    <row r="30" spans="1:36" ht="12.6" customHeight="1">
      <c r="A30" s="13" t="s">
        <v>154</v>
      </c>
      <c r="B30" s="201" t="s">
        <v>345</v>
      </c>
      <c r="C30" s="430">
        <v>83923.75</v>
      </c>
      <c r="D30" s="237">
        <v>3052</v>
      </c>
      <c r="E30" s="237">
        <v>5175</v>
      </c>
      <c r="F30" s="237">
        <v>7664</v>
      </c>
      <c r="G30" s="237">
        <v>511</v>
      </c>
      <c r="H30" s="237">
        <v>8747</v>
      </c>
      <c r="I30" s="237">
        <v>2222</v>
      </c>
      <c r="J30" s="237">
        <v>173</v>
      </c>
      <c r="K30" s="237">
        <v>0</v>
      </c>
      <c r="L30" s="237">
        <v>5</v>
      </c>
      <c r="M30" s="13" t="s">
        <v>154</v>
      </c>
      <c r="N30" s="201" t="s">
        <v>345</v>
      </c>
      <c r="O30" s="237">
        <v>172</v>
      </c>
      <c r="P30" s="237">
        <v>3613.1</v>
      </c>
      <c r="Q30" s="237">
        <v>908</v>
      </c>
      <c r="R30" s="237">
        <v>459</v>
      </c>
      <c r="S30" s="237">
        <v>132</v>
      </c>
      <c r="T30" s="237">
        <v>7708</v>
      </c>
      <c r="U30" s="237">
        <v>24089.35</v>
      </c>
      <c r="V30" s="237">
        <v>4738</v>
      </c>
      <c r="W30" s="237">
        <v>0</v>
      </c>
      <c r="X30" s="237">
        <v>578</v>
      </c>
      <c r="Y30" s="13" t="s">
        <v>154</v>
      </c>
      <c r="Z30" s="201" t="s">
        <v>345</v>
      </c>
      <c r="AA30" s="237">
        <v>2696.3</v>
      </c>
      <c r="AB30" s="237">
        <v>0</v>
      </c>
      <c r="AC30" s="237">
        <v>3431</v>
      </c>
      <c r="AD30" s="237">
        <v>0</v>
      </c>
      <c r="AE30" s="237">
        <v>1599</v>
      </c>
      <c r="AF30" s="237">
        <v>779</v>
      </c>
      <c r="AG30" s="237">
        <v>0</v>
      </c>
      <c r="AH30" s="237">
        <v>0</v>
      </c>
      <c r="AI30" s="237">
        <v>348</v>
      </c>
      <c r="AJ30" s="237">
        <v>5124</v>
      </c>
    </row>
    <row r="31" spans="1:36" ht="12.6" customHeight="1">
      <c r="A31" s="13"/>
      <c r="B31" s="201" t="s">
        <v>351</v>
      </c>
      <c r="C31" s="430">
        <v>80531.5</v>
      </c>
      <c r="D31" s="237">
        <v>2806</v>
      </c>
      <c r="E31" s="237">
        <v>5549.5</v>
      </c>
      <c r="F31" s="237">
        <v>6043</v>
      </c>
      <c r="G31" s="237">
        <v>480.5</v>
      </c>
      <c r="H31" s="237">
        <v>8845</v>
      </c>
      <c r="I31" s="237">
        <v>2435</v>
      </c>
      <c r="J31" s="237">
        <v>207</v>
      </c>
      <c r="K31" s="237">
        <v>0</v>
      </c>
      <c r="L31" s="237">
        <v>6</v>
      </c>
      <c r="M31" s="13"/>
      <c r="N31" s="201" t="s">
        <v>351</v>
      </c>
      <c r="O31" s="237">
        <v>195</v>
      </c>
      <c r="P31" s="237">
        <v>3486</v>
      </c>
      <c r="Q31" s="237">
        <v>876</v>
      </c>
      <c r="R31" s="237">
        <v>471</v>
      </c>
      <c r="S31" s="237">
        <v>125</v>
      </c>
      <c r="T31" s="237">
        <v>7064</v>
      </c>
      <c r="U31" s="237">
        <v>22723</v>
      </c>
      <c r="V31" s="237">
        <v>4649.5</v>
      </c>
      <c r="W31" s="237">
        <v>0</v>
      </c>
      <c r="X31" s="237">
        <v>568</v>
      </c>
      <c r="Y31" s="13"/>
      <c r="Z31" s="201" t="s">
        <v>351</v>
      </c>
      <c r="AA31" s="237">
        <v>2650</v>
      </c>
      <c r="AB31" s="237">
        <v>0</v>
      </c>
      <c r="AC31" s="237">
        <v>3192</v>
      </c>
      <c r="AD31" s="237">
        <v>0</v>
      </c>
      <c r="AE31" s="237">
        <v>1317</v>
      </c>
      <c r="AF31" s="237">
        <v>584</v>
      </c>
      <c r="AG31" s="237">
        <v>0</v>
      </c>
      <c r="AH31" s="237">
        <v>0</v>
      </c>
      <c r="AI31" s="237">
        <v>740</v>
      </c>
      <c r="AJ31" s="237">
        <v>5519</v>
      </c>
    </row>
    <row r="32" spans="1:36" ht="12.6" customHeight="1">
      <c r="A32" s="13" t="s">
        <v>33</v>
      </c>
      <c r="B32" s="201" t="s">
        <v>345</v>
      </c>
      <c r="C32" s="430">
        <v>179229.82500000001</v>
      </c>
      <c r="D32" s="237">
        <v>27766</v>
      </c>
      <c r="E32" s="237">
        <v>10083</v>
      </c>
      <c r="F32" s="237">
        <v>14408</v>
      </c>
      <c r="G32" s="237">
        <v>31380</v>
      </c>
      <c r="H32" s="237">
        <v>24134</v>
      </c>
      <c r="I32" s="237">
        <v>955</v>
      </c>
      <c r="J32" s="237">
        <v>141.5</v>
      </c>
      <c r="K32" s="237">
        <v>156</v>
      </c>
      <c r="L32" s="237">
        <v>132</v>
      </c>
      <c r="M32" s="13" t="s">
        <v>33</v>
      </c>
      <c r="N32" s="201" t="s">
        <v>345</v>
      </c>
      <c r="O32" s="237">
        <v>373.5</v>
      </c>
      <c r="P32" s="237">
        <v>1402.5</v>
      </c>
      <c r="Q32" s="237">
        <v>390.5</v>
      </c>
      <c r="R32" s="237">
        <v>178</v>
      </c>
      <c r="S32" s="237">
        <v>367</v>
      </c>
      <c r="T32" s="237">
        <v>927.5</v>
      </c>
      <c r="U32" s="237">
        <v>20824.5</v>
      </c>
      <c r="V32" s="237">
        <v>800</v>
      </c>
      <c r="W32" s="237">
        <v>222.5</v>
      </c>
      <c r="X32" s="237">
        <v>962</v>
      </c>
      <c r="Y32" s="13" t="s">
        <v>33</v>
      </c>
      <c r="Z32" s="201" t="s">
        <v>345</v>
      </c>
      <c r="AA32" s="237">
        <v>1460</v>
      </c>
      <c r="AB32" s="237">
        <v>39</v>
      </c>
      <c r="AC32" s="237">
        <v>1949</v>
      </c>
      <c r="AD32" s="237">
        <v>8</v>
      </c>
      <c r="AE32" s="237">
        <v>4659</v>
      </c>
      <c r="AF32" s="237">
        <v>8204</v>
      </c>
      <c r="AG32" s="237">
        <v>23923.825000000001</v>
      </c>
      <c r="AH32" s="237">
        <v>1964</v>
      </c>
      <c r="AI32" s="237">
        <v>90</v>
      </c>
      <c r="AJ32" s="237">
        <v>1329.5</v>
      </c>
    </row>
    <row r="33" spans="1:36" ht="12.6" customHeight="1">
      <c r="A33" s="13"/>
      <c r="B33" s="201" t="s">
        <v>351</v>
      </c>
      <c r="C33" s="430">
        <v>170843.09</v>
      </c>
      <c r="D33" s="237">
        <v>25993</v>
      </c>
      <c r="E33" s="237">
        <v>9463.1</v>
      </c>
      <c r="F33" s="237">
        <v>13900.5</v>
      </c>
      <c r="G33" s="237">
        <v>26712</v>
      </c>
      <c r="H33" s="237">
        <v>23590.5</v>
      </c>
      <c r="I33" s="237">
        <v>968.5</v>
      </c>
      <c r="J33" s="237">
        <v>130</v>
      </c>
      <c r="K33" s="237">
        <v>202</v>
      </c>
      <c r="L33" s="237">
        <v>151.5</v>
      </c>
      <c r="M33" s="13"/>
      <c r="N33" s="201" t="s">
        <v>351</v>
      </c>
      <c r="O33" s="237">
        <v>381</v>
      </c>
      <c r="P33" s="237">
        <v>1545.5</v>
      </c>
      <c r="Q33" s="237">
        <v>390.5</v>
      </c>
      <c r="R33" s="237">
        <v>173.5</v>
      </c>
      <c r="S33" s="237">
        <v>474.5</v>
      </c>
      <c r="T33" s="237">
        <v>853.5</v>
      </c>
      <c r="U33" s="237">
        <v>21809.5</v>
      </c>
      <c r="V33" s="237">
        <v>694</v>
      </c>
      <c r="W33" s="237">
        <v>276.5</v>
      </c>
      <c r="X33" s="237">
        <v>896</v>
      </c>
      <c r="Y33" s="13"/>
      <c r="Z33" s="201" t="s">
        <v>351</v>
      </c>
      <c r="AA33" s="237">
        <v>1516</v>
      </c>
      <c r="AB33" s="237">
        <v>51</v>
      </c>
      <c r="AC33" s="237">
        <v>2004.5</v>
      </c>
      <c r="AD33" s="237">
        <v>0</v>
      </c>
      <c r="AE33" s="237">
        <v>4446.5</v>
      </c>
      <c r="AF33" s="237">
        <v>8104</v>
      </c>
      <c r="AG33" s="237">
        <v>22557.99</v>
      </c>
      <c r="AH33" s="237">
        <v>2076.5</v>
      </c>
      <c r="AI33" s="237">
        <v>72</v>
      </c>
      <c r="AJ33" s="237">
        <v>1409</v>
      </c>
    </row>
    <row r="34" spans="1:36" ht="12.6" customHeight="1">
      <c r="A34" s="13" t="s">
        <v>34</v>
      </c>
      <c r="B34" s="201" t="s">
        <v>345</v>
      </c>
      <c r="C34" s="430">
        <v>79557.881999999998</v>
      </c>
      <c r="D34" s="237">
        <v>1363</v>
      </c>
      <c r="E34" s="237">
        <v>7760</v>
      </c>
      <c r="F34" s="237">
        <v>994</v>
      </c>
      <c r="G34" s="237">
        <v>48697</v>
      </c>
      <c r="H34" s="237">
        <v>80</v>
      </c>
      <c r="I34" s="237">
        <v>15</v>
      </c>
      <c r="J34" s="237">
        <v>18</v>
      </c>
      <c r="K34" s="237">
        <v>0</v>
      </c>
      <c r="L34" s="237">
        <v>126</v>
      </c>
      <c r="M34" s="13" t="s">
        <v>34</v>
      </c>
      <c r="N34" s="201" t="s">
        <v>345</v>
      </c>
      <c r="O34" s="237">
        <v>37</v>
      </c>
      <c r="P34" s="237">
        <v>172</v>
      </c>
      <c r="Q34" s="237">
        <v>53</v>
      </c>
      <c r="R34" s="237">
        <v>0</v>
      </c>
      <c r="S34" s="237">
        <v>282</v>
      </c>
      <c r="T34" s="237">
        <v>2115</v>
      </c>
      <c r="U34" s="237">
        <v>465</v>
      </c>
      <c r="V34" s="237">
        <v>316</v>
      </c>
      <c r="W34" s="237">
        <v>819</v>
      </c>
      <c r="X34" s="237">
        <v>80</v>
      </c>
      <c r="Y34" s="13" t="s">
        <v>34</v>
      </c>
      <c r="Z34" s="201" t="s">
        <v>345</v>
      </c>
      <c r="AA34" s="237">
        <v>227</v>
      </c>
      <c r="AB34" s="237">
        <v>36</v>
      </c>
      <c r="AC34" s="237">
        <v>202</v>
      </c>
      <c r="AD34" s="237">
        <v>88</v>
      </c>
      <c r="AE34" s="237">
        <v>160</v>
      </c>
      <c r="AF34" s="237">
        <v>205</v>
      </c>
      <c r="AG34" s="237">
        <v>14036.882</v>
      </c>
      <c r="AH34" s="237">
        <v>1211</v>
      </c>
      <c r="AI34" s="237">
        <v>0</v>
      </c>
      <c r="AJ34" s="237">
        <v>0</v>
      </c>
    </row>
    <row r="35" spans="1:36" ht="12.6" customHeight="1">
      <c r="A35" s="13"/>
      <c r="B35" s="201" t="s">
        <v>351</v>
      </c>
      <c r="C35" s="430">
        <v>78545.347999999998</v>
      </c>
      <c r="D35" s="237">
        <v>1060</v>
      </c>
      <c r="E35" s="237">
        <v>6898</v>
      </c>
      <c r="F35" s="237">
        <v>622</v>
      </c>
      <c r="G35" s="237">
        <v>49956</v>
      </c>
      <c r="H35" s="237">
        <v>60</v>
      </c>
      <c r="I35" s="237">
        <v>0</v>
      </c>
      <c r="J35" s="237">
        <v>0</v>
      </c>
      <c r="K35" s="237">
        <v>44</v>
      </c>
      <c r="L35" s="237">
        <v>40</v>
      </c>
      <c r="M35" s="13"/>
      <c r="N35" s="201" t="s">
        <v>351</v>
      </c>
      <c r="O35" s="237">
        <v>40</v>
      </c>
      <c r="P35" s="237">
        <v>359</v>
      </c>
      <c r="Q35" s="237">
        <v>32</v>
      </c>
      <c r="R35" s="237">
        <v>0</v>
      </c>
      <c r="S35" s="237">
        <v>247</v>
      </c>
      <c r="T35" s="237">
        <v>1484</v>
      </c>
      <c r="U35" s="237">
        <v>375</v>
      </c>
      <c r="V35" s="237">
        <v>192</v>
      </c>
      <c r="W35" s="237">
        <v>438</v>
      </c>
      <c r="X35" s="237">
        <v>0</v>
      </c>
      <c r="Y35" s="13"/>
      <c r="Z35" s="201" t="s">
        <v>351</v>
      </c>
      <c r="AA35" s="237">
        <v>320</v>
      </c>
      <c r="AB35" s="237">
        <v>40</v>
      </c>
      <c r="AC35" s="237">
        <v>238</v>
      </c>
      <c r="AD35" s="237">
        <v>74</v>
      </c>
      <c r="AE35" s="237">
        <v>130</v>
      </c>
      <c r="AF35" s="237">
        <v>115</v>
      </c>
      <c r="AG35" s="237">
        <v>14768.348</v>
      </c>
      <c r="AH35" s="237">
        <v>1013</v>
      </c>
      <c r="AI35" s="237">
        <v>0</v>
      </c>
      <c r="AJ35" s="237">
        <v>0</v>
      </c>
    </row>
    <row r="36" spans="1:36" ht="12.6" customHeight="1">
      <c r="A36" s="13" t="s">
        <v>35</v>
      </c>
      <c r="B36" s="201" t="s">
        <v>345</v>
      </c>
      <c r="C36" s="430">
        <v>38327.259999999995</v>
      </c>
      <c r="D36" s="237">
        <v>124.3</v>
      </c>
      <c r="E36" s="237">
        <v>10560</v>
      </c>
      <c r="F36" s="237">
        <v>412.8</v>
      </c>
      <c r="G36" s="237">
        <v>0</v>
      </c>
      <c r="H36" s="237">
        <v>127.5</v>
      </c>
      <c r="I36" s="237">
        <v>6</v>
      </c>
      <c r="J36" s="237">
        <v>570</v>
      </c>
      <c r="K36" s="237">
        <v>2</v>
      </c>
      <c r="L36" s="237">
        <v>632</v>
      </c>
      <c r="M36" s="13" t="s">
        <v>35</v>
      </c>
      <c r="N36" s="201" t="s">
        <v>345</v>
      </c>
      <c r="O36" s="237">
        <v>240</v>
      </c>
      <c r="P36" s="237">
        <v>413</v>
      </c>
      <c r="Q36" s="237">
        <v>681</v>
      </c>
      <c r="R36" s="237">
        <v>267</v>
      </c>
      <c r="S36" s="237">
        <v>425</v>
      </c>
      <c r="T36" s="237">
        <v>844</v>
      </c>
      <c r="U36" s="237">
        <v>2120.25</v>
      </c>
      <c r="V36" s="237">
        <v>743</v>
      </c>
      <c r="W36" s="237">
        <v>4151</v>
      </c>
      <c r="X36" s="237">
        <v>62.400000000000006</v>
      </c>
      <c r="Y36" s="13" t="s">
        <v>35</v>
      </c>
      <c r="Z36" s="201" t="s">
        <v>345</v>
      </c>
      <c r="AA36" s="237">
        <v>174.85</v>
      </c>
      <c r="AB36" s="237">
        <v>2106</v>
      </c>
      <c r="AC36" s="237">
        <v>427</v>
      </c>
      <c r="AD36" s="237">
        <v>8</v>
      </c>
      <c r="AE36" s="237">
        <v>136.19999999999999</v>
      </c>
      <c r="AF36" s="237">
        <v>18</v>
      </c>
      <c r="AG36" s="237">
        <v>6633.96</v>
      </c>
      <c r="AH36" s="237">
        <v>6439</v>
      </c>
      <c r="AI36" s="237">
        <v>0</v>
      </c>
      <c r="AJ36" s="237">
        <v>3</v>
      </c>
    </row>
    <row r="37" spans="1:36" ht="12.6" customHeight="1">
      <c r="A37" s="13"/>
      <c r="B37" s="201" t="s">
        <v>351</v>
      </c>
      <c r="C37" s="430">
        <v>40040.86</v>
      </c>
      <c r="D37" s="237">
        <v>143</v>
      </c>
      <c r="E37" s="237">
        <v>12649.5</v>
      </c>
      <c r="F37" s="237">
        <v>346.5</v>
      </c>
      <c r="G37" s="237">
        <v>1</v>
      </c>
      <c r="H37" s="237">
        <v>121.5</v>
      </c>
      <c r="I37" s="237">
        <v>0</v>
      </c>
      <c r="J37" s="237">
        <v>518</v>
      </c>
      <c r="K37" s="237">
        <v>0</v>
      </c>
      <c r="L37" s="237">
        <v>679</v>
      </c>
      <c r="M37" s="13"/>
      <c r="N37" s="201" t="s">
        <v>351</v>
      </c>
      <c r="O37" s="237">
        <v>272</v>
      </c>
      <c r="P37" s="237">
        <v>414.2</v>
      </c>
      <c r="Q37" s="237">
        <v>726</v>
      </c>
      <c r="R37" s="237">
        <v>323.17</v>
      </c>
      <c r="S37" s="237">
        <v>465</v>
      </c>
      <c r="T37" s="237">
        <v>941</v>
      </c>
      <c r="U37" s="237">
        <v>3374</v>
      </c>
      <c r="V37" s="237">
        <v>615</v>
      </c>
      <c r="W37" s="237">
        <v>2260</v>
      </c>
      <c r="X37" s="237">
        <v>55</v>
      </c>
      <c r="Y37" s="13"/>
      <c r="Z37" s="201" t="s">
        <v>351</v>
      </c>
      <c r="AA37" s="237">
        <v>176.7</v>
      </c>
      <c r="AB37" s="237">
        <v>1347.3</v>
      </c>
      <c r="AC37" s="237">
        <v>269</v>
      </c>
      <c r="AD37" s="237">
        <v>8</v>
      </c>
      <c r="AE37" s="237">
        <v>152.30000000000001</v>
      </c>
      <c r="AF37" s="237">
        <v>19</v>
      </c>
      <c r="AG37" s="237">
        <v>6794.19</v>
      </c>
      <c r="AH37" s="237">
        <v>7370.5</v>
      </c>
      <c r="AI37" s="237">
        <v>0</v>
      </c>
      <c r="AJ37" s="237">
        <v>0</v>
      </c>
    </row>
    <row r="38" spans="1:36" ht="12.6" customHeight="1">
      <c r="A38" s="13" t="s">
        <v>289</v>
      </c>
      <c r="B38" s="201" t="s">
        <v>345</v>
      </c>
      <c r="C38" s="430">
        <v>1342</v>
      </c>
      <c r="D38" s="237">
        <v>0</v>
      </c>
      <c r="E38" s="237">
        <v>4</v>
      </c>
      <c r="F38" s="237">
        <v>2</v>
      </c>
      <c r="G38" s="237">
        <v>0</v>
      </c>
      <c r="H38" s="237">
        <v>4</v>
      </c>
      <c r="I38" s="237">
        <v>1</v>
      </c>
      <c r="J38" s="237">
        <v>196</v>
      </c>
      <c r="K38" s="237">
        <v>0</v>
      </c>
      <c r="L38" s="237">
        <v>48</v>
      </c>
      <c r="M38" s="13" t="s">
        <v>289</v>
      </c>
      <c r="N38" s="201" t="s">
        <v>345</v>
      </c>
      <c r="O38" s="237">
        <v>10</v>
      </c>
      <c r="P38" s="237">
        <v>9</v>
      </c>
      <c r="Q38" s="237">
        <v>0</v>
      </c>
      <c r="R38" s="237">
        <v>0</v>
      </c>
      <c r="S38" s="237">
        <v>124</v>
      </c>
      <c r="T38" s="237">
        <v>6</v>
      </c>
      <c r="U38" s="237">
        <v>7</v>
      </c>
      <c r="V38" s="237">
        <v>17</v>
      </c>
      <c r="W38" s="237">
        <v>160</v>
      </c>
      <c r="X38" s="237">
        <v>0</v>
      </c>
      <c r="Y38" s="13" t="s">
        <v>289</v>
      </c>
      <c r="Z38" s="201" t="s">
        <v>345</v>
      </c>
      <c r="AA38" s="237">
        <v>0</v>
      </c>
      <c r="AB38" s="237">
        <v>0</v>
      </c>
      <c r="AC38" s="237">
        <v>0</v>
      </c>
      <c r="AD38" s="237">
        <v>0</v>
      </c>
      <c r="AE38" s="237">
        <v>0</v>
      </c>
      <c r="AF38" s="237">
        <v>0</v>
      </c>
      <c r="AG38" s="237">
        <v>0</v>
      </c>
      <c r="AH38" s="237">
        <v>754</v>
      </c>
      <c r="AI38" s="237">
        <v>0</v>
      </c>
      <c r="AJ38" s="237">
        <v>0</v>
      </c>
    </row>
    <row r="39" spans="1:36" ht="12.6" customHeight="1">
      <c r="A39" s="13"/>
      <c r="B39" s="201" t="s">
        <v>351</v>
      </c>
      <c r="C39" s="430">
        <v>1525</v>
      </c>
      <c r="D39" s="237">
        <v>2</v>
      </c>
      <c r="E39" s="237">
        <v>20</v>
      </c>
      <c r="F39" s="237">
        <v>2</v>
      </c>
      <c r="G39" s="237">
        <v>0</v>
      </c>
      <c r="H39" s="237">
        <v>5</v>
      </c>
      <c r="I39" s="237">
        <v>3</v>
      </c>
      <c r="J39" s="237">
        <v>232</v>
      </c>
      <c r="K39" s="237">
        <v>0</v>
      </c>
      <c r="L39" s="237">
        <v>54</v>
      </c>
      <c r="M39" s="13"/>
      <c r="N39" s="201" t="s">
        <v>351</v>
      </c>
      <c r="O39" s="237">
        <v>18</v>
      </c>
      <c r="P39" s="237">
        <v>20</v>
      </c>
      <c r="Q39" s="237">
        <v>5</v>
      </c>
      <c r="R39" s="237">
        <v>0</v>
      </c>
      <c r="S39" s="237">
        <v>129</v>
      </c>
      <c r="T39" s="237">
        <v>1</v>
      </c>
      <c r="U39" s="237">
        <v>3</v>
      </c>
      <c r="V39" s="237">
        <v>15</v>
      </c>
      <c r="W39" s="237">
        <v>194</v>
      </c>
      <c r="X39" s="237">
        <v>0</v>
      </c>
      <c r="Y39" s="13"/>
      <c r="Z39" s="201" t="s">
        <v>351</v>
      </c>
      <c r="AA39" s="237">
        <v>0</v>
      </c>
      <c r="AB39" s="237">
        <v>0</v>
      </c>
      <c r="AC39" s="237">
        <v>3</v>
      </c>
      <c r="AD39" s="237">
        <v>0</v>
      </c>
      <c r="AE39" s="237">
        <v>0</v>
      </c>
      <c r="AF39" s="237">
        <v>0</v>
      </c>
      <c r="AG39" s="237">
        <v>0</v>
      </c>
      <c r="AH39" s="237">
        <v>819</v>
      </c>
      <c r="AI39" s="237">
        <v>0</v>
      </c>
      <c r="AJ39" s="237">
        <v>0</v>
      </c>
    </row>
    <row r="40" spans="1:36" ht="12.6" customHeight="1">
      <c r="A40" s="13" t="s">
        <v>36</v>
      </c>
      <c r="B40" s="201" t="s">
        <v>345</v>
      </c>
      <c r="C40" s="430">
        <v>48381</v>
      </c>
      <c r="D40" s="237">
        <v>0</v>
      </c>
      <c r="E40" s="237">
        <v>9715</v>
      </c>
      <c r="F40" s="237">
        <v>0</v>
      </c>
      <c r="G40" s="237">
        <v>10237</v>
      </c>
      <c r="H40" s="237">
        <v>0</v>
      </c>
      <c r="I40" s="237">
        <v>0</v>
      </c>
      <c r="J40" s="237">
        <v>189</v>
      </c>
      <c r="K40" s="237">
        <v>0</v>
      </c>
      <c r="L40" s="237">
        <v>65</v>
      </c>
      <c r="M40" s="13" t="s">
        <v>36</v>
      </c>
      <c r="N40" s="201" t="s">
        <v>345</v>
      </c>
      <c r="O40" s="237">
        <v>64</v>
      </c>
      <c r="P40" s="237">
        <v>0</v>
      </c>
      <c r="Q40" s="237">
        <v>0</v>
      </c>
      <c r="R40" s="237">
        <v>0</v>
      </c>
      <c r="S40" s="237">
        <v>0</v>
      </c>
      <c r="T40" s="237">
        <v>1404</v>
      </c>
      <c r="U40" s="237">
        <v>0</v>
      </c>
      <c r="V40" s="237">
        <v>25552</v>
      </c>
      <c r="W40" s="237">
        <v>0</v>
      </c>
      <c r="X40" s="237">
        <v>0</v>
      </c>
      <c r="Y40" s="13" t="s">
        <v>36</v>
      </c>
      <c r="Z40" s="201" t="s">
        <v>345</v>
      </c>
      <c r="AA40" s="237">
        <v>0</v>
      </c>
      <c r="AB40" s="237">
        <v>0</v>
      </c>
      <c r="AC40" s="237">
        <v>1155</v>
      </c>
      <c r="AD40" s="237">
        <v>0</v>
      </c>
      <c r="AE40" s="237">
        <v>0</v>
      </c>
      <c r="AF40" s="237">
        <v>0</v>
      </c>
      <c r="AG40" s="237">
        <v>0</v>
      </c>
      <c r="AH40" s="237">
        <v>0</v>
      </c>
      <c r="AI40" s="237">
        <v>0</v>
      </c>
      <c r="AJ40" s="237">
        <v>0</v>
      </c>
    </row>
    <row r="41" spans="1:36" ht="12.6" customHeight="1">
      <c r="A41" s="13"/>
      <c r="B41" s="201" t="s">
        <v>351</v>
      </c>
      <c r="C41" s="430">
        <v>49439</v>
      </c>
      <c r="D41" s="237">
        <v>0</v>
      </c>
      <c r="E41" s="237">
        <v>9753</v>
      </c>
      <c r="F41" s="237">
        <v>0</v>
      </c>
      <c r="G41" s="237">
        <v>10421</v>
      </c>
      <c r="H41" s="237">
        <v>0</v>
      </c>
      <c r="I41" s="237">
        <v>0</v>
      </c>
      <c r="J41" s="237">
        <v>189</v>
      </c>
      <c r="K41" s="237">
        <v>0</v>
      </c>
      <c r="L41" s="237">
        <v>60</v>
      </c>
      <c r="M41" s="13"/>
      <c r="N41" s="201" t="s">
        <v>351</v>
      </c>
      <c r="O41" s="237">
        <v>62</v>
      </c>
      <c r="P41" s="237">
        <v>0</v>
      </c>
      <c r="Q41" s="237">
        <v>0</v>
      </c>
      <c r="R41" s="237">
        <v>0</v>
      </c>
      <c r="S41" s="237">
        <v>0</v>
      </c>
      <c r="T41" s="237">
        <v>1273</v>
      </c>
      <c r="U41" s="237">
        <v>0</v>
      </c>
      <c r="V41" s="237">
        <v>26888</v>
      </c>
      <c r="W41" s="237">
        <v>0</v>
      </c>
      <c r="X41" s="237">
        <v>0</v>
      </c>
      <c r="Y41" s="13"/>
      <c r="Z41" s="201" t="s">
        <v>351</v>
      </c>
      <c r="AA41" s="237">
        <v>0</v>
      </c>
      <c r="AB41" s="237">
        <v>0</v>
      </c>
      <c r="AC41" s="237">
        <v>793</v>
      </c>
      <c r="AD41" s="237">
        <v>0</v>
      </c>
      <c r="AE41" s="237">
        <v>0</v>
      </c>
      <c r="AF41" s="237">
        <v>0</v>
      </c>
      <c r="AG41" s="237">
        <v>0</v>
      </c>
      <c r="AH41" s="237">
        <v>0</v>
      </c>
      <c r="AI41" s="237">
        <v>0</v>
      </c>
      <c r="AJ41" s="237">
        <v>0</v>
      </c>
    </row>
    <row r="42" spans="1:36" ht="12.6" customHeight="1">
      <c r="A42" s="13" t="s">
        <v>55</v>
      </c>
      <c r="B42" s="201" t="s">
        <v>345</v>
      </c>
      <c r="C42" s="430">
        <v>9641</v>
      </c>
      <c r="D42" s="237">
        <v>0</v>
      </c>
      <c r="E42" s="237">
        <v>6697</v>
      </c>
      <c r="F42" s="237">
        <v>0</v>
      </c>
      <c r="G42" s="237">
        <v>1933</v>
      </c>
      <c r="H42" s="237">
        <v>0</v>
      </c>
      <c r="I42" s="237">
        <v>0</v>
      </c>
      <c r="J42" s="237">
        <v>0</v>
      </c>
      <c r="K42" s="237">
        <v>0</v>
      </c>
      <c r="L42" s="237">
        <v>0</v>
      </c>
      <c r="M42" s="13" t="s">
        <v>55</v>
      </c>
      <c r="N42" s="201" t="s">
        <v>345</v>
      </c>
      <c r="O42" s="237">
        <v>1</v>
      </c>
      <c r="P42" s="237">
        <v>0</v>
      </c>
      <c r="Q42" s="237">
        <v>0</v>
      </c>
      <c r="R42" s="237">
        <v>0</v>
      </c>
      <c r="S42" s="237">
        <v>0</v>
      </c>
      <c r="T42" s="237">
        <v>0</v>
      </c>
      <c r="U42" s="237">
        <v>0</v>
      </c>
      <c r="V42" s="237">
        <v>840.5</v>
      </c>
      <c r="W42" s="237">
        <v>39.5</v>
      </c>
      <c r="X42" s="237">
        <v>0</v>
      </c>
      <c r="Y42" s="13" t="s">
        <v>55</v>
      </c>
      <c r="Z42" s="201" t="s">
        <v>345</v>
      </c>
      <c r="AA42" s="237">
        <v>0</v>
      </c>
      <c r="AB42" s="237">
        <v>0</v>
      </c>
      <c r="AC42" s="237">
        <v>130</v>
      </c>
      <c r="AD42" s="237">
        <v>0</v>
      </c>
      <c r="AE42" s="237">
        <v>0</v>
      </c>
      <c r="AF42" s="237">
        <v>0</v>
      </c>
      <c r="AG42" s="237">
        <v>0</v>
      </c>
      <c r="AH42" s="237">
        <v>0</v>
      </c>
      <c r="AI42" s="237">
        <v>0</v>
      </c>
      <c r="AJ42" s="237">
        <v>0</v>
      </c>
    </row>
    <row r="43" spans="1:36" ht="12.6" customHeight="1">
      <c r="A43" s="13"/>
      <c r="B43" s="201" t="s">
        <v>351</v>
      </c>
      <c r="C43" s="430">
        <v>9797.25</v>
      </c>
      <c r="D43" s="237">
        <v>0</v>
      </c>
      <c r="E43" s="237">
        <v>6918</v>
      </c>
      <c r="F43" s="237">
        <v>0</v>
      </c>
      <c r="G43" s="237">
        <v>1728</v>
      </c>
      <c r="H43" s="237">
        <v>0</v>
      </c>
      <c r="I43" s="237">
        <v>0</v>
      </c>
      <c r="J43" s="237">
        <v>0</v>
      </c>
      <c r="K43" s="237">
        <v>0</v>
      </c>
      <c r="L43" s="237">
        <v>1</v>
      </c>
      <c r="M43" s="13"/>
      <c r="N43" s="201" t="s">
        <v>351</v>
      </c>
      <c r="O43" s="237">
        <v>1</v>
      </c>
      <c r="P43" s="237">
        <v>0</v>
      </c>
      <c r="Q43" s="237">
        <v>0</v>
      </c>
      <c r="R43" s="237">
        <v>0</v>
      </c>
      <c r="S43" s="237">
        <v>0</v>
      </c>
      <c r="T43" s="237">
        <v>0</v>
      </c>
      <c r="U43" s="237">
        <v>0</v>
      </c>
      <c r="V43" s="237">
        <v>1002.5</v>
      </c>
      <c r="W43" s="237">
        <v>51.75</v>
      </c>
      <c r="X43" s="237">
        <v>0</v>
      </c>
      <c r="Y43" s="13"/>
      <c r="Z43" s="201" t="s">
        <v>351</v>
      </c>
      <c r="AA43" s="237">
        <v>0</v>
      </c>
      <c r="AB43" s="237">
        <v>0</v>
      </c>
      <c r="AC43" s="237">
        <v>95</v>
      </c>
      <c r="AD43" s="237">
        <v>0</v>
      </c>
      <c r="AE43" s="237">
        <v>0</v>
      </c>
      <c r="AF43" s="237">
        <v>0</v>
      </c>
      <c r="AG43" s="237">
        <v>0</v>
      </c>
      <c r="AH43" s="237">
        <v>0</v>
      </c>
      <c r="AI43" s="237">
        <v>0</v>
      </c>
      <c r="AJ43" s="237">
        <v>0</v>
      </c>
    </row>
    <row r="44" spans="1:36" ht="12.6" customHeight="1">
      <c r="A44" s="13" t="s">
        <v>67</v>
      </c>
      <c r="B44" s="201" t="s">
        <v>345</v>
      </c>
      <c r="C44" s="430">
        <v>1630</v>
      </c>
      <c r="D44" s="237">
        <v>45</v>
      </c>
      <c r="E44" s="237">
        <v>43</v>
      </c>
      <c r="F44" s="237">
        <v>551</v>
      </c>
      <c r="G44" s="237">
        <v>0</v>
      </c>
      <c r="H44" s="237">
        <v>103</v>
      </c>
      <c r="I44" s="237">
        <v>28</v>
      </c>
      <c r="J44" s="237">
        <v>1</v>
      </c>
      <c r="K44" s="237">
        <v>0</v>
      </c>
      <c r="L44" s="237">
        <v>4</v>
      </c>
      <c r="M44" s="13" t="s">
        <v>67</v>
      </c>
      <c r="N44" s="201" t="s">
        <v>345</v>
      </c>
      <c r="O44" s="237">
        <v>33</v>
      </c>
      <c r="P44" s="237">
        <v>8</v>
      </c>
      <c r="Q44" s="237">
        <v>8</v>
      </c>
      <c r="R44" s="237">
        <v>5</v>
      </c>
      <c r="S44" s="237">
        <v>49</v>
      </c>
      <c r="T44" s="237">
        <v>28</v>
      </c>
      <c r="U44" s="237">
        <v>523</v>
      </c>
      <c r="V44" s="237">
        <v>0</v>
      </c>
      <c r="W44" s="237">
        <v>1</v>
      </c>
      <c r="X44" s="237">
        <v>20</v>
      </c>
      <c r="Y44" s="13" t="s">
        <v>67</v>
      </c>
      <c r="Z44" s="201" t="s">
        <v>345</v>
      </c>
      <c r="AA44" s="237">
        <v>10</v>
      </c>
      <c r="AB44" s="237">
        <v>0</v>
      </c>
      <c r="AC44" s="237">
        <v>5</v>
      </c>
      <c r="AD44" s="237">
        <v>0</v>
      </c>
      <c r="AE44" s="237">
        <v>101</v>
      </c>
      <c r="AF44" s="237">
        <v>0</v>
      </c>
      <c r="AG44" s="237">
        <v>0</v>
      </c>
      <c r="AH44" s="237">
        <v>50</v>
      </c>
      <c r="AI44" s="237">
        <v>0</v>
      </c>
      <c r="AJ44" s="237">
        <v>14</v>
      </c>
    </row>
    <row r="45" spans="1:36" ht="12.6" customHeight="1">
      <c r="A45" s="13"/>
      <c r="B45" s="201" t="s">
        <v>351</v>
      </c>
      <c r="C45" s="430">
        <v>1834</v>
      </c>
      <c r="D45" s="237">
        <v>60</v>
      </c>
      <c r="E45" s="237">
        <v>53</v>
      </c>
      <c r="F45" s="237">
        <v>563</v>
      </c>
      <c r="G45" s="237">
        <v>0</v>
      </c>
      <c r="H45" s="237">
        <v>113</v>
      </c>
      <c r="I45" s="237">
        <v>28</v>
      </c>
      <c r="J45" s="237">
        <v>0</v>
      </c>
      <c r="K45" s="237">
        <v>0</v>
      </c>
      <c r="L45" s="237">
        <v>4</v>
      </c>
      <c r="M45" s="13"/>
      <c r="N45" s="201" t="s">
        <v>351</v>
      </c>
      <c r="O45" s="237">
        <v>38</v>
      </c>
      <c r="P45" s="237">
        <v>31</v>
      </c>
      <c r="Q45" s="237">
        <v>8</v>
      </c>
      <c r="R45" s="237">
        <v>15</v>
      </c>
      <c r="S45" s="237">
        <v>76</v>
      </c>
      <c r="T45" s="237">
        <v>26</v>
      </c>
      <c r="U45" s="237">
        <v>572</v>
      </c>
      <c r="V45" s="237">
        <v>0</v>
      </c>
      <c r="W45" s="237">
        <v>2</v>
      </c>
      <c r="X45" s="237">
        <v>18</v>
      </c>
      <c r="Y45" s="13"/>
      <c r="Z45" s="201" t="s">
        <v>351</v>
      </c>
      <c r="AA45" s="237">
        <v>10</v>
      </c>
      <c r="AB45" s="237">
        <v>3</v>
      </c>
      <c r="AC45" s="237">
        <v>6</v>
      </c>
      <c r="AD45" s="237">
        <v>0</v>
      </c>
      <c r="AE45" s="237">
        <v>98</v>
      </c>
      <c r="AF45" s="237">
        <v>0</v>
      </c>
      <c r="AG45" s="237">
        <v>0</v>
      </c>
      <c r="AH45" s="237">
        <v>75</v>
      </c>
      <c r="AI45" s="237">
        <v>0</v>
      </c>
      <c r="AJ45" s="237">
        <v>35</v>
      </c>
    </row>
    <row r="46" spans="1:36" ht="12.6" customHeight="1">
      <c r="A46" s="13" t="s">
        <v>37</v>
      </c>
      <c r="B46" s="201" t="s">
        <v>345</v>
      </c>
      <c r="C46" s="430">
        <v>21553</v>
      </c>
      <c r="D46" s="237">
        <v>160</v>
      </c>
      <c r="E46" s="237">
        <v>2775</v>
      </c>
      <c r="F46" s="237">
        <v>1516</v>
      </c>
      <c r="G46" s="237">
        <v>976</v>
      </c>
      <c r="H46" s="237">
        <v>139</v>
      </c>
      <c r="I46" s="237">
        <v>0</v>
      </c>
      <c r="J46" s="237">
        <v>181</v>
      </c>
      <c r="K46" s="237">
        <v>0</v>
      </c>
      <c r="L46" s="237">
        <v>0</v>
      </c>
      <c r="M46" s="13" t="s">
        <v>37</v>
      </c>
      <c r="N46" s="201" t="s">
        <v>345</v>
      </c>
      <c r="O46" s="237">
        <v>413</v>
      </c>
      <c r="P46" s="237">
        <v>707</v>
      </c>
      <c r="Q46" s="237">
        <v>44.5</v>
      </c>
      <c r="R46" s="237">
        <v>8</v>
      </c>
      <c r="S46" s="237">
        <v>0</v>
      </c>
      <c r="T46" s="237">
        <v>776</v>
      </c>
      <c r="U46" s="237">
        <v>8550.5</v>
      </c>
      <c r="V46" s="237">
        <v>3020</v>
      </c>
      <c r="W46" s="237">
        <v>0</v>
      </c>
      <c r="X46" s="237">
        <v>530</v>
      </c>
      <c r="Y46" s="13" t="s">
        <v>37</v>
      </c>
      <c r="Z46" s="201" t="s">
        <v>345</v>
      </c>
      <c r="AA46" s="237">
        <v>675</v>
      </c>
      <c r="AB46" s="237">
        <v>0</v>
      </c>
      <c r="AC46" s="237">
        <v>419</v>
      </c>
      <c r="AD46" s="237">
        <v>0</v>
      </c>
      <c r="AE46" s="237">
        <v>451</v>
      </c>
      <c r="AF46" s="237">
        <v>83</v>
      </c>
      <c r="AG46" s="237">
        <v>0</v>
      </c>
      <c r="AH46" s="237">
        <v>0</v>
      </c>
      <c r="AI46" s="237">
        <v>0</v>
      </c>
      <c r="AJ46" s="237">
        <v>129</v>
      </c>
    </row>
    <row r="47" spans="1:36" ht="12.6" customHeight="1">
      <c r="A47" s="13"/>
      <c r="B47" s="201" t="s">
        <v>351</v>
      </c>
      <c r="C47" s="430">
        <v>23174.228999999999</v>
      </c>
      <c r="D47" s="237">
        <v>61</v>
      </c>
      <c r="E47" s="237">
        <v>3213</v>
      </c>
      <c r="F47" s="237">
        <v>1633</v>
      </c>
      <c r="G47" s="237">
        <v>1033</v>
      </c>
      <c r="H47" s="237">
        <v>39</v>
      </c>
      <c r="I47" s="237">
        <v>0</v>
      </c>
      <c r="J47" s="237">
        <v>211</v>
      </c>
      <c r="K47" s="237">
        <v>0</v>
      </c>
      <c r="L47" s="237">
        <v>0</v>
      </c>
      <c r="M47" s="13"/>
      <c r="N47" s="201" t="s">
        <v>351</v>
      </c>
      <c r="O47" s="237">
        <v>413</v>
      </c>
      <c r="P47" s="237">
        <v>835</v>
      </c>
      <c r="Q47" s="237">
        <v>52</v>
      </c>
      <c r="R47" s="237">
        <v>8</v>
      </c>
      <c r="S47" s="237">
        <v>0</v>
      </c>
      <c r="T47" s="237">
        <v>907.32999999999993</v>
      </c>
      <c r="U47" s="237">
        <v>9455.3989999999994</v>
      </c>
      <c r="V47" s="237">
        <v>2545.5</v>
      </c>
      <c r="W47" s="237">
        <v>0</v>
      </c>
      <c r="X47" s="237">
        <v>674</v>
      </c>
      <c r="Y47" s="13"/>
      <c r="Z47" s="201" t="s">
        <v>351</v>
      </c>
      <c r="AA47" s="237">
        <v>825</v>
      </c>
      <c r="AB47" s="237">
        <v>0</v>
      </c>
      <c r="AC47" s="237">
        <v>419</v>
      </c>
      <c r="AD47" s="237">
        <v>0</v>
      </c>
      <c r="AE47" s="237">
        <v>606</v>
      </c>
      <c r="AF47" s="237">
        <v>106</v>
      </c>
      <c r="AG47" s="237">
        <v>0</v>
      </c>
      <c r="AH47" s="237">
        <v>0</v>
      </c>
      <c r="AI47" s="237">
        <v>0</v>
      </c>
      <c r="AJ47" s="237">
        <v>138</v>
      </c>
    </row>
    <row r="48" spans="1:36" ht="12.6" customHeight="1">
      <c r="A48" s="13" t="s">
        <v>38</v>
      </c>
      <c r="B48" s="201" t="s">
        <v>345</v>
      </c>
      <c r="C48" s="430">
        <v>86561.341821882917</v>
      </c>
      <c r="D48" s="237">
        <v>8920</v>
      </c>
      <c r="E48" s="237">
        <v>7443</v>
      </c>
      <c r="F48" s="237">
        <v>10400</v>
      </c>
      <c r="G48" s="237">
        <v>44280</v>
      </c>
      <c r="H48" s="237">
        <v>344</v>
      </c>
      <c r="I48" s="237">
        <v>0</v>
      </c>
      <c r="J48" s="237">
        <v>0</v>
      </c>
      <c r="K48" s="237">
        <v>245</v>
      </c>
      <c r="L48" s="237">
        <v>28</v>
      </c>
      <c r="M48" s="13" t="s">
        <v>38</v>
      </c>
      <c r="N48" s="201" t="s">
        <v>345</v>
      </c>
      <c r="O48" s="237">
        <v>0</v>
      </c>
      <c r="P48" s="237">
        <v>316</v>
      </c>
      <c r="Q48" s="237">
        <v>90</v>
      </c>
      <c r="R48" s="237">
        <v>14</v>
      </c>
      <c r="S48" s="237">
        <v>97</v>
      </c>
      <c r="T48" s="237">
        <v>100</v>
      </c>
      <c r="U48" s="237">
        <v>1550</v>
      </c>
      <c r="V48" s="237">
        <v>671</v>
      </c>
      <c r="W48" s="237">
        <v>629</v>
      </c>
      <c r="X48" s="237">
        <v>502</v>
      </c>
      <c r="Y48" s="13" t="s">
        <v>38</v>
      </c>
      <c r="Z48" s="201" t="s">
        <v>345</v>
      </c>
      <c r="AA48" s="237">
        <v>369</v>
      </c>
      <c r="AB48" s="237">
        <v>961</v>
      </c>
      <c r="AC48" s="237">
        <v>3226</v>
      </c>
      <c r="AD48" s="237">
        <v>0</v>
      </c>
      <c r="AE48" s="237">
        <v>429</v>
      </c>
      <c r="AF48" s="237">
        <v>3685</v>
      </c>
      <c r="AG48" s="237">
        <v>2262.341821882917</v>
      </c>
      <c r="AH48" s="237">
        <v>0</v>
      </c>
      <c r="AI48" s="237">
        <v>0</v>
      </c>
      <c r="AJ48" s="237">
        <v>0</v>
      </c>
    </row>
    <row r="49" spans="1:36" ht="12.6" customHeight="1">
      <c r="A49" s="13"/>
      <c r="B49" s="201" t="s">
        <v>351</v>
      </c>
      <c r="C49" s="430">
        <v>86128.716054697943</v>
      </c>
      <c r="D49" s="237">
        <v>7455</v>
      </c>
      <c r="E49" s="237">
        <v>8810</v>
      </c>
      <c r="F49" s="237">
        <v>8815</v>
      </c>
      <c r="G49" s="237">
        <v>48736</v>
      </c>
      <c r="H49" s="237">
        <v>354</v>
      </c>
      <c r="I49" s="237">
        <v>0</v>
      </c>
      <c r="J49" s="237">
        <v>0</v>
      </c>
      <c r="K49" s="237">
        <v>344</v>
      </c>
      <c r="L49" s="237">
        <v>47</v>
      </c>
      <c r="M49" s="13"/>
      <c r="N49" s="201" t="s">
        <v>351</v>
      </c>
      <c r="O49" s="237">
        <v>59</v>
      </c>
      <c r="P49" s="237">
        <v>419</v>
      </c>
      <c r="Q49" s="237">
        <v>86</v>
      </c>
      <c r="R49" s="237">
        <v>4</v>
      </c>
      <c r="S49" s="237">
        <v>120</v>
      </c>
      <c r="T49" s="237">
        <v>140</v>
      </c>
      <c r="U49" s="237">
        <v>1699</v>
      </c>
      <c r="V49" s="237">
        <v>449</v>
      </c>
      <c r="W49" s="237">
        <v>456</v>
      </c>
      <c r="X49" s="237">
        <v>273</v>
      </c>
      <c r="Y49" s="13"/>
      <c r="Z49" s="201" t="s">
        <v>351</v>
      </c>
      <c r="AA49" s="237">
        <v>252</v>
      </c>
      <c r="AB49" s="237">
        <v>272</v>
      </c>
      <c r="AC49" s="237">
        <v>3087</v>
      </c>
      <c r="AD49" s="237">
        <v>0</v>
      </c>
      <c r="AE49" s="237">
        <v>599</v>
      </c>
      <c r="AF49" s="237">
        <v>1959</v>
      </c>
      <c r="AG49" s="237">
        <v>1693.7160546979442</v>
      </c>
      <c r="AH49" s="237">
        <v>0</v>
      </c>
      <c r="AI49" s="237">
        <v>0</v>
      </c>
      <c r="AJ49" s="237">
        <v>0</v>
      </c>
    </row>
    <row r="50" spans="1:36" ht="12.6" customHeight="1">
      <c r="A50" s="13" t="s">
        <v>39</v>
      </c>
      <c r="B50" s="201" t="s">
        <v>345</v>
      </c>
      <c r="C50" s="430">
        <v>242421</v>
      </c>
      <c r="D50" s="237">
        <v>1363</v>
      </c>
      <c r="E50" s="237">
        <v>2659</v>
      </c>
      <c r="F50" s="237">
        <v>4056</v>
      </c>
      <c r="G50" s="237">
        <v>84</v>
      </c>
      <c r="H50" s="237">
        <v>24720</v>
      </c>
      <c r="I50" s="237">
        <v>35951</v>
      </c>
      <c r="J50" s="237">
        <v>0</v>
      </c>
      <c r="K50" s="237">
        <v>0</v>
      </c>
      <c r="L50" s="237">
        <v>0</v>
      </c>
      <c r="M50" s="13" t="s">
        <v>39</v>
      </c>
      <c r="N50" s="201" t="s">
        <v>345</v>
      </c>
      <c r="O50" s="237">
        <v>112</v>
      </c>
      <c r="P50" s="237">
        <v>0</v>
      </c>
      <c r="Q50" s="237">
        <v>20</v>
      </c>
      <c r="R50" s="237">
        <v>0</v>
      </c>
      <c r="S50" s="237">
        <v>395</v>
      </c>
      <c r="T50" s="237">
        <v>0</v>
      </c>
      <c r="U50" s="237">
        <v>59891</v>
      </c>
      <c r="V50" s="237">
        <v>2259</v>
      </c>
      <c r="W50" s="237">
        <v>244</v>
      </c>
      <c r="X50" s="237">
        <v>3571</v>
      </c>
      <c r="Y50" s="13" t="s">
        <v>39</v>
      </c>
      <c r="Z50" s="201" t="s">
        <v>345</v>
      </c>
      <c r="AA50" s="237">
        <v>2807</v>
      </c>
      <c r="AB50" s="237">
        <v>0</v>
      </c>
      <c r="AC50" s="237">
        <v>571</v>
      </c>
      <c r="AD50" s="237">
        <v>0</v>
      </c>
      <c r="AE50" s="237">
        <v>10051</v>
      </c>
      <c r="AF50" s="237">
        <v>1075</v>
      </c>
      <c r="AG50" s="237">
        <v>0</v>
      </c>
      <c r="AH50" s="237">
        <v>0</v>
      </c>
      <c r="AI50" s="237">
        <v>16506</v>
      </c>
      <c r="AJ50" s="237">
        <v>76086</v>
      </c>
    </row>
    <row r="51" spans="1:36" ht="12.6" customHeight="1">
      <c r="A51" s="13"/>
      <c r="B51" s="201" t="s">
        <v>351</v>
      </c>
      <c r="C51" s="430">
        <v>241578</v>
      </c>
      <c r="D51" s="237">
        <v>1353</v>
      </c>
      <c r="E51" s="237">
        <v>2555</v>
      </c>
      <c r="F51" s="237">
        <v>3892</v>
      </c>
      <c r="G51" s="237">
        <v>80</v>
      </c>
      <c r="H51" s="237">
        <v>23949</v>
      </c>
      <c r="I51" s="237">
        <v>36863</v>
      </c>
      <c r="J51" s="237">
        <v>0</v>
      </c>
      <c r="K51" s="237">
        <v>0</v>
      </c>
      <c r="L51" s="237">
        <v>0</v>
      </c>
      <c r="M51" s="13"/>
      <c r="N51" s="201" t="s">
        <v>351</v>
      </c>
      <c r="O51" s="237">
        <v>108</v>
      </c>
      <c r="P51" s="237">
        <v>0</v>
      </c>
      <c r="Q51" s="237">
        <v>19</v>
      </c>
      <c r="R51" s="237">
        <v>0</v>
      </c>
      <c r="S51" s="237">
        <v>379</v>
      </c>
      <c r="T51" s="237">
        <v>22</v>
      </c>
      <c r="U51" s="237">
        <v>60603</v>
      </c>
      <c r="V51" s="237">
        <v>2223</v>
      </c>
      <c r="W51" s="237">
        <v>238</v>
      </c>
      <c r="X51" s="237">
        <v>3505</v>
      </c>
      <c r="Y51" s="13"/>
      <c r="Z51" s="201" t="s">
        <v>351</v>
      </c>
      <c r="AA51" s="237">
        <v>2832</v>
      </c>
      <c r="AB51" s="237">
        <v>0</v>
      </c>
      <c r="AC51" s="237">
        <v>550</v>
      </c>
      <c r="AD51" s="237">
        <v>0</v>
      </c>
      <c r="AE51" s="237">
        <v>9945</v>
      </c>
      <c r="AF51" s="237">
        <v>1058</v>
      </c>
      <c r="AG51" s="237">
        <v>0</v>
      </c>
      <c r="AH51" s="237">
        <v>0</v>
      </c>
      <c r="AI51" s="237">
        <v>14421</v>
      </c>
      <c r="AJ51" s="237">
        <v>76983</v>
      </c>
    </row>
    <row r="52" spans="1:36" ht="12.6" customHeight="1">
      <c r="A52" s="13" t="s">
        <v>70</v>
      </c>
      <c r="B52" s="201" t="s">
        <v>345</v>
      </c>
      <c r="C52" s="430">
        <v>124320.65000000001</v>
      </c>
      <c r="D52" s="237">
        <v>0</v>
      </c>
      <c r="E52" s="237">
        <v>41299</v>
      </c>
      <c r="F52" s="237">
        <v>0</v>
      </c>
      <c r="G52" s="237">
        <v>77250</v>
      </c>
      <c r="H52" s="237">
        <v>0</v>
      </c>
      <c r="I52" s="237">
        <v>0</v>
      </c>
      <c r="J52" s="237">
        <v>0</v>
      </c>
      <c r="K52" s="237">
        <v>0</v>
      </c>
      <c r="L52" s="237">
        <v>131.6</v>
      </c>
      <c r="M52" s="13" t="s">
        <v>70</v>
      </c>
      <c r="N52" s="201" t="s">
        <v>345</v>
      </c>
      <c r="O52" s="237">
        <v>0</v>
      </c>
      <c r="P52" s="237">
        <v>0</v>
      </c>
      <c r="Q52" s="237">
        <v>0</v>
      </c>
      <c r="R52" s="237">
        <v>0</v>
      </c>
      <c r="S52" s="237">
        <v>0</v>
      </c>
      <c r="T52" s="237">
        <v>0</v>
      </c>
      <c r="U52" s="237">
        <v>0</v>
      </c>
      <c r="V52" s="237">
        <v>4052.8</v>
      </c>
      <c r="W52" s="237">
        <v>0</v>
      </c>
      <c r="X52" s="237">
        <v>0</v>
      </c>
      <c r="Y52" s="13" t="s">
        <v>70</v>
      </c>
      <c r="Z52" s="201" t="s">
        <v>345</v>
      </c>
      <c r="AA52" s="237">
        <v>0</v>
      </c>
      <c r="AB52" s="237">
        <v>0</v>
      </c>
      <c r="AC52" s="237">
        <v>1587.25</v>
      </c>
      <c r="AD52" s="237">
        <v>0</v>
      </c>
      <c r="AE52" s="237">
        <v>0</v>
      </c>
      <c r="AF52" s="237">
        <v>0</v>
      </c>
      <c r="AG52" s="237">
        <v>0</v>
      </c>
      <c r="AH52" s="237">
        <v>0</v>
      </c>
      <c r="AI52" s="237">
        <v>0</v>
      </c>
      <c r="AJ52" s="237">
        <v>0</v>
      </c>
    </row>
    <row r="53" spans="1:36" ht="12.6" customHeight="1">
      <c r="A53" s="13"/>
      <c r="B53" s="201" t="s">
        <v>351</v>
      </c>
      <c r="C53" s="430">
        <v>120478.9</v>
      </c>
      <c r="D53" s="237">
        <v>0</v>
      </c>
      <c r="E53" s="237">
        <v>40818</v>
      </c>
      <c r="F53" s="237">
        <v>0</v>
      </c>
      <c r="G53" s="237">
        <v>72710</v>
      </c>
      <c r="H53" s="237">
        <v>0</v>
      </c>
      <c r="I53" s="237">
        <v>0</v>
      </c>
      <c r="J53" s="237">
        <v>13.5</v>
      </c>
      <c r="K53" s="237">
        <v>0</v>
      </c>
      <c r="L53" s="237">
        <v>134.4</v>
      </c>
      <c r="M53" s="13"/>
      <c r="N53" s="201" t="s">
        <v>351</v>
      </c>
      <c r="O53" s="237">
        <v>0</v>
      </c>
      <c r="P53" s="237">
        <v>0</v>
      </c>
      <c r="Q53" s="237">
        <v>0</v>
      </c>
      <c r="R53" s="237">
        <v>0</v>
      </c>
      <c r="S53" s="237">
        <v>0</v>
      </c>
      <c r="T53" s="237">
        <v>0</v>
      </c>
      <c r="U53" s="237">
        <v>0</v>
      </c>
      <c r="V53" s="237">
        <v>5133</v>
      </c>
      <c r="W53" s="237">
        <v>0</v>
      </c>
      <c r="X53" s="237">
        <v>0</v>
      </c>
      <c r="Y53" s="13"/>
      <c r="Z53" s="201" t="s">
        <v>351</v>
      </c>
      <c r="AA53" s="237">
        <v>0</v>
      </c>
      <c r="AB53" s="237">
        <v>0</v>
      </c>
      <c r="AC53" s="237">
        <v>1670</v>
      </c>
      <c r="AD53" s="237">
        <v>0</v>
      </c>
      <c r="AE53" s="237">
        <v>0</v>
      </c>
      <c r="AF53" s="237">
        <v>0</v>
      </c>
      <c r="AG53" s="237">
        <v>0</v>
      </c>
      <c r="AH53" s="237">
        <v>0</v>
      </c>
      <c r="AI53" s="237">
        <v>0</v>
      </c>
      <c r="AJ53" s="237">
        <v>0</v>
      </c>
    </row>
    <row r="54" spans="1:36" ht="12.6" customHeight="1">
      <c r="A54" s="13" t="s">
        <v>68</v>
      </c>
      <c r="B54" s="201" t="s">
        <v>345</v>
      </c>
      <c r="C54" s="430">
        <v>4745</v>
      </c>
      <c r="D54" s="237">
        <v>0</v>
      </c>
      <c r="E54" s="237">
        <v>0</v>
      </c>
      <c r="F54" s="237">
        <v>566</v>
      </c>
      <c r="G54" s="237">
        <v>0</v>
      </c>
      <c r="H54" s="237">
        <v>0</v>
      </c>
      <c r="I54" s="237">
        <v>354</v>
      </c>
      <c r="J54" s="237">
        <v>759</v>
      </c>
      <c r="K54" s="237">
        <v>0</v>
      </c>
      <c r="L54" s="237">
        <v>133</v>
      </c>
      <c r="M54" s="13" t="s">
        <v>68</v>
      </c>
      <c r="N54" s="201" t="s">
        <v>345</v>
      </c>
      <c r="O54" s="237">
        <v>217</v>
      </c>
      <c r="P54" s="237">
        <v>13</v>
      </c>
      <c r="Q54" s="237">
        <v>0</v>
      </c>
      <c r="R54" s="237">
        <v>4</v>
      </c>
      <c r="S54" s="237">
        <v>265</v>
      </c>
      <c r="T54" s="237">
        <v>119</v>
      </c>
      <c r="U54" s="237">
        <v>316</v>
      </c>
      <c r="V54" s="237">
        <v>0</v>
      </c>
      <c r="W54" s="237">
        <v>177</v>
      </c>
      <c r="X54" s="237">
        <v>0</v>
      </c>
      <c r="Y54" s="13" t="s">
        <v>68</v>
      </c>
      <c r="Z54" s="201" t="s">
        <v>345</v>
      </c>
      <c r="AA54" s="237">
        <v>0</v>
      </c>
      <c r="AB54" s="237">
        <v>13</v>
      </c>
      <c r="AC54" s="237">
        <v>0</v>
      </c>
      <c r="AD54" s="237">
        <v>0</v>
      </c>
      <c r="AE54" s="237">
        <v>0</v>
      </c>
      <c r="AF54" s="237">
        <v>0</v>
      </c>
      <c r="AG54" s="237">
        <v>0</v>
      </c>
      <c r="AH54" s="237">
        <v>1809</v>
      </c>
      <c r="AI54" s="237">
        <v>0</v>
      </c>
      <c r="AJ54" s="237">
        <v>0</v>
      </c>
    </row>
    <row r="55" spans="1:36" ht="12.6" customHeight="1">
      <c r="A55" s="13"/>
      <c r="B55" s="201" t="s">
        <v>351</v>
      </c>
      <c r="C55" s="430">
        <v>4900</v>
      </c>
      <c r="D55" s="237">
        <v>0</v>
      </c>
      <c r="E55" s="237">
        <v>0</v>
      </c>
      <c r="F55" s="237">
        <v>639</v>
      </c>
      <c r="G55" s="237">
        <v>0</v>
      </c>
      <c r="H55" s="237">
        <v>0</v>
      </c>
      <c r="I55" s="237">
        <v>287</v>
      </c>
      <c r="J55" s="237">
        <v>1022</v>
      </c>
      <c r="K55" s="237">
        <v>0</v>
      </c>
      <c r="L55" s="237">
        <v>167</v>
      </c>
      <c r="M55" s="13"/>
      <c r="N55" s="201" t="s">
        <v>351</v>
      </c>
      <c r="O55" s="237">
        <v>190</v>
      </c>
      <c r="P55" s="237">
        <v>24</v>
      </c>
      <c r="Q55" s="237">
        <v>0</v>
      </c>
      <c r="R55" s="237">
        <v>1</v>
      </c>
      <c r="S55" s="237">
        <v>267</v>
      </c>
      <c r="T55" s="237">
        <v>125</v>
      </c>
      <c r="U55" s="237">
        <v>399</v>
      </c>
      <c r="V55" s="237">
        <v>0</v>
      </c>
      <c r="W55" s="237">
        <v>187</v>
      </c>
      <c r="X55" s="237">
        <v>0</v>
      </c>
      <c r="Y55" s="13"/>
      <c r="Z55" s="201" t="s">
        <v>351</v>
      </c>
      <c r="AA55" s="237">
        <v>0</v>
      </c>
      <c r="AB55" s="237">
        <v>19</v>
      </c>
      <c r="AC55" s="237">
        <v>0</v>
      </c>
      <c r="AD55" s="237">
        <v>0</v>
      </c>
      <c r="AE55" s="237">
        <v>0</v>
      </c>
      <c r="AF55" s="237">
        <v>0</v>
      </c>
      <c r="AG55" s="237">
        <v>0</v>
      </c>
      <c r="AH55" s="237">
        <v>1573</v>
      </c>
      <c r="AI55" s="237">
        <v>0</v>
      </c>
      <c r="AJ55" s="237">
        <v>0</v>
      </c>
    </row>
    <row r="56" spans="1:36" ht="12.6" customHeight="1">
      <c r="A56" s="18" t="s">
        <v>69</v>
      </c>
      <c r="B56" s="201" t="s">
        <v>345</v>
      </c>
      <c r="C56" s="430">
        <v>6807.15</v>
      </c>
      <c r="D56" s="238">
        <v>0</v>
      </c>
      <c r="E56" s="238">
        <v>164.15</v>
      </c>
      <c r="F56" s="238">
        <v>0</v>
      </c>
      <c r="G56" s="238">
        <v>6281.3</v>
      </c>
      <c r="H56" s="238">
        <v>0</v>
      </c>
      <c r="I56" s="238">
        <v>0</v>
      </c>
      <c r="J56" s="238">
        <v>1.25</v>
      </c>
      <c r="K56" s="238">
        <v>0</v>
      </c>
      <c r="L56" s="238">
        <v>1.3</v>
      </c>
      <c r="M56" s="18" t="s">
        <v>69</v>
      </c>
      <c r="N56" s="201" t="s">
        <v>345</v>
      </c>
      <c r="O56" s="238">
        <v>5.5</v>
      </c>
      <c r="P56" s="238">
        <v>0</v>
      </c>
      <c r="Q56" s="238">
        <v>0</v>
      </c>
      <c r="R56" s="238">
        <v>0</v>
      </c>
      <c r="S56" s="238">
        <v>0</v>
      </c>
      <c r="T56" s="238">
        <v>234.4</v>
      </c>
      <c r="U56" s="238">
        <v>0</v>
      </c>
      <c r="V56" s="238">
        <v>118.00000000000001</v>
      </c>
      <c r="W56" s="238">
        <v>1.25</v>
      </c>
      <c r="X56" s="238">
        <v>0</v>
      </c>
      <c r="Y56" s="18" t="s">
        <v>69</v>
      </c>
      <c r="Z56" s="201" t="s">
        <v>345</v>
      </c>
      <c r="AA56" s="238">
        <v>0</v>
      </c>
      <c r="AB56" s="238">
        <v>0</v>
      </c>
      <c r="AC56" s="238">
        <v>0</v>
      </c>
      <c r="AD56" s="238">
        <v>0</v>
      </c>
      <c r="AE56" s="238">
        <v>0</v>
      </c>
      <c r="AF56" s="238">
        <v>0</v>
      </c>
      <c r="AG56" s="238">
        <v>0</v>
      </c>
      <c r="AH56" s="238">
        <v>0</v>
      </c>
      <c r="AI56" s="238">
        <v>0</v>
      </c>
      <c r="AJ56" s="238">
        <v>0</v>
      </c>
    </row>
    <row r="57" spans="1:36" ht="12.6" customHeight="1">
      <c r="A57" s="18"/>
      <c r="B57" s="201" t="s">
        <v>351</v>
      </c>
      <c r="C57" s="430">
        <v>8942.6500000000015</v>
      </c>
      <c r="D57" s="238">
        <v>0</v>
      </c>
      <c r="E57" s="238">
        <v>617.75</v>
      </c>
      <c r="F57" s="238">
        <v>0</v>
      </c>
      <c r="G57" s="238">
        <v>7924.25</v>
      </c>
      <c r="H57" s="238">
        <v>0</v>
      </c>
      <c r="I57" s="238">
        <v>0</v>
      </c>
      <c r="J57" s="238">
        <v>0</v>
      </c>
      <c r="K57" s="238">
        <v>0</v>
      </c>
      <c r="L57" s="238">
        <v>2.35</v>
      </c>
      <c r="M57" s="18"/>
      <c r="N57" s="201" t="s">
        <v>351</v>
      </c>
      <c r="O57" s="238">
        <v>10.1</v>
      </c>
      <c r="P57" s="238">
        <v>0</v>
      </c>
      <c r="Q57" s="238">
        <v>0</v>
      </c>
      <c r="R57" s="238">
        <v>0</v>
      </c>
      <c r="S57" s="238">
        <v>0</v>
      </c>
      <c r="T57" s="238">
        <v>195.25</v>
      </c>
      <c r="U57" s="238">
        <v>0</v>
      </c>
      <c r="V57" s="238">
        <v>191.82999999999998</v>
      </c>
      <c r="W57" s="238">
        <v>0.62000000000000011</v>
      </c>
      <c r="X57" s="238">
        <v>0</v>
      </c>
      <c r="Y57" s="18"/>
      <c r="Z57" s="201" t="s">
        <v>351</v>
      </c>
      <c r="AA57" s="238">
        <v>0</v>
      </c>
      <c r="AB57" s="238">
        <v>0</v>
      </c>
      <c r="AC57" s="238">
        <v>0.5</v>
      </c>
      <c r="AD57" s="238">
        <v>0</v>
      </c>
      <c r="AE57" s="238">
        <v>0</v>
      </c>
      <c r="AF57" s="238">
        <v>0</v>
      </c>
      <c r="AG57" s="238">
        <v>0</v>
      </c>
      <c r="AH57" s="238">
        <v>0</v>
      </c>
      <c r="AI57" s="238">
        <v>0</v>
      </c>
      <c r="AJ57" s="238">
        <v>0</v>
      </c>
    </row>
    <row r="58" spans="1:36" ht="12.6" customHeight="1">
      <c r="A58" s="18" t="s">
        <v>71</v>
      </c>
      <c r="B58" s="201" t="s">
        <v>345</v>
      </c>
      <c r="C58" s="430">
        <v>22555.5</v>
      </c>
      <c r="D58" s="238">
        <v>0</v>
      </c>
      <c r="E58" s="238">
        <v>6347</v>
      </c>
      <c r="F58" s="238">
        <v>0</v>
      </c>
      <c r="G58" s="238">
        <v>9778</v>
      </c>
      <c r="H58" s="238">
        <v>0</v>
      </c>
      <c r="I58" s="238">
        <v>0</v>
      </c>
      <c r="J58" s="238">
        <v>0</v>
      </c>
      <c r="K58" s="238">
        <v>0</v>
      </c>
      <c r="L58" s="238">
        <v>13</v>
      </c>
      <c r="M58" s="18" t="s">
        <v>71</v>
      </c>
      <c r="N58" s="201" t="s">
        <v>345</v>
      </c>
      <c r="O58" s="238">
        <v>0</v>
      </c>
      <c r="P58" s="238">
        <v>0</v>
      </c>
      <c r="Q58" s="238">
        <v>0</v>
      </c>
      <c r="R58" s="238">
        <v>0</v>
      </c>
      <c r="S58" s="238">
        <v>0</v>
      </c>
      <c r="T58" s="238">
        <v>0</v>
      </c>
      <c r="U58" s="238">
        <v>0</v>
      </c>
      <c r="V58" s="238">
        <v>6162</v>
      </c>
      <c r="W58" s="238">
        <v>52.5</v>
      </c>
      <c r="X58" s="238">
        <v>0</v>
      </c>
      <c r="Y58" s="18" t="s">
        <v>71</v>
      </c>
      <c r="Z58" s="201" t="s">
        <v>345</v>
      </c>
      <c r="AA58" s="238">
        <v>0</v>
      </c>
      <c r="AB58" s="238">
        <v>0</v>
      </c>
      <c r="AC58" s="238">
        <v>203</v>
      </c>
      <c r="AD58" s="238">
        <v>0</v>
      </c>
      <c r="AE58" s="238">
        <v>0</v>
      </c>
      <c r="AF58" s="238">
        <v>0</v>
      </c>
      <c r="AG58" s="238">
        <v>0</v>
      </c>
      <c r="AH58" s="238">
        <v>0</v>
      </c>
      <c r="AI58" s="238">
        <v>0</v>
      </c>
      <c r="AJ58" s="238">
        <v>0</v>
      </c>
    </row>
    <row r="59" spans="1:36" ht="12.6" customHeight="1">
      <c r="A59" s="14"/>
      <c r="B59" s="200" t="s">
        <v>351</v>
      </c>
      <c r="C59" s="431">
        <v>19968.5</v>
      </c>
      <c r="D59" s="239">
        <v>0</v>
      </c>
      <c r="E59" s="239">
        <v>4388</v>
      </c>
      <c r="F59" s="239">
        <v>0</v>
      </c>
      <c r="G59" s="239">
        <v>8895</v>
      </c>
      <c r="H59" s="239">
        <v>0</v>
      </c>
      <c r="I59" s="239">
        <v>0</v>
      </c>
      <c r="J59" s="239">
        <v>0</v>
      </c>
      <c r="K59" s="239">
        <v>0</v>
      </c>
      <c r="L59" s="239">
        <v>20</v>
      </c>
      <c r="M59" s="14"/>
      <c r="N59" s="200" t="s">
        <v>351</v>
      </c>
      <c r="O59" s="239">
        <v>3</v>
      </c>
      <c r="P59" s="239">
        <v>0</v>
      </c>
      <c r="Q59" s="239">
        <v>0</v>
      </c>
      <c r="R59" s="239">
        <v>0</v>
      </c>
      <c r="S59" s="239">
        <v>0</v>
      </c>
      <c r="T59" s="239">
        <v>0</v>
      </c>
      <c r="U59" s="239">
        <v>0</v>
      </c>
      <c r="V59" s="239">
        <v>6279</v>
      </c>
      <c r="W59" s="239">
        <v>48.5</v>
      </c>
      <c r="X59" s="239">
        <v>0</v>
      </c>
      <c r="Y59" s="14"/>
      <c r="Z59" s="200" t="s">
        <v>351</v>
      </c>
      <c r="AA59" s="239">
        <v>0</v>
      </c>
      <c r="AB59" s="239">
        <v>0</v>
      </c>
      <c r="AC59" s="239">
        <v>335</v>
      </c>
      <c r="AD59" s="239">
        <v>0</v>
      </c>
      <c r="AE59" s="239">
        <v>0</v>
      </c>
      <c r="AF59" s="239">
        <v>0</v>
      </c>
      <c r="AG59" s="239">
        <v>0</v>
      </c>
      <c r="AH59" s="239">
        <v>0</v>
      </c>
      <c r="AI59" s="239">
        <v>0</v>
      </c>
      <c r="AJ59" s="239">
        <v>0</v>
      </c>
    </row>
    <row r="60" spans="1:36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85" t="s">
        <v>150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85" t="s">
        <v>150</v>
      </c>
      <c r="Y60" s="179" t="s">
        <v>94</v>
      </c>
      <c r="Z60" s="165"/>
      <c r="AA60" s="165"/>
      <c r="AB60" s="165"/>
      <c r="AC60" s="165"/>
      <c r="AD60" s="165"/>
      <c r="AE60" s="165"/>
      <c r="AF60" s="165"/>
    </row>
    <row r="61" spans="1:36" ht="9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79" t="s">
        <v>101</v>
      </c>
      <c r="Z61" s="165"/>
      <c r="AA61" s="165"/>
      <c r="AB61" s="165"/>
      <c r="AC61" s="165"/>
      <c r="AD61" s="165"/>
      <c r="AE61" s="165"/>
      <c r="AF61" s="165"/>
    </row>
    <row r="62" spans="1:36" ht="9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277" t="s">
        <v>355</v>
      </c>
      <c r="Z62" s="277"/>
      <c r="AA62" s="277"/>
      <c r="AB62" s="277"/>
      <c r="AC62" s="277"/>
      <c r="AD62" s="277"/>
      <c r="AE62" s="277"/>
      <c r="AF62" s="277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2"/>
  <sheetViews>
    <sheetView showGridLines="0" zoomScale="130" zoomScaleNormal="130" workbookViewId="0">
      <selection activeCell="C6" sqref="C6"/>
    </sheetView>
  </sheetViews>
  <sheetFormatPr baseColWidth="10" defaultColWidth="10.7109375" defaultRowHeight="17.25" customHeight="1"/>
  <cols>
    <col min="1" max="1" width="13.42578125" style="204" customWidth="1"/>
    <col min="2" max="2" width="6" style="204" customWidth="1"/>
    <col min="3" max="3" width="6.85546875" style="204" customWidth="1"/>
    <col min="4" max="15" width="6.7109375" style="204" customWidth="1"/>
    <col min="16" max="16" width="8" style="204" customWidth="1"/>
    <col min="17" max="16384" width="10.7109375" style="204"/>
  </cols>
  <sheetData>
    <row r="1" spans="1:16" ht="16.5" customHeight="1">
      <c r="A1" s="221" t="s">
        <v>315</v>
      </c>
      <c r="B1" s="218"/>
      <c r="C1" s="44"/>
      <c r="D1" s="44"/>
    </row>
    <row r="2" spans="1:16" ht="12" customHeight="1">
      <c r="A2" s="221" t="s">
        <v>462</v>
      </c>
      <c r="B2" s="24"/>
    </row>
    <row r="3" spans="1:16" ht="13.5">
      <c r="A3" s="401" t="s">
        <v>429</v>
      </c>
    </row>
    <row r="4" spans="1:16" ht="3.95" customHeight="1">
      <c r="A4" s="101"/>
    </row>
    <row r="5" spans="1:16" ht="18" customHeight="1">
      <c r="A5" s="432" t="s">
        <v>57</v>
      </c>
      <c r="B5" s="433" t="s">
        <v>92</v>
      </c>
      <c r="C5" s="442" t="s">
        <v>507</v>
      </c>
      <c r="D5" s="412" t="s">
        <v>172</v>
      </c>
      <c r="E5" s="412" t="s">
        <v>173</v>
      </c>
      <c r="F5" s="412" t="s">
        <v>174</v>
      </c>
      <c r="G5" s="412" t="s">
        <v>173</v>
      </c>
      <c r="H5" s="412" t="s">
        <v>176</v>
      </c>
      <c r="I5" s="412" t="s">
        <v>177</v>
      </c>
      <c r="J5" s="412" t="s">
        <v>178</v>
      </c>
      <c r="K5" s="412" t="s">
        <v>293</v>
      </c>
      <c r="L5" s="412" t="s">
        <v>294</v>
      </c>
      <c r="M5" s="412" t="s">
        <v>295</v>
      </c>
      <c r="N5" s="412" t="s">
        <v>170</v>
      </c>
      <c r="O5" s="412" t="s">
        <v>171</v>
      </c>
      <c r="P5" s="432" t="s">
        <v>3</v>
      </c>
    </row>
    <row r="6" spans="1:16" ht="14.1" customHeight="1">
      <c r="A6" s="538" t="s">
        <v>179</v>
      </c>
      <c r="B6" s="428" t="s">
        <v>440</v>
      </c>
      <c r="C6" s="434">
        <v>1806668.1878218828</v>
      </c>
      <c r="D6" s="434">
        <v>101076.49504194708</v>
      </c>
      <c r="E6" s="434">
        <v>108979.73000000001</v>
      </c>
      <c r="F6" s="434">
        <v>126238.71877993584</v>
      </c>
      <c r="G6" s="434">
        <v>303908.47999999998</v>
      </c>
      <c r="H6" s="434">
        <v>394629.01999999996</v>
      </c>
      <c r="I6" s="434">
        <v>349954.85500000004</v>
      </c>
      <c r="J6" s="434">
        <v>256331.46900000001</v>
      </c>
      <c r="K6" s="434">
        <v>165549.42000000001</v>
      </c>
      <c r="L6" s="434">
        <v>101487.38000000002</v>
      </c>
      <c r="M6" s="434">
        <v>94487.899098767652</v>
      </c>
      <c r="N6" s="434">
        <v>96223.097000000009</v>
      </c>
      <c r="O6" s="434">
        <v>104602.34</v>
      </c>
      <c r="P6" s="434">
        <v>2203468.9039206505</v>
      </c>
    </row>
    <row r="7" spans="1:16" ht="14.1" customHeight="1">
      <c r="A7" s="539"/>
      <c r="B7" s="429" t="s">
        <v>441</v>
      </c>
      <c r="C7" s="411">
        <v>1783604.098054698</v>
      </c>
      <c r="D7" s="435">
        <v>102118.489</v>
      </c>
      <c r="E7" s="435">
        <v>108537.2</v>
      </c>
      <c r="F7" s="435">
        <v>112708.43000000002</v>
      </c>
      <c r="G7" s="435">
        <v>268717.45999999996</v>
      </c>
      <c r="H7" s="435">
        <v>352419.14138341247</v>
      </c>
      <c r="I7" s="435">
        <v>381150.56000000006</v>
      </c>
      <c r="J7" s="435">
        <v>296306.72767128545</v>
      </c>
      <c r="K7" s="435">
        <v>161646.09</v>
      </c>
      <c r="L7" s="435"/>
      <c r="M7" s="435"/>
      <c r="N7" s="435"/>
      <c r="O7" s="435"/>
      <c r="P7" s="411"/>
    </row>
    <row r="8" spans="1:16" ht="13.5" customHeight="1">
      <c r="A8" s="180" t="s">
        <v>253</v>
      </c>
      <c r="B8" s="95">
        <v>2020</v>
      </c>
      <c r="C8" s="422">
        <v>103312.79999999999</v>
      </c>
      <c r="D8" s="186">
        <v>10</v>
      </c>
      <c r="E8" s="186">
        <v>58</v>
      </c>
      <c r="F8" s="186">
        <v>124</v>
      </c>
      <c r="G8" s="186">
        <v>920</v>
      </c>
      <c r="H8" s="186">
        <v>4559</v>
      </c>
      <c r="I8" s="186">
        <v>26342.6</v>
      </c>
      <c r="J8" s="186">
        <v>42739.7</v>
      </c>
      <c r="K8" s="186">
        <v>28559.5</v>
      </c>
      <c r="L8" s="186">
        <v>7893</v>
      </c>
      <c r="M8" s="186">
        <v>1555</v>
      </c>
      <c r="N8" s="186">
        <v>1349</v>
      </c>
      <c r="O8" s="186">
        <v>114</v>
      </c>
      <c r="P8" s="396">
        <v>114223.79999999999</v>
      </c>
    </row>
    <row r="9" spans="1:16" ht="13.5" customHeight="1">
      <c r="A9" s="22"/>
      <c r="B9" s="95">
        <v>2021</v>
      </c>
      <c r="C9" s="422">
        <v>101990.2</v>
      </c>
      <c r="D9" s="186">
        <v>3</v>
      </c>
      <c r="E9" s="186">
        <v>35</v>
      </c>
      <c r="F9" s="186">
        <v>102</v>
      </c>
      <c r="G9" s="186">
        <v>638.20000000000005</v>
      </c>
      <c r="H9" s="186">
        <v>3282</v>
      </c>
      <c r="I9" s="186">
        <v>20814</v>
      </c>
      <c r="J9" s="186">
        <v>47950</v>
      </c>
      <c r="K9" s="186">
        <v>29166</v>
      </c>
      <c r="L9" s="186"/>
      <c r="M9" s="186"/>
      <c r="N9" s="186"/>
      <c r="O9" s="186"/>
      <c r="P9" s="396"/>
    </row>
    <row r="10" spans="1:16" ht="13.5" customHeight="1">
      <c r="A10" s="180" t="s">
        <v>225</v>
      </c>
      <c r="B10" s="95">
        <v>2020</v>
      </c>
      <c r="C10" s="422">
        <v>168668.65</v>
      </c>
      <c r="D10" s="186">
        <v>24151.4</v>
      </c>
      <c r="E10" s="186">
        <v>29545.25</v>
      </c>
      <c r="F10" s="186">
        <v>14704</v>
      </c>
      <c r="G10" s="186">
        <v>14631</v>
      </c>
      <c r="H10" s="186">
        <v>19445</v>
      </c>
      <c r="I10" s="186">
        <v>23235.25</v>
      </c>
      <c r="J10" s="186">
        <v>24673</v>
      </c>
      <c r="K10" s="186">
        <v>18283.75</v>
      </c>
      <c r="L10" s="186">
        <v>12979</v>
      </c>
      <c r="M10" s="186">
        <v>14683</v>
      </c>
      <c r="N10" s="186">
        <v>20517.5</v>
      </c>
      <c r="O10" s="186">
        <v>19560.5</v>
      </c>
      <c r="P10" s="396">
        <v>236408.65</v>
      </c>
    </row>
    <row r="11" spans="1:16" ht="13.5" customHeight="1">
      <c r="A11" s="22"/>
      <c r="B11" s="95">
        <v>2021</v>
      </c>
      <c r="C11" s="422">
        <v>177534.1</v>
      </c>
      <c r="D11" s="186">
        <v>22080.5</v>
      </c>
      <c r="E11" s="186">
        <v>28796.25</v>
      </c>
      <c r="F11" s="186">
        <v>14238</v>
      </c>
      <c r="G11" s="186">
        <v>13936.85</v>
      </c>
      <c r="H11" s="186">
        <v>18793</v>
      </c>
      <c r="I11" s="186">
        <v>30851.5</v>
      </c>
      <c r="J11" s="186">
        <v>29620.25</v>
      </c>
      <c r="K11" s="186">
        <v>19217.75</v>
      </c>
      <c r="L11" s="186"/>
      <c r="M11" s="186"/>
      <c r="N11" s="186"/>
      <c r="O11" s="186"/>
      <c r="P11" s="396"/>
    </row>
    <row r="12" spans="1:16" ht="13.5" customHeight="1">
      <c r="A12" s="180" t="s">
        <v>193</v>
      </c>
      <c r="B12" s="95">
        <v>2020</v>
      </c>
      <c r="C12" s="422">
        <v>193775.05</v>
      </c>
      <c r="D12" s="186">
        <v>80</v>
      </c>
      <c r="E12" s="186">
        <v>473</v>
      </c>
      <c r="F12" s="186">
        <v>992</v>
      </c>
      <c r="G12" s="186">
        <v>12327.8</v>
      </c>
      <c r="H12" s="186">
        <v>56432.75</v>
      </c>
      <c r="I12" s="186">
        <v>65079.5</v>
      </c>
      <c r="J12" s="186">
        <v>41701</v>
      </c>
      <c r="K12" s="186">
        <v>16689</v>
      </c>
      <c r="L12" s="186">
        <v>3960.5</v>
      </c>
      <c r="M12" s="186">
        <v>209</v>
      </c>
      <c r="N12" s="186">
        <v>82</v>
      </c>
      <c r="O12" s="186">
        <v>215</v>
      </c>
      <c r="P12" s="396">
        <v>198241.55</v>
      </c>
    </row>
    <row r="13" spans="1:16" ht="13.5" customHeight="1">
      <c r="A13" s="22"/>
      <c r="B13" s="95">
        <v>2021</v>
      </c>
      <c r="C13" s="422">
        <v>177702.495</v>
      </c>
      <c r="D13" s="186">
        <v>107</v>
      </c>
      <c r="E13" s="186">
        <v>420</v>
      </c>
      <c r="F13" s="186">
        <v>627.5</v>
      </c>
      <c r="G13" s="186">
        <v>11038.25</v>
      </c>
      <c r="H13" s="186">
        <v>42758.025000000001</v>
      </c>
      <c r="I13" s="186">
        <v>66797.22</v>
      </c>
      <c r="J13" s="186">
        <v>42526</v>
      </c>
      <c r="K13" s="186">
        <v>13428.5</v>
      </c>
      <c r="L13" s="186"/>
      <c r="M13" s="186"/>
      <c r="N13" s="186"/>
      <c r="O13" s="186"/>
      <c r="P13" s="396"/>
    </row>
    <row r="14" spans="1:16" ht="13.5" customHeight="1">
      <c r="A14" s="180" t="s">
        <v>277</v>
      </c>
      <c r="B14" s="95">
        <v>2020</v>
      </c>
      <c r="C14" s="422">
        <v>312233.3</v>
      </c>
      <c r="D14" s="186">
        <v>29554</v>
      </c>
      <c r="E14" s="186">
        <v>24919</v>
      </c>
      <c r="F14" s="186">
        <v>32128.6</v>
      </c>
      <c r="G14" s="186">
        <v>35592.5</v>
      </c>
      <c r="H14" s="186">
        <v>64726.400000000001</v>
      </c>
      <c r="I14" s="186">
        <v>74616.800000000003</v>
      </c>
      <c r="J14" s="186">
        <v>31019</v>
      </c>
      <c r="K14" s="186">
        <v>19677</v>
      </c>
      <c r="L14" s="186">
        <v>22120.6</v>
      </c>
      <c r="M14" s="186">
        <v>24477.5</v>
      </c>
      <c r="N14" s="186">
        <v>22620.5</v>
      </c>
      <c r="O14" s="186">
        <v>36145.5</v>
      </c>
      <c r="P14" s="396">
        <v>417597.39999999997</v>
      </c>
    </row>
    <row r="15" spans="1:16" ht="13.5" customHeight="1">
      <c r="A15" s="22"/>
      <c r="B15" s="95">
        <v>2021</v>
      </c>
      <c r="C15" s="422">
        <v>306622.65000000002</v>
      </c>
      <c r="D15" s="186">
        <v>30900</v>
      </c>
      <c r="E15" s="186">
        <v>23172</v>
      </c>
      <c r="F15" s="186">
        <v>27261</v>
      </c>
      <c r="G15" s="186">
        <v>26808.5</v>
      </c>
      <c r="H15" s="186">
        <v>44795.4</v>
      </c>
      <c r="I15" s="186">
        <v>88939.25</v>
      </c>
      <c r="J15" s="186">
        <v>45104.5</v>
      </c>
      <c r="K15" s="186">
        <v>19642</v>
      </c>
      <c r="L15" s="186"/>
      <c r="M15" s="186"/>
      <c r="N15" s="186"/>
      <c r="O15" s="186"/>
      <c r="P15" s="396"/>
    </row>
    <row r="16" spans="1:16" ht="13.5" customHeight="1">
      <c r="A16" s="180" t="s">
        <v>149</v>
      </c>
      <c r="B16" s="95">
        <v>2020</v>
      </c>
      <c r="C16" s="422">
        <v>120826.5</v>
      </c>
      <c r="D16" s="186">
        <v>4</v>
      </c>
      <c r="E16" s="186">
        <v>16</v>
      </c>
      <c r="F16" s="186">
        <v>92</v>
      </c>
      <c r="G16" s="186">
        <v>11597</v>
      </c>
      <c r="H16" s="186">
        <v>22622</v>
      </c>
      <c r="I16" s="186">
        <v>30910</v>
      </c>
      <c r="J16" s="186">
        <v>37006.5</v>
      </c>
      <c r="K16" s="186">
        <v>18579</v>
      </c>
      <c r="L16" s="186">
        <v>4074</v>
      </c>
      <c r="M16" s="186">
        <v>309</v>
      </c>
      <c r="N16" s="186">
        <v>96</v>
      </c>
      <c r="O16" s="186">
        <v>30</v>
      </c>
      <c r="P16" s="396">
        <v>125335.5</v>
      </c>
    </row>
    <row r="17" spans="1:16" ht="13.5" customHeight="1">
      <c r="A17" s="22"/>
      <c r="B17" s="95">
        <v>2021</v>
      </c>
      <c r="C17" s="422">
        <v>120269</v>
      </c>
      <c r="D17" s="186">
        <v>22</v>
      </c>
      <c r="E17" s="186">
        <v>14</v>
      </c>
      <c r="F17" s="186">
        <v>126</v>
      </c>
      <c r="G17" s="186">
        <v>10772</v>
      </c>
      <c r="H17" s="186">
        <v>19279</v>
      </c>
      <c r="I17" s="186">
        <v>26895</v>
      </c>
      <c r="J17" s="186">
        <v>42351.75</v>
      </c>
      <c r="K17" s="186">
        <v>20809.25</v>
      </c>
      <c r="L17" s="186"/>
      <c r="M17" s="186"/>
      <c r="N17" s="186"/>
      <c r="O17" s="186"/>
      <c r="P17" s="396"/>
    </row>
    <row r="18" spans="1:16" ht="13.5" customHeight="1">
      <c r="A18" s="180" t="s">
        <v>62</v>
      </c>
      <c r="B18" s="95">
        <v>2020</v>
      </c>
      <c r="C18" s="422">
        <v>65872.100000000006</v>
      </c>
      <c r="D18" s="186">
        <v>328</v>
      </c>
      <c r="E18" s="186">
        <v>1235</v>
      </c>
      <c r="F18" s="186">
        <v>4578</v>
      </c>
      <c r="G18" s="186">
        <v>29488.5</v>
      </c>
      <c r="H18" s="186">
        <v>19156</v>
      </c>
      <c r="I18" s="186">
        <v>7725</v>
      </c>
      <c r="J18" s="186">
        <v>2687.1</v>
      </c>
      <c r="K18" s="186">
        <v>674.5</v>
      </c>
      <c r="L18" s="186">
        <v>519</v>
      </c>
      <c r="M18" s="186">
        <v>371</v>
      </c>
      <c r="N18" s="186">
        <v>405</v>
      </c>
      <c r="O18" s="186">
        <v>471</v>
      </c>
      <c r="P18" s="396">
        <v>67638.100000000006</v>
      </c>
    </row>
    <row r="19" spans="1:16" ht="13.5" customHeight="1">
      <c r="A19" s="22"/>
      <c r="B19" s="95">
        <v>2021</v>
      </c>
      <c r="C19" s="422">
        <v>65816.5</v>
      </c>
      <c r="D19" s="186">
        <v>688</v>
      </c>
      <c r="E19" s="186">
        <v>742</v>
      </c>
      <c r="F19" s="186">
        <v>2331</v>
      </c>
      <c r="G19" s="186">
        <v>27219</v>
      </c>
      <c r="H19" s="186">
        <v>18505</v>
      </c>
      <c r="I19" s="186">
        <v>11513.5</v>
      </c>
      <c r="J19" s="186">
        <v>4311.5</v>
      </c>
      <c r="K19" s="186">
        <v>506.5</v>
      </c>
      <c r="L19" s="186"/>
      <c r="M19" s="186"/>
      <c r="N19" s="186"/>
      <c r="O19" s="186"/>
      <c r="P19" s="396"/>
    </row>
    <row r="20" spans="1:16" ht="13.5" customHeight="1">
      <c r="A20" s="180" t="s">
        <v>211</v>
      </c>
      <c r="B20" s="95">
        <v>2020</v>
      </c>
      <c r="C20" s="422">
        <v>3054.5000000000005</v>
      </c>
      <c r="D20" s="186">
        <v>422.25</v>
      </c>
      <c r="E20" s="186">
        <v>362.1</v>
      </c>
      <c r="F20" s="186">
        <v>406.05</v>
      </c>
      <c r="G20" s="186">
        <v>418.7</v>
      </c>
      <c r="H20" s="186">
        <v>297.75</v>
      </c>
      <c r="I20" s="186">
        <v>457.85</v>
      </c>
      <c r="J20" s="186">
        <v>437.05</v>
      </c>
      <c r="K20" s="186">
        <v>252.75</v>
      </c>
      <c r="L20" s="186">
        <v>273.8</v>
      </c>
      <c r="M20" s="186">
        <v>251.8</v>
      </c>
      <c r="N20" s="186">
        <v>210.55</v>
      </c>
      <c r="O20" s="186">
        <v>279.3</v>
      </c>
      <c r="P20" s="396">
        <v>4069.9500000000012</v>
      </c>
    </row>
    <row r="21" spans="1:16" ht="13.5" customHeight="1">
      <c r="A21" s="22"/>
      <c r="B21" s="95">
        <v>2021</v>
      </c>
      <c r="C21" s="422">
        <v>3446.5</v>
      </c>
      <c r="D21" s="186">
        <v>503.75</v>
      </c>
      <c r="E21" s="186">
        <v>472.25</v>
      </c>
      <c r="F21" s="186">
        <v>458</v>
      </c>
      <c r="G21" s="186">
        <v>478.25</v>
      </c>
      <c r="H21" s="186">
        <v>345</v>
      </c>
      <c r="I21" s="186">
        <v>511</v>
      </c>
      <c r="J21" s="186">
        <v>403</v>
      </c>
      <c r="K21" s="186">
        <v>275.25</v>
      </c>
      <c r="L21" s="186"/>
      <c r="M21" s="186"/>
      <c r="N21" s="186"/>
      <c r="O21" s="186"/>
      <c r="P21" s="396"/>
    </row>
    <row r="22" spans="1:16" ht="13.5" customHeight="1">
      <c r="A22" s="180" t="s">
        <v>265</v>
      </c>
      <c r="B22" s="95">
        <v>2020</v>
      </c>
      <c r="C22" s="422">
        <v>403</v>
      </c>
      <c r="D22" s="186">
        <v>76</v>
      </c>
      <c r="E22" s="186">
        <v>80</v>
      </c>
      <c r="F22" s="186">
        <v>29</v>
      </c>
      <c r="G22" s="186">
        <v>6</v>
      </c>
      <c r="H22" s="186">
        <v>7</v>
      </c>
      <c r="I22" s="186">
        <v>36</v>
      </c>
      <c r="J22" s="186">
        <v>60</v>
      </c>
      <c r="K22" s="186">
        <v>109</v>
      </c>
      <c r="L22" s="186">
        <v>172</v>
      </c>
      <c r="M22" s="186">
        <v>206</v>
      </c>
      <c r="N22" s="186">
        <v>307</v>
      </c>
      <c r="O22" s="186">
        <v>188</v>
      </c>
      <c r="P22" s="396">
        <v>1276</v>
      </c>
    </row>
    <row r="23" spans="1:16" ht="13.5" customHeight="1">
      <c r="A23" s="22"/>
      <c r="B23" s="95">
        <v>2021</v>
      </c>
      <c r="C23" s="422">
        <v>590</v>
      </c>
      <c r="D23" s="186">
        <v>128</v>
      </c>
      <c r="E23" s="186">
        <v>91</v>
      </c>
      <c r="F23" s="186">
        <v>32</v>
      </c>
      <c r="G23" s="186">
        <v>6</v>
      </c>
      <c r="H23" s="186">
        <v>12</v>
      </c>
      <c r="I23" s="186">
        <v>46</v>
      </c>
      <c r="J23" s="186">
        <v>191</v>
      </c>
      <c r="K23" s="186">
        <v>84</v>
      </c>
      <c r="L23" s="186"/>
      <c r="M23" s="186"/>
      <c r="N23" s="186"/>
      <c r="O23" s="186"/>
      <c r="P23" s="396"/>
    </row>
    <row r="24" spans="1:16" ht="13.5" customHeight="1">
      <c r="A24" s="180" t="s">
        <v>147</v>
      </c>
      <c r="B24" s="95">
        <v>2020</v>
      </c>
      <c r="C24" s="422">
        <v>2912.8999999999996</v>
      </c>
      <c r="D24" s="186">
        <v>479.6</v>
      </c>
      <c r="E24" s="186">
        <v>347</v>
      </c>
      <c r="F24" s="186">
        <v>420</v>
      </c>
      <c r="G24" s="186">
        <v>385</v>
      </c>
      <c r="H24" s="186">
        <v>337.3</v>
      </c>
      <c r="I24" s="186">
        <v>277.8</v>
      </c>
      <c r="J24" s="186">
        <v>293.10000000000002</v>
      </c>
      <c r="K24" s="186">
        <v>373.1</v>
      </c>
      <c r="L24" s="186">
        <v>403.5</v>
      </c>
      <c r="M24" s="186">
        <v>505.75</v>
      </c>
      <c r="N24" s="186">
        <v>568.5</v>
      </c>
      <c r="O24" s="186">
        <v>456.7</v>
      </c>
      <c r="P24" s="396">
        <v>4847.3499999999995</v>
      </c>
    </row>
    <row r="25" spans="1:16" ht="13.5" customHeight="1">
      <c r="A25" s="22"/>
      <c r="B25" s="95">
        <v>2021</v>
      </c>
      <c r="C25" s="422">
        <v>3420</v>
      </c>
      <c r="D25" s="186">
        <v>512.54999999999995</v>
      </c>
      <c r="E25" s="186">
        <v>449.5</v>
      </c>
      <c r="F25" s="186">
        <v>487.75</v>
      </c>
      <c r="G25" s="186">
        <v>402.3</v>
      </c>
      <c r="H25" s="186">
        <v>451.9</v>
      </c>
      <c r="I25" s="186">
        <v>415.5</v>
      </c>
      <c r="J25" s="186">
        <v>386.5</v>
      </c>
      <c r="K25" s="186">
        <v>314</v>
      </c>
      <c r="L25" s="186"/>
      <c r="M25" s="186"/>
      <c r="N25" s="186"/>
      <c r="O25" s="186"/>
      <c r="P25" s="396"/>
    </row>
    <row r="26" spans="1:16" ht="13.5" customHeight="1">
      <c r="A26" s="180" t="s">
        <v>263</v>
      </c>
      <c r="B26" s="95">
        <v>2020</v>
      </c>
      <c r="C26" s="422">
        <v>5033</v>
      </c>
      <c r="D26" s="186">
        <v>452.45</v>
      </c>
      <c r="E26" s="186">
        <v>699.5</v>
      </c>
      <c r="F26" s="186">
        <v>804</v>
      </c>
      <c r="G26" s="186">
        <v>836.35</v>
      </c>
      <c r="H26" s="186">
        <v>976.85</v>
      </c>
      <c r="I26" s="186">
        <v>426</v>
      </c>
      <c r="J26" s="186">
        <v>449.35</v>
      </c>
      <c r="K26" s="186">
        <v>388.5</v>
      </c>
      <c r="L26" s="186">
        <v>545.5</v>
      </c>
      <c r="M26" s="186">
        <v>440.6</v>
      </c>
      <c r="N26" s="186">
        <v>409.6</v>
      </c>
      <c r="O26" s="186">
        <v>421.4</v>
      </c>
      <c r="P26" s="396">
        <v>6850.1</v>
      </c>
    </row>
    <row r="27" spans="1:16" ht="13.5" customHeight="1">
      <c r="A27" s="22"/>
      <c r="B27" s="95">
        <v>2021</v>
      </c>
      <c r="C27" s="422">
        <v>5857.1</v>
      </c>
      <c r="D27" s="186">
        <v>495</v>
      </c>
      <c r="E27" s="186">
        <v>748</v>
      </c>
      <c r="F27" s="186">
        <v>872</v>
      </c>
      <c r="G27" s="186">
        <v>832.25</v>
      </c>
      <c r="H27" s="186">
        <v>908.85</v>
      </c>
      <c r="I27" s="186">
        <v>637</v>
      </c>
      <c r="J27" s="186">
        <v>826.5</v>
      </c>
      <c r="K27" s="186">
        <v>537.5</v>
      </c>
      <c r="L27" s="186"/>
      <c r="M27" s="186"/>
      <c r="N27" s="186"/>
      <c r="O27" s="186"/>
      <c r="P27" s="396"/>
    </row>
    <row r="28" spans="1:16" ht="13.5" customHeight="1">
      <c r="A28" s="180" t="s">
        <v>201</v>
      </c>
      <c r="B28" s="95">
        <v>2020</v>
      </c>
      <c r="C28" s="422">
        <v>27843.300000000003</v>
      </c>
      <c r="D28" s="186">
        <v>2656.5</v>
      </c>
      <c r="E28" s="186">
        <v>3470.25</v>
      </c>
      <c r="F28" s="186">
        <v>3689.5</v>
      </c>
      <c r="G28" s="186">
        <v>3078</v>
      </c>
      <c r="H28" s="186">
        <v>2926.95</v>
      </c>
      <c r="I28" s="186">
        <v>4106</v>
      </c>
      <c r="J28" s="186">
        <v>4252.1000000000004</v>
      </c>
      <c r="K28" s="186">
        <v>3664</v>
      </c>
      <c r="L28" s="186">
        <v>2743</v>
      </c>
      <c r="M28" s="186">
        <v>2404.5</v>
      </c>
      <c r="N28" s="186">
        <v>1055.5</v>
      </c>
      <c r="O28" s="186">
        <v>1144.75</v>
      </c>
      <c r="P28" s="396">
        <v>35191.050000000003</v>
      </c>
    </row>
    <row r="29" spans="1:16" ht="13.5" customHeight="1">
      <c r="A29" s="22"/>
      <c r="B29" s="95">
        <v>2021</v>
      </c>
      <c r="C29" s="422">
        <v>26955.200000000001</v>
      </c>
      <c r="D29" s="186">
        <v>2580.9</v>
      </c>
      <c r="E29" s="186">
        <v>3398.55</v>
      </c>
      <c r="F29" s="186">
        <v>2985</v>
      </c>
      <c r="G29" s="186">
        <v>2980.9</v>
      </c>
      <c r="H29" s="186">
        <v>3216.65</v>
      </c>
      <c r="I29" s="186">
        <v>5157.95</v>
      </c>
      <c r="J29" s="186">
        <v>3505</v>
      </c>
      <c r="K29" s="186">
        <v>3130.25</v>
      </c>
      <c r="L29" s="186"/>
      <c r="M29" s="186"/>
      <c r="N29" s="186"/>
      <c r="O29" s="186"/>
      <c r="P29" s="396"/>
    </row>
    <row r="30" spans="1:16" ht="13.5" customHeight="1">
      <c r="A30" s="180" t="s">
        <v>262</v>
      </c>
      <c r="B30" s="95">
        <v>2020</v>
      </c>
      <c r="C30" s="422">
        <v>5323.6</v>
      </c>
      <c r="D30" s="186">
        <v>532.25</v>
      </c>
      <c r="E30" s="186">
        <v>560.25</v>
      </c>
      <c r="F30" s="186">
        <v>762.25</v>
      </c>
      <c r="G30" s="186">
        <v>749.45</v>
      </c>
      <c r="H30" s="186">
        <v>828.8</v>
      </c>
      <c r="I30" s="186">
        <v>550.75</v>
      </c>
      <c r="J30" s="186">
        <v>633</v>
      </c>
      <c r="K30" s="186">
        <v>706.85</v>
      </c>
      <c r="L30" s="186">
        <v>638.25</v>
      </c>
      <c r="M30" s="186">
        <v>635</v>
      </c>
      <c r="N30" s="186">
        <v>576.25</v>
      </c>
      <c r="O30" s="186">
        <v>464</v>
      </c>
      <c r="P30" s="396">
        <v>7637.1</v>
      </c>
    </row>
    <row r="31" spans="1:16" ht="13.5" customHeight="1">
      <c r="A31" s="22"/>
      <c r="B31" s="95">
        <v>2021</v>
      </c>
      <c r="C31" s="422">
        <v>5466.8</v>
      </c>
      <c r="D31" s="186">
        <v>537</v>
      </c>
      <c r="E31" s="186">
        <v>589.75</v>
      </c>
      <c r="F31" s="186">
        <v>706.75</v>
      </c>
      <c r="G31" s="186">
        <v>812.75</v>
      </c>
      <c r="H31" s="186">
        <v>674</v>
      </c>
      <c r="I31" s="186">
        <v>645.25</v>
      </c>
      <c r="J31" s="186">
        <v>665.8</v>
      </c>
      <c r="K31" s="186">
        <v>835.5</v>
      </c>
      <c r="L31" s="186"/>
      <c r="M31" s="186"/>
      <c r="N31" s="186"/>
      <c r="O31" s="186"/>
      <c r="P31" s="396"/>
    </row>
    <row r="32" spans="1:16" ht="13.5" customHeight="1">
      <c r="A32" s="180" t="s">
        <v>259</v>
      </c>
      <c r="B32" s="95">
        <v>2020</v>
      </c>
      <c r="C32" s="422">
        <v>2775.2999999999997</v>
      </c>
      <c r="D32" s="186">
        <v>279</v>
      </c>
      <c r="E32" s="186">
        <v>177</v>
      </c>
      <c r="F32" s="186">
        <v>234</v>
      </c>
      <c r="G32" s="186">
        <v>295</v>
      </c>
      <c r="H32" s="186">
        <v>492.3</v>
      </c>
      <c r="I32" s="186">
        <v>584.4</v>
      </c>
      <c r="J32" s="186">
        <v>343.6</v>
      </c>
      <c r="K32" s="186">
        <v>370</v>
      </c>
      <c r="L32" s="186">
        <v>559.5</v>
      </c>
      <c r="M32" s="186">
        <v>895</v>
      </c>
      <c r="N32" s="186">
        <v>2199.13</v>
      </c>
      <c r="O32" s="186">
        <v>1319.5</v>
      </c>
      <c r="P32" s="396">
        <v>7748.4299999999994</v>
      </c>
    </row>
    <row r="33" spans="1:16" ht="13.5" customHeight="1">
      <c r="A33" s="22"/>
      <c r="B33" s="95">
        <v>2021</v>
      </c>
      <c r="C33" s="422">
        <v>3503.87</v>
      </c>
      <c r="D33" s="186">
        <v>307.39999999999998</v>
      </c>
      <c r="E33" s="186">
        <v>263.77</v>
      </c>
      <c r="F33" s="186">
        <v>166.5</v>
      </c>
      <c r="G33" s="186">
        <v>245</v>
      </c>
      <c r="H33" s="186">
        <v>426</v>
      </c>
      <c r="I33" s="186">
        <v>733</v>
      </c>
      <c r="J33" s="186">
        <v>755.2</v>
      </c>
      <c r="K33" s="186">
        <v>607</v>
      </c>
      <c r="L33" s="186"/>
      <c r="M33" s="186"/>
      <c r="N33" s="186"/>
      <c r="O33" s="186"/>
      <c r="P33" s="396"/>
    </row>
    <row r="34" spans="1:16" ht="13.5" customHeight="1">
      <c r="A34" s="180" t="s">
        <v>285</v>
      </c>
      <c r="B34" s="95">
        <v>2020</v>
      </c>
      <c r="C34" s="422">
        <v>10354.049999999999</v>
      </c>
      <c r="D34" s="186">
        <v>1294.5</v>
      </c>
      <c r="E34" s="186">
        <v>1017</v>
      </c>
      <c r="F34" s="186">
        <v>915.3</v>
      </c>
      <c r="G34" s="186">
        <v>1466.85</v>
      </c>
      <c r="H34" s="186">
        <v>1343.85</v>
      </c>
      <c r="I34" s="186">
        <v>1048.95</v>
      </c>
      <c r="J34" s="186">
        <v>1315.1</v>
      </c>
      <c r="K34" s="186">
        <v>1952.5</v>
      </c>
      <c r="L34" s="186">
        <v>1344</v>
      </c>
      <c r="M34" s="186">
        <v>942.5</v>
      </c>
      <c r="N34" s="186">
        <v>1277.5</v>
      </c>
      <c r="O34" s="186">
        <v>1214</v>
      </c>
      <c r="P34" s="396">
        <v>15132.05</v>
      </c>
    </row>
    <row r="35" spans="1:16" ht="13.5" customHeight="1">
      <c r="A35" s="22"/>
      <c r="B35" s="96">
        <v>2021</v>
      </c>
      <c r="C35" s="422">
        <v>11222.099999999999</v>
      </c>
      <c r="D35" s="186">
        <v>1340.5</v>
      </c>
      <c r="E35" s="186">
        <v>1130.5</v>
      </c>
      <c r="F35" s="186">
        <v>892.59999999999991</v>
      </c>
      <c r="G35" s="186">
        <v>1737.8</v>
      </c>
      <c r="H35" s="186">
        <v>1247</v>
      </c>
      <c r="I35" s="186">
        <v>1722.7</v>
      </c>
      <c r="J35" s="186">
        <v>1853</v>
      </c>
      <c r="K35" s="186">
        <v>1298</v>
      </c>
      <c r="L35" s="186"/>
      <c r="M35" s="186"/>
      <c r="N35" s="186"/>
      <c r="O35" s="186"/>
      <c r="P35" s="396"/>
    </row>
    <row r="36" spans="1:16" ht="12.75">
      <c r="A36" s="175"/>
      <c r="B36" s="95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7" t="s">
        <v>150</v>
      </c>
    </row>
    <row r="37" spans="1:16" ht="12.75">
      <c r="A37" s="74" t="s">
        <v>314</v>
      </c>
      <c r="B37" s="95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</row>
    <row r="38" spans="1:16" ht="18" customHeight="1">
      <c r="A38" s="432" t="s">
        <v>57</v>
      </c>
      <c r="B38" s="427" t="s">
        <v>92</v>
      </c>
      <c r="C38" s="444" t="s">
        <v>439</v>
      </c>
      <c r="D38" s="412" t="s">
        <v>172</v>
      </c>
      <c r="E38" s="412" t="s">
        <v>173</v>
      </c>
      <c r="F38" s="412" t="s">
        <v>174</v>
      </c>
      <c r="G38" s="412" t="s">
        <v>175</v>
      </c>
      <c r="H38" s="412" t="s">
        <v>176</v>
      </c>
      <c r="I38" s="412" t="s">
        <v>177</v>
      </c>
      <c r="J38" s="412" t="s">
        <v>178</v>
      </c>
      <c r="K38" s="412" t="s">
        <v>293</v>
      </c>
      <c r="L38" s="412" t="s">
        <v>294</v>
      </c>
      <c r="M38" s="412" t="s">
        <v>295</v>
      </c>
      <c r="N38" s="412" t="s">
        <v>170</v>
      </c>
      <c r="O38" s="412" t="s">
        <v>171</v>
      </c>
      <c r="P38" s="432" t="s">
        <v>423</v>
      </c>
    </row>
    <row r="39" spans="1:16" ht="13.5" customHeight="1">
      <c r="A39" s="180" t="s">
        <v>249</v>
      </c>
      <c r="B39" s="95">
        <v>2020</v>
      </c>
      <c r="C39" s="422">
        <v>35052.399999999994</v>
      </c>
      <c r="D39" s="186">
        <v>2801.5</v>
      </c>
      <c r="E39" s="186">
        <v>3976.5</v>
      </c>
      <c r="F39" s="186">
        <v>5688.9</v>
      </c>
      <c r="G39" s="186">
        <v>9922.5499999999993</v>
      </c>
      <c r="H39" s="186">
        <v>7775.05</v>
      </c>
      <c r="I39" s="186">
        <v>1944.4</v>
      </c>
      <c r="J39" s="186">
        <v>1252.5</v>
      </c>
      <c r="K39" s="186">
        <v>1691</v>
      </c>
      <c r="L39" s="186">
        <v>2454.1999999999998</v>
      </c>
      <c r="M39" s="186">
        <v>2540.75</v>
      </c>
      <c r="N39" s="186">
        <v>1687.25</v>
      </c>
      <c r="O39" s="186">
        <v>2036.75</v>
      </c>
      <c r="P39" s="396">
        <v>43771.349999999991</v>
      </c>
    </row>
    <row r="40" spans="1:16" ht="13.5" customHeight="1">
      <c r="A40" s="22"/>
      <c r="B40" s="95">
        <v>2021</v>
      </c>
      <c r="C40" s="422">
        <v>35922.83</v>
      </c>
      <c r="D40" s="186">
        <v>2912.63</v>
      </c>
      <c r="E40" s="186">
        <v>3995.3500000000004</v>
      </c>
      <c r="F40" s="186">
        <v>5970.5</v>
      </c>
      <c r="G40" s="186">
        <v>9595.9500000000007</v>
      </c>
      <c r="H40" s="186">
        <v>6905.55</v>
      </c>
      <c r="I40" s="186">
        <v>3307.95</v>
      </c>
      <c r="J40" s="186">
        <v>1746.9</v>
      </c>
      <c r="K40" s="186">
        <v>1488</v>
      </c>
      <c r="L40" s="186"/>
      <c r="M40" s="186"/>
      <c r="N40" s="186"/>
      <c r="O40" s="186"/>
      <c r="P40" s="396"/>
    </row>
    <row r="41" spans="1:16" ht="13.5" customHeight="1">
      <c r="A41" s="180" t="s">
        <v>278</v>
      </c>
      <c r="B41" s="95">
        <v>2020</v>
      </c>
      <c r="C41" s="422">
        <v>283966.05000000005</v>
      </c>
      <c r="D41" s="186">
        <v>14652.3</v>
      </c>
      <c r="E41" s="186">
        <v>19728.25</v>
      </c>
      <c r="F41" s="186">
        <v>34701</v>
      </c>
      <c r="G41" s="186">
        <v>81035.199999999997</v>
      </c>
      <c r="H41" s="186">
        <v>78518.5</v>
      </c>
      <c r="I41" s="186">
        <v>37804.400000000001</v>
      </c>
      <c r="J41" s="186">
        <v>11442.9</v>
      </c>
      <c r="K41" s="186">
        <v>6083.5</v>
      </c>
      <c r="L41" s="186">
        <v>8051</v>
      </c>
      <c r="M41" s="186">
        <v>10892.65</v>
      </c>
      <c r="N41" s="186">
        <v>12961.3</v>
      </c>
      <c r="O41" s="186">
        <v>16023.75</v>
      </c>
      <c r="P41" s="396">
        <v>331894.75000000006</v>
      </c>
    </row>
    <row r="42" spans="1:16" ht="13.5" customHeight="1">
      <c r="A42" s="22"/>
      <c r="B42" s="181">
        <v>2021</v>
      </c>
      <c r="C42" s="422">
        <v>281403.24900000001</v>
      </c>
      <c r="D42" s="186">
        <v>16727.398999999998</v>
      </c>
      <c r="E42" s="186">
        <v>20032</v>
      </c>
      <c r="F42" s="186">
        <v>30585.1</v>
      </c>
      <c r="G42" s="186">
        <v>70050.850000000006</v>
      </c>
      <c r="H42" s="186">
        <v>80657.850000000006</v>
      </c>
      <c r="I42" s="186">
        <v>41879.25</v>
      </c>
      <c r="J42" s="186">
        <v>14387.8</v>
      </c>
      <c r="K42" s="186">
        <v>7083</v>
      </c>
      <c r="L42" s="186"/>
      <c r="M42" s="186"/>
      <c r="N42" s="186"/>
      <c r="O42" s="186"/>
      <c r="P42" s="396"/>
    </row>
    <row r="43" spans="1:16" ht="13.5" customHeight="1">
      <c r="A43" s="180" t="s">
        <v>284</v>
      </c>
      <c r="B43" s="181">
        <v>2020</v>
      </c>
      <c r="C43" s="422">
        <v>69424.55</v>
      </c>
      <c r="D43" s="186">
        <v>8925.4500000000007</v>
      </c>
      <c r="E43" s="186">
        <v>8539</v>
      </c>
      <c r="F43" s="186">
        <v>8381.4500000000007</v>
      </c>
      <c r="G43" s="186">
        <v>7998.05</v>
      </c>
      <c r="H43" s="186">
        <v>9136.15</v>
      </c>
      <c r="I43" s="186">
        <v>8824.5</v>
      </c>
      <c r="J43" s="186">
        <v>8723</v>
      </c>
      <c r="K43" s="186">
        <v>8896.9500000000007</v>
      </c>
      <c r="L43" s="186">
        <v>8733.75</v>
      </c>
      <c r="M43" s="186">
        <v>9839.0499999999993</v>
      </c>
      <c r="N43" s="186">
        <v>10326.799999999999</v>
      </c>
      <c r="O43" s="186">
        <v>10042.65</v>
      </c>
      <c r="P43" s="396">
        <v>108366.8</v>
      </c>
    </row>
    <row r="44" spans="1:16" ht="13.5" customHeight="1">
      <c r="A44" s="22"/>
      <c r="B44" s="181">
        <v>2021</v>
      </c>
      <c r="C44" s="422">
        <v>65722.83</v>
      </c>
      <c r="D44" s="186">
        <v>8072</v>
      </c>
      <c r="E44" s="186">
        <v>8117.5</v>
      </c>
      <c r="F44" s="186">
        <v>8218.6</v>
      </c>
      <c r="G44" s="186">
        <v>7681.5</v>
      </c>
      <c r="H44" s="186">
        <v>8813.35</v>
      </c>
      <c r="I44" s="186">
        <v>8641.9</v>
      </c>
      <c r="J44" s="186">
        <v>8197.7799999999988</v>
      </c>
      <c r="K44" s="186">
        <v>7980.2</v>
      </c>
      <c r="L44" s="186"/>
      <c r="M44" s="186"/>
      <c r="N44" s="186"/>
      <c r="O44" s="186"/>
      <c r="P44" s="396"/>
    </row>
    <row r="45" spans="1:16" ht="13.5" customHeight="1">
      <c r="A45" s="180" t="s">
        <v>202</v>
      </c>
      <c r="B45" s="181">
        <v>2020</v>
      </c>
      <c r="C45" s="422">
        <v>9184.25</v>
      </c>
      <c r="D45" s="186">
        <v>1096</v>
      </c>
      <c r="E45" s="186">
        <v>1029.7</v>
      </c>
      <c r="F45" s="186">
        <v>1110.55</v>
      </c>
      <c r="G45" s="186">
        <v>1215.3499999999999</v>
      </c>
      <c r="H45" s="186">
        <v>1384</v>
      </c>
      <c r="I45" s="186">
        <v>1203.25</v>
      </c>
      <c r="J45" s="186">
        <v>1226.4000000000001</v>
      </c>
      <c r="K45" s="186">
        <v>919</v>
      </c>
      <c r="L45" s="186">
        <v>1156.5999999999999</v>
      </c>
      <c r="M45" s="186">
        <v>1527.6</v>
      </c>
      <c r="N45" s="186">
        <v>1669.85</v>
      </c>
      <c r="O45" s="186">
        <v>769.6</v>
      </c>
      <c r="P45" s="396">
        <v>14307.900000000001</v>
      </c>
    </row>
    <row r="46" spans="1:16" ht="13.5" customHeight="1">
      <c r="A46" s="22"/>
      <c r="B46" s="181">
        <v>2021</v>
      </c>
      <c r="C46" s="422">
        <v>7015.42</v>
      </c>
      <c r="D46" s="186">
        <v>1027.25</v>
      </c>
      <c r="E46" s="186">
        <v>706.55</v>
      </c>
      <c r="F46" s="186">
        <v>828.75</v>
      </c>
      <c r="G46" s="186">
        <v>930.97</v>
      </c>
      <c r="H46" s="186">
        <v>828.9</v>
      </c>
      <c r="I46" s="186">
        <v>883.75</v>
      </c>
      <c r="J46" s="186">
        <v>917.25</v>
      </c>
      <c r="K46" s="186">
        <v>892</v>
      </c>
      <c r="L46" s="186"/>
      <c r="M46" s="186"/>
      <c r="N46" s="186"/>
      <c r="O46" s="186"/>
      <c r="P46" s="396"/>
    </row>
    <row r="47" spans="1:16" ht="13.5" customHeight="1">
      <c r="A47" s="180" t="s">
        <v>264</v>
      </c>
      <c r="B47" s="181">
        <v>2020</v>
      </c>
      <c r="C47" s="422">
        <v>13788</v>
      </c>
      <c r="D47" s="186">
        <v>0</v>
      </c>
      <c r="E47" s="186">
        <v>14.5</v>
      </c>
      <c r="F47" s="186">
        <v>133.80000000000001</v>
      </c>
      <c r="G47" s="186">
        <v>3224.6</v>
      </c>
      <c r="H47" s="186">
        <v>5929.1</v>
      </c>
      <c r="I47" s="186">
        <v>3153.5</v>
      </c>
      <c r="J47" s="186">
        <v>1095</v>
      </c>
      <c r="K47" s="186">
        <v>237.5</v>
      </c>
      <c r="L47" s="186">
        <v>37</v>
      </c>
      <c r="M47" s="186">
        <v>0</v>
      </c>
      <c r="N47" s="186">
        <v>0</v>
      </c>
      <c r="O47" s="186">
        <v>0</v>
      </c>
      <c r="P47" s="396">
        <v>13825</v>
      </c>
    </row>
    <row r="48" spans="1:16" ht="13.5" customHeight="1">
      <c r="A48" s="22"/>
      <c r="B48" s="181">
        <v>2021</v>
      </c>
      <c r="C48" s="422">
        <v>12695.2</v>
      </c>
      <c r="D48" s="186">
        <v>1.5</v>
      </c>
      <c r="E48" s="186">
        <v>6.5</v>
      </c>
      <c r="F48" s="186">
        <v>97.5</v>
      </c>
      <c r="G48" s="186">
        <v>2985</v>
      </c>
      <c r="H48" s="186">
        <v>5018.95</v>
      </c>
      <c r="I48" s="186">
        <v>3016.25</v>
      </c>
      <c r="J48" s="186">
        <v>1159.5</v>
      </c>
      <c r="K48" s="186">
        <v>410</v>
      </c>
      <c r="L48" s="186"/>
      <c r="M48" s="186"/>
      <c r="N48" s="186"/>
      <c r="O48" s="186"/>
      <c r="P48" s="396"/>
    </row>
    <row r="49" spans="1:16" ht="13.5" customHeight="1">
      <c r="A49" s="180" t="s">
        <v>297</v>
      </c>
      <c r="B49" s="181">
        <v>2020</v>
      </c>
      <c r="C49" s="422">
        <v>25211.85</v>
      </c>
      <c r="D49" s="186">
        <v>132</v>
      </c>
      <c r="E49" s="186">
        <v>377</v>
      </c>
      <c r="F49" s="186">
        <v>1279</v>
      </c>
      <c r="G49" s="186">
        <v>4899.05</v>
      </c>
      <c r="H49" s="186">
        <v>9710.75</v>
      </c>
      <c r="I49" s="186">
        <v>6111.05</v>
      </c>
      <c r="J49" s="186">
        <v>2193.5</v>
      </c>
      <c r="K49" s="186">
        <v>509.5</v>
      </c>
      <c r="L49" s="186">
        <v>123</v>
      </c>
      <c r="M49" s="186">
        <v>127</v>
      </c>
      <c r="N49" s="186">
        <v>156</v>
      </c>
      <c r="O49" s="186">
        <v>160</v>
      </c>
      <c r="P49" s="396">
        <v>25777.85</v>
      </c>
    </row>
    <row r="50" spans="1:16" ht="13.5" customHeight="1">
      <c r="A50" s="22"/>
      <c r="B50" s="181">
        <v>2021</v>
      </c>
      <c r="C50" s="422">
        <v>24209.200000000001</v>
      </c>
      <c r="D50" s="186">
        <v>138.5</v>
      </c>
      <c r="E50" s="186">
        <v>443.5</v>
      </c>
      <c r="F50" s="186">
        <v>1261.5</v>
      </c>
      <c r="G50" s="186">
        <v>4253.75</v>
      </c>
      <c r="H50" s="186">
        <v>7865.95</v>
      </c>
      <c r="I50" s="186">
        <v>6428</v>
      </c>
      <c r="J50" s="186">
        <v>2718.5</v>
      </c>
      <c r="K50" s="186">
        <v>1099.5</v>
      </c>
      <c r="L50" s="186"/>
      <c r="M50" s="186"/>
      <c r="N50" s="186"/>
      <c r="O50" s="186"/>
      <c r="P50" s="396"/>
    </row>
    <row r="51" spans="1:16" ht="13.5" customHeight="1">
      <c r="A51" s="180" t="s">
        <v>46</v>
      </c>
      <c r="B51" s="181">
        <v>2020</v>
      </c>
      <c r="C51" s="422">
        <v>4822.5</v>
      </c>
      <c r="D51" s="186">
        <v>722</v>
      </c>
      <c r="E51" s="186">
        <v>809.6</v>
      </c>
      <c r="F51" s="186">
        <v>422.9</v>
      </c>
      <c r="G51" s="186">
        <v>397</v>
      </c>
      <c r="H51" s="186">
        <v>549</v>
      </c>
      <c r="I51" s="186">
        <v>622</v>
      </c>
      <c r="J51" s="186">
        <v>528</v>
      </c>
      <c r="K51" s="186">
        <v>772</v>
      </c>
      <c r="L51" s="186">
        <v>351.5</v>
      </c>
      <c r="M51" s="186">
        <v>310</v>
      </c>
      <c r="N51" s="186">
        <v>756</v>
      </c>
      <c r="O51" s="186">
        <v>381</v>
      </c>
      <c r="P51" s="396">
        <v>6621</v>
      </c>
    </row>
    <row r="52" spans="1:16" ht="13.5" customHeight="1">
      <c r="A52" s="22"/>
      <c r="B52" s="181">
        <v>2021</v>
      </c>
      <c r="C52" s="422">
        <v>3989.8</v>
      </c>
      <c r="D52" s="186">
        <v>508</v>
      </c>
      <c r="E52" s="186">
        <v>755</v>
      </c>
      <c r="F52" s="186">
        <v>345</v>
      </c>
      <c r="G52" s="186">
        <v>431</v>
      </c>
      <c r="H52" s="186">
        <v>464</v>
      </c>
      <c r="I52" s="186">
        <v>419</v>
      </c>
      <c r="J52" s="186">
        <v>617.5</v>
      </c>
      <c r="K52" s="186">
        <v>450.3</v>
      </c>
      <c r="L52" s="186"/>
      <c r="M52" s="186"/>
      <c r="N52" s="186"/>
      <c r="O52" s="186"/>
      <c r="P52" s="396"/>
    </row>
    <row r="53" spans="1:16" ht="13.5" customHeight="1">
      <c r="A53" s="180" t="s">
        <v>250</v>
      </c>
      <c r="B53" s="181">
        <v>2020</v>
      </c>
      <c r="C53" s="422">
        <v>56192.25</v>
      </c>
      <c r="D53" s="186">
        <v>1857.25</v>
      </c>
      <c r="E53" s="186">
        <v>1475</v>
      </c>
      <c r="F53" s="186">
        <v>2344</v>
      </c>
      <c r="G53" s="186">
        <v>3419.25</v>
      </c>
      <c r="H53" s="186">
        <v>9253.5</v>
      </c>
      <c r="I53" s="186">
        <v>12841.75</v>
      </c>
      <c r="J53" s="186">
        <v>12325.75</v>
      </c>
      <c r="K53" s="186">
        <v>12675.75</v>
      </c>
      <c r="L53" s="186">
        <v>6268.1</v>
      </c>
      <c r="M53" s="186">
        <v>3356</v>
      </c>
      <c r="N53" s="186">
        <v>1691.5</v>
      </c>
      <c r="O53" s="186">
        <v>970</v>
      </c>
      <c r="P53" s="396">
        <v>68477.850000000006</v>
      </c>
    </row>
    <row r="54" spans="1:16" ht="13.5" customHeight="1">
      <c r="A54" s="22"/>
      <c r="B54" s="181">
        <v>2021</v>
      </c>
      <c r="C54" s="422">
        <v>53611.75</v>
      </c>
      <c r="D54" s="186">
        <v>1881</v>
      </c>
      <c r="E54" s="186">
        <v>2100.5</v>
      </c>
      <c r="F54" s="186">
        <v>2758.5</v>
      </c>
      <c r="G54" s="186">
        <v>4946</v>
      </c>
      <c r="H54" s="186">
        <v>7580.25</v>
      </c>
      <c r="I54" s="186">
        <v>13518</v>
      </c>
      <c r="J54" s="186">
        <v>11706</v>
      </c>
      <c r="K54" s="186">
        <v>9121.5</v>
      </c>
      <c r="L54" s="186"/>
      <c r="M54" s="186"/>
      <c r="N54" s="186"/>
      <c r="O54" s="186"/>
      <c r="P54" s="396"/>
    </row>
    <row r="55" spans="1:16" ht="13.5" customHeight="1">
      <c r="A55" s="180" t="s">
        <v>120</v>
      </c>
      <c r="B55" s="181">
        <v>2020</v>
      </c>
      <c r="C55" s="422">
        <v>455</v>
      </c>
      <c r="D55" s="186">
        <v>46</v>
      </c>
      <c r="E55" s="186">
        <v>91</v>
      </c>
      <c r="F55" s="186">
        <v>14</v>
      </c>
      <c r="G55" s="186">
        <v>36</v>
      </c>
      <c r="H55" s="186">
        <v>8</v>
      </c>
      <c r="I55" s="186">
        <v>0</v>
      </c>
      <c r="J55" s="186">
        <v>53</v>
      </c>
      <c r="K55" s="186">
        <v>207</v>
      </c>
      <c r="L55" s="186">
        <v>453</v>
      </c>
      <c r="M55" s="186">
        <v>2925.5</v>
      </c>
      <c r="N55" s="186">
        <v>2081.5</v>
      </c>
      <c r="O55" s="186">
        <v>220.5</v>
      </c>
      <c r="P55" s="396">
        <v>6135.5</v>
      </c>
    </row>
    <row r="56" spans="1:16" ht="13.5" customHeight="1">
      <c r="A56" s="22"/>
      <c r="B56" s="181">
        <v>2021</v>
      </c>
      <c r="C56" s="422">
        <v>539.5</v>
      </c>
      <c r="D56" s="186">
        <v>127</v>
      </c>
      <c r="E56" s="186">
        <v>44</v>
      </c>
      <c r="F56" s="186">
        <v>41.5</v>
      </c>
      <c r="G56" s="186">
        <v>19.5</v>
      </c>
      <c r="H56" s="186">
        <v>5</v>
      </c>
      <c r="I56" s="186">
        <v>7</v>
      </c>
      <c r="J56" s="186">
        <v>122.5</v>
      </c>
      <c r="K56" s="186">
        <v>173</v>
      </c>
      <c r="L56" s="186"/>
      <c r="M56" s="186"/>
      <c r="N56" s="186"/>
      <c r="O56" s="186"/>
      <c r="P56" s="396"/>
    </row>
    <row r="57" spans="1:16" ht="13.5" customHeight="1">
      <c r="A57" s="180" t="s">
        <v>260</v>
      </c>
      <c r="B57" s="181">
        <v>2020</v>
      </c>
      <c r="C57" s="422">
        <v>53749.95</v>
      </c>
      <c r="D57" s="186">
        <v>1</v>
      </c>
      <c r="E57" s="186">
        <v>0</v>
      </c>
      <c r="F57" s="186">
        <v>146</v>
      </c>
      <c r="G57" s="186">
        <v>9434.5</v>
      </c>
      <c r="H57" s="186">
        <v>13030.5</v>
      </c>
      <c r="I57" s="186">
        <v>17462.2</v>
      </c>
      <c r="J57" s="186">
        <v>10364</v>
      </c>
      <c r="K57" s="186">
        <v>3311.75</v>
      </c>
      <c r="L57" s="186">
        <v>372</v>
      </c>
      <c r="M57" s="186">
        <v>34</v>
      </c>
      <c r="N57" s="186">
        <v>32</v>
      </c>
      <c r="O57" s="186">
        <v>27</v>
      </c>
      <c r="P57" s="396">
        <v>54214.95</v>
      </c>
    </row>
    <row r="58" spans="1:16" ht="13.5" customHeight="1">
      <c r="A58" s="22"/>
      <c r="B58" s="181">
        <v>2021</v>
      </c>
      <c r="C58" s="422">
        <v>51498.8</v>
      </c>
      <c r="D58" s="186">
        <v>48</v>
      </c>
      <c r="E58" s="186">
        <v>46</v>
      </c>
      <c r="F58" s="186">
        <v>128</v>
      </c>
      <c r="G58" s="186">
        <v>9563</v>
      </c>
      <c r="H58" s="186">
        <v>8575.5</v>
      </c>
      <c r="I58" s="186">
        <v>16151.75</v>
      </c>
      <c r="J58" s="186">
        <v>12840.05</v>
      </c>
      <c r="K58" s="186">
        <v>4146.5</v>
      </c>
      <c r="L58" s="186"/>
      <c r="M58" s="186"/>
      <c r="N58" s="186"/>
      <c r="O58" s="186"/>
      <c r="P58" s="396"/>
    </row>
    <row r="59" spans="1:16" ht="13.5" customHeight="1">
      <c r="A59" s="180" t="s">
        <v>261</v>
      </c>
      <c r="B59" s="181">
        <v>2020</v>
      </c>
      <c r="C59" s="422">
        <v>33323.5</v>
      </c>
      <c r="D59" s="186">
        <v>1.5</v>
      </c>
      <c r="E59" s="186">
        <v>23</v>
      </c>
      <c r="F59" s="186">
        <v>193</v>
      </c>
      <c r="G59" s="186">
        <v>1580</v>
      </c>
      <c r="H59" s="186">
        <v>4974.5</v>
      </c>
      <c r="I59" s="186">
        <v>8338</v>
      </c>
      <c r="J59" s="186">
        <v>8956.5</v>
      </c>
      <c r="K59" s="186">
        <v>9257</v>
      </c>
      <c r="L59" s="186">
        <v>4538</v>
      </c>
      <c r="M59" s="186">
        <v>3071.5</v>
      </c>
      <c r="N59" s="186">
        <v>1512.25</v>
      </c>
      <c r="O59" s="186">
        <v>47</v>
      </c>
      <c r="P59" s="396">
        <v>42492.25</v>
      </c>
    </row>
    <row r="60" spans="1:16" ht="13.5" customHeight="1">
      <c r="A60" s="22"/>
      <c r="B60" s="181">
        <v>2021</v>
      </c>
      <c r="C60" s="422">
        <v>31020.75</v>
      </c>
      <c r="D60" s="186">
        <v>25</v>
      </c>
      <c r="E60" s="186">
        <v>458</v>
      </c>
      <c r="F60" s="186">
        <v>112</v>
      </c>
      <c r="G60" s="186">
        <v>1402</v>
      </c>
      <c r="H60" s="186">
        <v>3949.5</v>
      </c>
      <c r="I60" s="186">
        <v>8034.5</v>
      </c>
      <c r="J60" s="186">
        <v>9056.75</v>
      </c>
      <c r="K60" s="186">
        <v>7983</v>
      </c>
      <c r="L60" s="186"/>
      <c r="M60" s="186"/>
      <c r="N60" s="186"/>
      <c r="O60" s="186"/>
      <c r="P60" s="396"/>
    </row>
    <row r="61" spans="1:16" ht="13.5" customHeight="1">
      <c r="A61" s="180" t="s">
        <v>85</v>
      </c>
      <c r="B61" s="181">
        <v>2020</v>
      </c>
      <c r="C61" s="422">
        <v>51103.327821882922</v>
      </c>
      <c r="D61" s="186">
        <v>7522.045041947089</v>
      </c>
      <c r="E61" s="186">
        <v>6328.83</v>
      </c>
      <c r="F61" s="186">
        <v>5274.4187799358288</v>
      </c>
      <c r="G61" s="186">
        <v>5478.7800000000007</v>
      </c>
      <c r="H61" s="186">
        <v>6868.0199999999995</v>
      </c>
      <c r="I61" s="186">
        <v>6744.3950000000004</v>
      </c>
      <c r="J61" s="186">
        <v>6305.3190000000004</v>
      </c>
      <c r="K61" s="186">
        <v>6581.52</v>
      </c>
      <c r="L61" s="186">
        <v>7339.58</v>
      </c>
      <c r="M61" s="186">
        <v>8777.6990987676436</v>
      </c>
      <c r="N61" s="186">
        <v>8515.6170000000002</v>
      </c>
      <c r="O61" s="186">
        <v>8853.4399999999987</v>
      </c>
      <c r="P61" s="396">
        <v>84589.663920650564</v>
      </c>
    </row>
    <row r="62" spans="1:16" ht="13.5" customHeight="1">
      <c r="A62" s="180" t="s">
        <v>56</v>
      </c>
      <c r="B62" s="181">
        <v>2021</v>
      </c>
      <c r="C62" s="422">
        <v>50416.754054697944</v>
      </c>
      <c r="D62" s="186">
        <v>6917.61</v>
      </c>
      <c r="E62" s="186">
        <v>7838.2300000000005</v>
      </c>
      <c r="F62" s="186">
        <v>5716.8799999999992</v>
      </c>
      <c r="G62" s="186">
        <v>4588.6900000000005</v>
      </c>
      <c r="H62" s="186">
        <v>5596.0163834124623</v>
      </c>
      <c r="I62" s="186">
        <v>5829.84</v>
      </c>
      <c r="J62" s="186">
        <v>6689.897671285481</v>
      </c>
      <c r="K62" s="186">
        <v>7239.59</v>
      </c>
      <c r="L62" s="186"/>
      <c r="M62" s="186"/>
      <c r="N62" s="186"/>
      <c r="O62" s="186"/>
      <c r="P62" s="396"/>
    </row>
    <row r="63" spans="1:16" ht="13.5" customHeight="1">
      <c r="A63" s="180" t="s">
        <v>47</v>
      </c>
      <c r="B63" s="181">
        <v>2020</v>
      </c>
      <c r="C63" s="422">
        <v>23866.5</v>
      </c>
      <c r="D63" s="186">
        <v>2761</v>
      </c>
      <c r="E63" s="186">
        <v>2899</v>
      </c>
      <c r="F63" s="186">
        <v>3044</v>
      </c>
      <c r="G63" s="186">
        <v>3025</v>
      </c>
      <c r="H63" s="186">
        <v>3153</v>
      </c>
      <c r="I63" s="186">
        <v>2818</v>
      </c>
      <c r="J63" s="186">
        <v>2844.5</v>
      </c>
      <c r="K63" s="186">
        <v>3322</v>
      </c>
      <c r="L63" s="186">
        <v>3021.5</v>
      </c>
      <c r="M63" s="186">
        <v>3022</v>
      </c>
      <c r="N63" s="186">
        <v>2956.5</v>
      </c>
      <c r="O63" s="186">
        <v>2856.5</v>
      </c>
      <c r="P63" s="396">
        <v>35723</v>
      </c>
    </row>
    <row r="64" spans="1:16" ht="13.5" customHeight="1">
      <c r="A64" s="22"/>
      <c r="B64" s="181">
        <v>2021</v>
      </c>
      <c r="C64" s="422">
        <v>25451.5</v>
      </c>
      <c r="D64" s="186">
        <v>3293.5</v>
      </c>
      <c r="E64" s="186">
        <v>3046</v>
      </c>
      <c r="F64" s="186">
        <v>3022.5</v>
      </c>
      <c r="G64" s="186">
        <v>3092</v>
      </c>
      <c r="H64" s="186">
        <v>3431.5</v>
      </c>
      <c r="I64" s="186">
        <v>3080.5</v>
      </c>
      <c r="J64" s="186">
        <v>3238</v>
      </c>
      <c r="K64" s="186">
        <v>3247.5</v>
      </c>
      <c r="L64" s="186"/>
      <c r="M64" s="186"/>
      <c r="N64" s="186"/>
      <c r="O64" s="186"/>
      <c r="P64" s="396"/>
    </row>
    <row r="65" spans="1:16" ht="13.5" customHeight="1">
      <c r="A65" s="180" t="s">
        <v>48</v>
      </c>
      <c r="B65" s="181">
        <v>2020</v>
      </c>
      <c r="C65" s="422">
        <v>18775.5</v>
      </c>
      <c r="D65" s="186">
        <v>110</v>
      </c>
      <c r="E65" s="186">
        <v>250.5</v>
      </c>
      <c r="F65" s="186">
        <v>711</v>
      </c>
      <c r="G65" s="186">
        <v>9272.5</v>
      </c>
      <c r="H65" s="186">
        <v>7733.5</v>
      </c>
      <c r="I65" s="186">
        <v>360</v>
      </c>
      <c r="J65" s="186">
        <v>192</v>
      </c>
      <c r="K65" s="186">
        <v>146</v>
      </c>
      <c r="L65" s="186">
        <v>113</v>
      </c>
      <c r="M65" s="186">
        <v>75</v>
      </c>
      <c r="N65" s="186">
        <v>102</v>
      </c>
      <c r="O65" s="186">
        <v>99</v>
      </c>
      <c r="P65" s="396">
        <v>19164.5</v>
      </c>
    </row>
    <row r="66" spans="1:16" ht="13.5" customHeight="1">
      <c r="A66" s="22"/>
      <c r="B66" s="181">
        <v>2021</v>
      </c>
      <c r="C66" s="422">
        <v>17751</v>
      </c>
      <c r="D66" s="186">
        <v>121</v>
      </c>
      <c r="E66" s="186">
        <v>240</v>
      </c>
      <c r="F66" s="186">
        <v>668</v>
      </c>
      <c r="G66" s="186">
        <v>8510.5</v>
      </c>
      <c r="H66" s="186">
        <v>7135.5</v>
      </c>
      <c r="I66" s="186">
        <v>573</v>
      </c>
      <c r="J66" s="186">
        <v>351</v>
      </c>
      <c r="K66" s="186">
        <v>152</v>
      </c>
      <c r="L66" s="186"/>
      <c r="M66" s="186"/>
      <c r="N66" s="186"/>
      <c r="O66" s="186"/>
      <c r="P66" s="396"/>
    </row>
    <row r="67" spans="1:16" ht="13.5" customHeight="1">
      <c r="A67" s="180" t="s">
        <v>49</v>
      </c>
      <c r="B67" s="181">
        <v>2020</v>
      </c>
      <c r="C67" s="422">
        <v>105364.51</v>
      </c>
      <c r="D67" s="297">
        <v>128.5</v>
      </c>
      <c r="E67" s="297">
        <v>478.5</v>
      </c>
      <c r="F67" s="297">
        <v>2916</v>
      </c>
      <c r="G67" s="297">
        <v>51178.5</v>
      </c>
      <c r="H67" s="297">
        <v>42453.5</v>
      </c>
      <c r="I67" s="297">
        <v>6330.51</v>
      </c>
      <c r="J67" s="297">
        <v>1219.5</v>
      </c>
      <c r="K67" s="297">
        <v>659.5</v>
      </c>
      <c r="L67" s="297">
        <v>249.5</v>
      </c>
      <c r="M67" s="297">
        <v>103.5</v>
      </c>
      <c r="N67" s="297">
        <v>100.5</v>
      </c>
      <c r="O67" s="297">
        <v>91.5</v>
      </c>
      <c r="P67" s="396">
        <v>105909.51</v>
      </c>
    </row>
    <row r="68" spans="1:16" ht="13.5" customHeight="1">
      <c r="A68" s="75"/>
      <c r="B68" s="184">
        <v>2021</v>
      </c>
      <c r="C68" s="425">
        <v>111959</v>
      </c>
      <c r="D68" s="187">
        <v>112.5</v>
      </c>
      <c r="E68" s="187">
        <v>385.5</v>
      </c>
      <c r="F68" s="187">
        <v>1668</v>
      </c>
      <c r="G68" s="187">
        <v>42758.7</v>
      </c>
      <c r="H68" s="187">
        <v>50897.5</v>
      </c>
      <c r="I68" s="187">
        <v>13701</v>
      </c>
      <c r="J68" s="187">
        <v>2107.3000000000002</v>
      </c>
      <c r="K68" s="187">
        <v>328.5</v>
      </c>
      <c r="L68" s="187"/>
      <c r="M68" s="187"/>
      <c r="N68" s="187"/>
      <c r="O68" s="187"/>
      <c r="P68" s="431"/>
    </row>
    <row r="69" spans="1:16" ht="9" customHeight="1">
      <c r="A69" s="179" t="s">
        <v>94</v>
      </c>
      <c r="B69" s="189"/>
      <c r="C69" s="190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2"/>
    </row>
    <row r="70" spans="1:16" ht="9" customHeight="1">
      <c r="A70" s="179" t="s">
        <v>101</v>
      </c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</row>
    <row r="71" spans="1:16" ht="9" customHeight="1">
      <c r="A71" s="170" t="s">
        <v>355</v>
      </c>
      <c r="B71" s="170"/>
      <c r="C71" s="170"/>
      <c r="D71" s="170"/>
      <c r="E71" s="170"/>
      <c r="F71" s="170"/>
      <c r="G71" s="170"/>
      <c r="H71" s="179"/>
      <c r="I71" s="179"/>
      <c r="J71" s="179"/>
      <c r="K71" s="179"/>
      <c r="L71" s="179"/>
      <c r="M71" s="179"/>
      <c r="N71" s="179"/>
      <c r="O71" s="179"/>
      <c r="P71" s="179"/>
    </row>
    <row r="72" spans="1:16" ht="17.25" customHeight="1">
      <c r="A72" s="203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P64"/>
  <sheetViews>
    <sheetView showGridLines="0" topLeftCell="AV1" zoomScale="145" zoomScaleNormal="145" workbookViewId="0">
      <selection activeCell="BL65" sqref="BL65"/>
    </sheetView>
  </sheetViews>
  <sheetFormatPr baseColWidth="10" defaultColWidth="10.7109375" defaultRowHeight="17.25" customHeight="1"/>
  <cols>
    <col min="1" max="1" width="9.42578125" style="204" customWidth="1"/>
    <col min="2" max="2" width="6" style="204" customWidth="1"/>
    <col min="3" max="3" width="5.5703125" style="204" bestFit="1" customWidth="1"/>
    <col min="4" max="4" width="6.85546875" style="204" customWidth="1"/>
    <col min="5" max="5" width="6.140625" style="204" customWidth="1"/>
    <col min="6" max="6" width="6.7109375" style="204" customWidth="1"/>
    <col min="7" max="8" width="6.140625" style="204" customWidth="1"/>
    <col min="9" max="9" width="7.42578125" style="204" customWidth="1"/>
    <col min="10" max="10" width="7.5703125" style="204" customWidth="1"/>
    <col min="11" max="12" width="6.140625" style="204" customWidth="1"/>
    <col min="13" max="13" width="7.28515625" style="204" customWidth="1"/>
    <col min="14" max="14" width="9.42578125" style="204" customWidth="1"/>
    <col min="15" max="15" width="5.140625" style="204" customWidth="1"/>
    <col min="16" max="16" width="6.28515625" style="204" customWidth="1"/>
    <col min="17" max="18" width="6.7109375" style="204" customWidth="1"/>
    <col min="19" max="19" width="8" style="204" customWidth="1"/>
    <col min="20" max="20" width="6.28515625" style="204" customWidth="1"/>
    <col min="21" max="21" width="6.140625" style="204" customWidth="1"/>
    <col min="22" max="23" width="6.28515625" style="204" customWidth="1"/>
    <col min="24" max="24" width="6.7109375" style="204" customWidth="1"/>
    <col min="25" max="25" width="6.5703125" style="204" customWidth="1"/>
    <col min="26" max="26" width="6.42578125" style="204" bestFit="1" customWidth="1"/>
    <col min="27" max="27" width="9.85546875" style="204" customWidth="1"/>
    <col min="28" max="28" width="5.140625" style="204" customWidth="1"/>
    <col min="29" max="29" width="6.7109375" style="204" customWidth="1"/>
    <col min="30" max="30" width="6.85546875" style="204" customWidth="1"/>
    <col min="31" max="31" width="7" style="204" customWidth="1"/>
    <col min="32" max="32" width="6.7109375" style="204" customWidth="1"/>
    <col min="33" max="33" width="7" style="204" customWidth="1"/>
    <col min="34" max="34" width="7.42578125" style="204" customWidth="1"/>
    <col min="35" max="36" width="7.140625" style="204" customWidth="1"/>
    <col min="37" max="37" width="7" style="204" customWidth="1"/>
    <col min="38" max="38" width="7.140625" style="204" customWidth="1"/>
    <col min="39" max="39" width="10" style="204" customWidth="1"/>
    <col min="40" max="40" width="4.7109375" style="204" customWidth="1"/>
    <col min="41" max="41" width="6.42578125" style="204" bestFit="1" customWidth="1"/>
    <col min="42" max="42" width="6.28515625" style="204" customWidth="1"/>
    <col min="43" max="44" width="6.85546875" style="204" customWidth="1"/>
    <col min="45" max="45" width="6.42578125" style="204" customWidth="1"/>
    <col min="46" max="46" width="6.5703125" style="204" customWidth="1"/>
    <col min="47" max="47" width="6.140625" style="204" customWidth="1"/>
    <col min="48" max="48" width="7.28515625" style="204" customWidth="1"/>
    <col min="49" max="49" width="6.42578125" style="204" bestFit="1" customWidth="1"/>
    <col min="50" max="50" width="6" style="204" customWidth="1"/>
    <col min="51" max="51" width="6.7109375" style="204" customWidth="1"/>
    <col min="52" max="52" width="9.85546875" style="204" customWidth="1"/>
    <col min="53" max="53" width="5.140625" style="204" customWidth="1"/>
    <col min="54" max="54" width="7.140625" style="204" customWidth="1"/>
    <col min="55" max="55" width="5.140625" style="204" customWidth="1"/>
    <col min="56" max="56" width="5.28515625" style="204" customWidth="1"/>
    <col min="57" max="57" width="8.7109375" style="204" customWidth="1"/>
    <col min="58" max="58" width="8.140625" style="204" customWidth="1"/>
    <col min="59" max="59" width="7.140625" style="204" customWidth="1"/>
    <col min="60" max="61" width="6.7109375" style="204" customWidth="1"/>
    <col min="62" max="63" width="6" style="204" customWidth="1"/>
    <col min="64" max="64" width="7.28515625" style="204" customWidth="1"/>
    <col min="65" max="65" width="6.28515625" style="204" customWidth="1"/>
    <col min="66" max="16384" width="10.7109375" style="204"/>
  </cols>
  <sheetData>
    <row r="1" spans="1:66" ht="16.5" customHeight="1">
      <c r="A1" s="220" t="s">
        <v>508</v>
      </c>
      <c r="B1" s="218"/>
      <c r="C1" s="218"/>
      <c r="D1" s="218"/>
      <c r="E1" s="24"/>
    </row>
    <row r="2" spans="1:66" ht="13.5">
      <c r="A2" s="15" t="s">
        <v>430</v>
      </c>
      <c r="B2" s="24"/>
      <c r="C2" s="24"/>
      <c r="D2" s="24"/>
      <c r="E2" s="24"/>
      <c r="N2" s="74" t="s">
        <v>313</v>
      </c>
      <c r="AA2" s="74" t="s">
        <v>313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74" t="s">
        <v>313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74" t="s">
        <v>313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22"/>
    </row>
    <row r="3" spans="1:66" ht="3.95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22"/>
    </row>
    <row r="4" spans="1:66" ht="23.25" customHeight="1">
      <c r="A4" s="427" t="s">
        <v>50</v>
      </c>
      <c r="B4" s="427" t="s">
        <v>124</v>
      </c>
      <c r="C4" s="427" t="s">
        <v>253</v>
      </c>
      <c r="D4" s="427" t="s">
        <v>72</v>
      </c>
      <c r="E4" s="427" t="s">
        <v>236</v>
      </c>
      <c r="F4" s="427" t="s">
        <v>277</v>
      </c>
      <c r="G4" s="427" t="s">
        <v>237</v>
      </c>
      <c r="H4" s="427" t="s">
        <v>62</v>
      </c>
      <c r="I4" s="427" t="s">
        <v>279</v>
      </c>
      <c r="J4" s="427" t="s">
        <v>288</v>
      </c>
      <c r="K4" s="427" t="s">
        <v>211</v>
      </c>
      <c r="L4" s="427" t="s">
        <v>265</v>
      </c>
      <c r="M4" s="427" t="s">
        <v>212</v>
      </c>
      <c r="N4" s="427" t="s">
        <v>50</v>
      </c>
      <c r="O4" s="427" t="s">
        <v>124</v>
      </c>
      <c r="P4" s="427" t="s">
        <v>147</v>
      </c>
      <c r="Q4" s="427" t="s">
        <v>263</v>
      </c>
      <c r="R4" s="427" t="s">
        <v>86</v>
      </c>
      <c r="S4" s="427" t="s">
        <v>262</v>
      </c>
      <c r="T4" s="427" t="s">
        <v>259</v>
      </c>
      <c r="U4" s="427" t="s">
        <v>285</v>
      </c>
      <c r="V4" s="427" t="s">
        <v>249</v>
      </c>
      <c r="W4" s="427" t="s">
        <v>255</v>
      </c>
      <c r="X4" s="427" t="s">
        <v>281</v>
      </c>
      <c r="Y4" s="427" t="s">
        <v>251</v>
      </c>
      <c r="Z4" s="427" t="s">
        <v>61</v>
      </c>
      <c r="AA4" s="427" t="s">
        <v>50</v>
      </c>
      <c r="AB4" s="427" t="s">
        <v>124</v>
      </c>
      <c r="AC4" s="427" t="s">
        <v>203</v>
      </c>
      <c r="AD4" s="427" t="s">
        <v>121</v>
      </c>
      <c r="AE4" s="427" t="s">
        <v>420</v>
      </c>
      <c r="AF4" s="427" t="s">
        <v>254</v>
      </c>
      <c r="AG4" s="427" t="s">
        <v>146</v>
      </c>
      <c r="AH4" s="427" t="s">
        <v>119</v>
      </c>
      <c r="AI4" s="427" t="s">
        <v>287</v>
      </c>
      <c r="AJ4" s="427" t="s">
        <v>258</v>
      </c>
      <c r="AK4" s="427" t="s">
        <v>87</v>
      </c>
      <c r="AL4" s="427" t="s">
        <v>63</v>
      </c>
      <c r="AM4" s="427" t="s">
        <v>50</v>
      </c>
      <c r="AN4" s="427" t="s">
        <v>124</v>
      </c>
      <c r="AO4" s="427" t="s">
        <v>148</v>
      </c>
      <c r="AP4" s="427" t="s">
        <v>298</v>
      </c>
      <c r="AQ4" s="427" t="s">
        <v>278</v>
      </c>
      <c r="AR4" s="427" t="s">
        <v>284</v>
      </c>
      <c r="AS4" s="427" t="s">
        <v>202</v>
      </c>
      <c r="AT4" s="427" t="s">
        <v>264</v>
      </c>
      <c r="AU4" s="427" t="s">
        <v>297</v>
      </c>
      <c r="AV4" s="427" t="s">
        <v>84</v>
      </c>
      <c r="AW4" s="427" t="s">
        <v>252</v>
      </c>
      <c r="AX4" s="427" t="s">
        <v>46</v>
      </c>
      <c r="AY4" s="427" t="s">
        <v>4</v>
      </c>
      <c r="AZ4" s="427" t="s">
        <v>50</v>
      </c>
      <c r="BA4" s="427" t="s">
        <v>124</v>
      </c>
      <c r="BB4" s="427" t="s">
        <v>120</v>
      </c>
      <c r="BC4" s="427" t="s">
        <v>89</v>
      </c>
      <c r="BD4" s="427" t="s">
        <v>238</v>
      </c>
      <c r="BE4" s="427" t="s">
        <v>85</v>
      </c>
      <c r="BF4" s="427" t="s">
        <v>280</v>
      </c>
      <c r="BG4" s="427" t="s">
        <v>415</v>
      </c>
      <c r="BH4" s="427" t="s">
        <v>48</v>
      </c>
      <c r="BI4" s="427" t="s">
        <v>49</v>
      </c>
      <c r="BJ4" s="427" t="s">
        <v>282</v>
      </c>
      <c r="BK4" s="427" t="s">
        <v>91</v>
      </c>
      <c r="BL4" s="427" t="s">
        <v>168</v>
      </c>
    </row>
    <row r="5" spans="1:66" ht="11.25" customHeight="1">
      <c r="A5" s="540" t="s">
        <v>303</v>
      </c>
      <c r="B5" s="428" t="s">
        <v>440</v>
      </c>
      <c r="C5" s="410">
        <v>163728.59399999998</v>
      </c>
      <c r="D5" s="410">
        <v>789668.43200000003</v>
      </c>
      <c r="E5" s="410">
        <v>314545.90000000002</v>
      </c>
      <c r="F5" s="410">
        <v>2724072.9570000004</v>
      </c>
      <c r="G5" s="410">
        <v>196297.61999999997</v>
      </c>
      <c r="H5" s="410">
        <v>94396.714999999997</v>
      </c>
      <c r="I5" s="410">
        <v>239467.95899999997</v>
      </c>
      <c r="J5" s="410">
        <v>26727.46</v>
      </c>
      <c r="K5" s="410">
        <v>32827.803000000007</v>
      </c>
      <c r="L5" s="410">
        <v>11420</v>
      </c>
      <c r="M5" s="410">
        <v>26216.69</v>
      </c>
      <c r="N5" s="540" t="s">
        <v>424</v>
      </c>
      <c r="O5" s="428" t="s">
        <v>440</v>
      </c>
      <c r="P5" s="410">
        <v>120770.32</v>
      </c>
      <c r="Q5" s="410">
        <v>127698.56299999999</v>
      </c>
      <c r="R5" s="410">
        <v>105810.77599999997</v>
      </c>
      <c r="S5" s="410">
        <v>130474.995</v>
      </c>
      <c r="T5" s="410">
        <v>25412.022999999994</v>
      </c>
      <c r="U5" s="410">
        <v>382416.46300000005</v>
      </c>
      <c r="V5" s="410">
        <v>313016.86100000003</v>
      </c>
      <c r="W5" s="410">
        <v>584500.31099999999</v>
      </c>
      <c r="X5" s="410">
        <v>1524464.3699999999</v>
      </c>
      <c r="Y5" s="410">
        <v>386389.23900000006</v>
      </c>
      <c r="Z5" s="410">
        <v>122480.962</v>
      </c>
      <c r="AA5" s="540" t="s">
        <v>424</v>
      </c>
      <c r="AB5" s="428" t="s">
        <v>344</v>
      </c>
      <c r="AC5" s="410">
        <v>369685.92999999993</v>
      </c>
      <c r="AD5" s="410">
        <v>34570.769</v>
      </c>
      <c r="AE5" s="410">
        <v>211308.83499999999</v>
      </c>
      <c r="AF5" s="410">
        <v>410993.48799999995</v>
      </c>
      <c r="AG5" s="410">
        <v>411190.78600000002</v>
      </c>
      <c r="AH5" s="410">
        <v>74445.898000000001</v>
      </c>
      <c r="AI5" s="410">
        <v>363121.01300000004</v>
      </c>
      <c r="AJ5" s="410">
        <v>104037.80500000001</v>
      </c>
      <c r="AK5" s="410">
        <v>29827.142</v>
      </c>
      <c r="AL5" s="410">
        <v>60309.093999999997</v>
      </c>
      <c r="AM5" s="540" t="s">
        <v>424</v>
      </c>
      <c r="AN5" s="428" t="s">
        <v>344</v>
      </c>
      <c r="AO5" s="410">
        <v>174100.12</v>
      </c>
      <c r="AP5" s="410">
        <v>556226.03499999992</v>
      </c>
      <c r="AQ5" s="410">
        <v>4464099.023</v>
      </c>
      <c r="AR5" s="410">
        <v>870528.35699999996</v>
      </c>
      <c r="AS5" s="410">
        <v>163127.22400000002</v>
      </c>
      <c r="AT5" s="410">
        <v>98204.84</v>
      </c>
      <c r="AU5" s="410">
        <v>176091.24</v>
      </c>
      <c r="AV5" s="410">
        <v>362052.48499999999</v>
      </c>
      <c r="AW5" s="410">
        <v>117848.20200000002</v>
      </c>
      <c r="AX5" s="410">
        <v>28386.05</v>
      </c>
      <c r="AY5" s="410">
        <v>70750.437000000005</v>
      </c>
      <c r="AZ5" s="540" t="s">
        <v>424</v>
      </c>
      <c r="BA5" s="428" t="s">
        <v>344</v>
      </c>
      <c r="BB5" s="410">
        <v>588.04</v>
      </c>
      <c r="BC5" s="410">
        <v>82050.112999999998</v>
      </c>
      <c r="BD5" s="410">
        <v>39639.868000000002</v>
      </c>
      <c r="BE5" s="410">
        <v>6478878.9659999991</v>
      </c>
      <c r="BF5" s="410">
        <v>5262252.0660000006</v>
      </c>
      <c r="BG5" s="410">
        <v>1217845.986</v>
      </c>
      <c r="BH5" s="410">
        <v>414551.34900000005</v>
      </c>
      <c r="BI5" s="410">
        <v>2741355.2990000001</v>
      </c>
      <c r="BJ5" s="410">
        <v>16500.258999999998</v>
      </c>
      <c r="BK5" s="410">
        <v>7278.7790000000005</v>
      </c>
      <c r="BL5" s="410">
        <v>38530.138999999996</v>
      </c>
    </row>
    <row r="6" spans="1:66" ht="11.25" customHeight="1">
      <c r="A6" s="541"/>
      <c r="B6" s="429" t="s">
        <v>441</v>
      </c>
      <c r="C6" s="411">
        <v>168034.18799999999</v>
      </c>
      <c r="D6" s="411">
        <v>898714.93599999999</v>
      </c>
      <c r="E6" s="411">
        <v>303347.402</v>
      </c>
      <c r="F6" s="411">
        <v>2699913.7570000002</v>
      </c>
      <c r="G6" s="411">
        <v>209392.264</v>
      </c>
      <c r="H6" s="411">
        <v>100745.63699999999</v>
      </c>
      <c r="I6" s="411">
        <v>224459.19</v>
      </c>
      <c r="J6" s="411">
        <v>35371.661999999997</v>
      </c>
      <c r="K6" s="411">
        <v>36902.245999999999</v>
      </c>
      <c r="L6" s="411">
        <v>13808.68</v>
      </c>
      <c r="M6" s="411">
        <v>25183.449000000001</v>
      </c>
      <c r="N6" s="542"/>
      <c r="O6" s="429" t="s">
        <v>441</v>
      </c>
      <c r="P6" s="411">
        <v>145359.18099999998</v>
      </c>
      <c r="Q6" s="411">
        <v>153685.15700000001</v>
      </c>
      <c r="R6" s="411">
        <v>105712.06100000002</v>
      </c>
      <c r="S6" s="411">
        <v>128395.10399999998</v>
      </c>
      <c r="T6" s="411">
        <v>30501.775000000001</v>
      </c>
      <c r="U6" s="411">
        <v>422456.35600000009</v>
      </c>
      <c r="V6" s="411">
        <v>317361.07699999999</v>
      </c>
      <c r="W6" s="411">
        <v>649995.84499999997</v>
      </c>
      <c r="X6" s="411">
        <v>1516157.1319999998</v>
      </c>
      <c r="Y6" s="411">
        <v>353010.18399999995</v>
      </c>
      <c r="Z6" s="411">
        <v>127961.755</v>
      </c>
      <c r="AA6" s="542"/>
      <c r="AB6" s="429" t="s">
        <v>350</v>
      </c>
      <c r="AC6" s="411">
        <v>373842.87999999995</v>
      </c>
      <c r="AD6" s="411">
        <v>39791.132000000005</v>
      </c>
      <c r="AE6" s="411">
        <v>226203.81399999995</v>
      </c>
      <c r="AF6" s="411">
        <v>418893.82899999997</v>
      </c>
      <c r="AG6" s="411">
        <v>451779.65399999992</v>
      </c>
      <c r="AH6" s="411">
        <v>74201.479000000007</v>
      </c>
      <c r="AI6" s="411">
        <v>425059.44799999997</v>
      </c>
      <c r="AJ6" s="411">
        <v>106742.16499999998</v>
      </c>
      <c r="AK6" s="411">
        <v>30482.429</v>
      </c>
      <c r="AL6" s="411">
        <v>49435.142000000007</v>
      </c>
      <c r="AM6" s="542"/>
      <c r="AN6" s="429" t="s">
        <v>350</v>
      </c>
      <c r="AO6" s="411">
        <v>135907.32699999999</v>
      </c>
      <c r="AP6" s="411">
        <v>682069.01900000009</v>
      </c>
      <c r="AQ6" s="411">
        <v>4639127.7629999993</v>
      </c>
      <c r="AR6" s="411">
        <v>829982.98900000006</v>
      </c>
      <c r="AS6" s="411">
        <v>119335.03599999999</v>
      </c>
      <c r="AT6" s="411">
        <v>100738.26700000001</v>
      </c>
      <c r="AU6" s="411">
        <v>182495.81699999998</v>
      </c>
      <c r="AV6" s="411">
        <v>364239.77000000008</v>
      </c>
      <c r="AW6" s="411">
        <v>114639.34799999998</v>
      </c>
      <c r="AX6" s="411">
        <v>25094.957000000002</v>
      </c>
      <c r="AY6" s="411">
        <v>70879.108000000007</v>
      </c>
      <c r="AZ6" s="542"/>
      <c r="BA6" s="429" t="s">
        <v>350</v>
      </c>
      <c r="BB6" s="411">
        <v>642.22399999999993</v>
      </c>
      <c r="BC6" s="411">
        <v>84825.525999999983</v>
      </c>
      <c r="BD6" s="411">
        <v>41592.328999999998</v>
      </c>
      <c r="BE6" s="411">
        <v>6021413.4652284877</v>
      </c>
      <c r="BF6" s="411">
        <v>5285542.801</v>
      </c>
      <c r="BG6" s="411">
        <v>1318480.037</v>
      </c>
      <c r="BH6" s="411">
        <v>379120.467</v>
      </c>
      <c r="BI6" s="411">
        <v>3075194.2</v>
      </c>
      <c r="BJ6" s="411">
        <v>10222.937</v>
      </c>
      <c r="BK6" s="411">
        <v>7149.2389999999996</v>
      </c>
      <c r="BL6" s="411">
        <v>47981.839</v>
      </c>
    </row>
    <row r="7" spans="1:66" ht="11.25" customHeight="1">
      <c r="A7" s="13" t="s">
        <v>24</v>
      </c>
      <c r="B7" s="199" t="s">
        <v>345</v>
      </c>
      <c r="C7" s="238">
        <v>141.26599999999996</v>
      </c>
      <c r="D7" s="238">
        <v>19897.344999999998</v>
      </c>
      <c r="E7" s="238">
        <v>6396.4719999999998</v>
      </c>
      <c r="F7" s="238">
        <v>312346.54999999993</v>
      </c>
      <c r="G7" s="238">
        <v>27.5</v>
      </c>
      <c r="H7" s="238">
        <v>0</v>
      </c>
      <c r="I7" s="238">
        <v>0</v>
      </c>
      <c r="J7" s="238">
        <v>0</v>
      </c>
      <c r="K7" s="238">
        <v>164.25</v>
      </c>
      <c r="L7" s="238">
        <v>0</v>
      </c>
      <c r="M7" s="238">
        <v>0</v>
      </c>
      <c r="N7" s="13" t="s">
        <v>24</v>
      </c>
      <c r="O7" s="199" t="s">
        <v>345</v>
      </c>
      <c r="P7" s="238">
        <v>702.55000000000007</v>
      </c>
      <c r="Q7" s="238">
        <v>885.19999999999993</v>
      </c>
      <c r="R7" s="238">
        <v>1176.8400000000001</v>
      </c>
      <c r="S7" s="238">
        <v>2387.7849999999999</v>
      </c>
      <c r="T7" s="238">
        <v>11.6</v>
      </c>
      <c r="U7" s="238">
        <v>7</v>
      </c>
      <c r="V7" s="238">
        <v>4866.7</v>
      </c>
      <c r="W7" s="238">
        <v>895.85799999999983</v>
      </c>
      <c r="X7" s="238">
        <v>75842.304999999993</v>
      </c>
      <c r="Y7" s="238">
        <v>2221.75</v>
      </c>
      <c r="Z7" s="238">
        <v>9985.6899999999987</v>
      </c>
      <c r="AA7" s="13" t="s">
        <v>24</v>
      </c>
      <c r="AB7" s="199" t="s">
        <v>345</v>
      </c>
      <c r="AC7" s="238">
        <v>13214.599999999997</v>
      </c>
      <c r="AD7" s="238">
        <v>812.77899999999977</v>
      </c>
      <c r="AE7" s="238">
        <v>4515.7219999999998</v>
      </c>
      <c r="AF7" s="238">
        <v>4486.9049999999997</v>
      </c>
      <c r="AG7" s="238">
        <v>0</v>
      </c>
      <c r="AH7" s="238">
        <v>0</v>
      </c>
      <c r="AI7" s="238">
        <v>0</v>
      </c>
      <c r="AJ7" s="238">
        <v>5</v>
      </c>
      <c r="AK7" s="238">
        <v>109.55699999999999</v>
      </c>
      <c r="AL7" s="238">
        <v>0</v>
      </c>
      <c r="AM7" s="13" t="s">
        <v>24</v>
      </c>
      <c r="AN7" s="199" t="s">
        <v>345</v>
      </c>
      <c r="AO7" s="238">
        <v>0</v>
      </c>
      <c r="AP7" s="238">
        <v>0</v>
      </c>
      <c r="AQ7" s="238">
        <v>49324.332999999999</v>
      </c>
      <c r="AR7" s="238">
        <v>143443.20499999999</v>
      </c>
      <c r="AS7" s="238">
        <v>178.5</v>
      </c>
      <c r="AT7" s="238">
        <v>300.5</v>
      </c>
      <c r="AU7" s="238">
        <v>1073.44</v>
      </c>
      <c r="AV7" s="238">
        <v>40928.103999999999</v>
      </c>
      <c r="AW7" s="238">
        <v>3528.3150000000001</v>
      </c>
      <c r="AX7" s="238">
        <v>0</v>
      </c>
      <c r="AY7" s="238">
        <v>6748.9299999999994</v>
      </c>
      <c r="AZ7" s="13" t="s">
        <v>24</v>
      </c>
      <c r="BA7" s="199" t="s">
        <v>345</v>
      </c>
      <c r="BB7" s="238">
        <v>0</v>
      </c>
      <c r="BC7" s="238">
        <v>89.49</v>
      </c>
      <c r="BD7" s="238">
        <v>102.96000000000001</v>
      </c>
      <c r="BE7" s="238">
        <v>0</v>
      </c>
      <c r="BF7" s="238">
        <v>8258.3919999999998</v>
      </c>
      <c r="BG7" s="238">
        <v>0</v>
      </c>
      <c r="BH7" s="238">
        <v>0</v>
      </c>
      <c r="BI7" s="238">
        <v>0</v>
      </c>
      <c r="BJ7" s="238">
        <v>0</v>
      </c>
      <c r="BK7" s="238">
        <v>0</v>
      </c>
      <c r="BL7" s="238">
        <v>0</v>
      </c>
      <c r="BN7" s="172"/>
    </row>
    <row r="8" spans="1:66" ht="11.25" customHeight="1">
      <c r="A8" s="13"/>
      <c r="B8" s="199" t="s">
        <v>351</v>
      </c>
      <c r="C8" s="238">
        <v>183.51999999999998</v>
      </c>
      <c r="D8" s="238">
        <v>24953.138999999999</v>
      </c>
      <c r="E8" s="238">
        <v>5986.63</v>
      </c>
      <c r="F8" s="238">
        <v>286827.09999999998</v>
      </c>
      <c r="G8" s="238">
        <v>32.46</v>
      </c>
      <c r="H8" s="238">
        <v>0</v>
      </c>
      <c r="I8" s="238">
        <v>0</v>
      </c>
      <c r="J8" s="238">
        <v>0</v>
      </c>
      <c r="K8" s="238">
        <v>158.91999999999999</v>
      </c>
      <c r="L8" s="238">
        <v>0</v>
      </c>
      <c r="M8" s="238">
        <v>0</v>
      </c>
      <c r="N8" s="13"/>
      <c r="O8" s="199" t="s">
        <v>351</v>
      </c>
      <c r="P8" s="238">
        <v>1329.6999999999998</v>
      </c>
      <c r="Q8" s="238">
        <v>648.24999999999989</v>
      </c>
      <c r="R8" s="238">
        <v>1609.1900000000003</v>
      </c>
      <c r="S8" s="238">
        <v>2694.7899999999995</v>
      </c>
      <c r="T8" s="238">
        <v>11.3</v>
      </c>
      <c r="U8" s="238">
        <v>7</v>
      </c>
      <c r="V8" s="238">
        <v>7825.25</v>
      </c>
      <c r="W8" s="238">
        <v>2381.3009999999999</v>
      </c>
      <c r="X8" s="238">
        <v>58968.197</v>
      </c>
      <c r="Y8" s="238">
        <v>1771.34</v>
      </c>
      <c r="Z8" s="238">
        <v>8704.2999999999993</v>
      </c>
      <c r="AA8" s="13"/>
      <c r="AB8" s="199" t="s">
        <v>351</v>
      </c>
      <c r="AC8" s="238">
        <v>11038.499999999998</v>
      </c>
      <c r="AD8" s="238">
        <v>784.94999999999993</v>
      </c>
      <c r="AE8" s="238">
        <v>4376.7860000000001</v>
      </c>
      <c r="AF8" s="238">
        <v>4114.3900000000003</v>
      </c>
      <c r="AG8" s="238">
        <v>0</v>
      </c>
      <c r="AH8" s="238">
        <v>0</v>
      </c>
      <c r="AI8" s="238">
        <v>0</v>
      </c>
      <c r="AJ8" s="238">
        <v>5</v>
      </c>
      <c r="AK8" s="238">
        <v>83.198000000000008</v>
      </c>
      <c r="AL8" s="238">
        <v>0</v>
      </c>
      <c r="AM8" s="13"/>
      <c r="AN8" s="199" t="s">
        <v>351</v>
      </c>
      <c r="AO8" s="238">
        <v>0</v>
      </c>
      <c r="AP8" s="238">
        <v>0</v>
      </c>
      <c r="AQ8" s="238">
        <v>52152.138999999996</v>
      </c>
      <c r="AR8" s="238">
        <v>80614.490000000005</v>
      </c>
      <c r="AS8" s="238">
        <v>152</v>
      </c>
      <c r="AT8" s="238">
        <v>280.14999999999998</v>
      </c>
      <c r="AU8" s="238">
        <v>1362.259</v>
      </c>
      <c r="AV8" s="238">
        <v>46005.15</v>
      </c>
      <c r="AW8" s="238">
        <v>2723.4760000000001</v>
      </c>
      <c r="AX8" s="238">
        <v>0</v>
      </c>
      <c r="AY8" s="238">
        <v>5896.22</v>
      </c>
      <c r="AZ8" s="13"/>
      <c r="BA8" s="199" t="s">
        <v>351</v>
      </c>
      <c r="BB8" s="238">
        <v>0</v>
      </c>
      <c r="BC8" s="238">
        <v>112.58</v>
      </c>
      <c r="BD8" s="238">
        <v>108.31</v>
      </c>
      <c r="BE8" s="238">
        <v>0</v>
      </c>
      <c r="BF8" s="238">
        <v>14648.712</v>
      </c>
      <c r="BG8" s="238">
        <v>0</v>
      </c>
      <c r="BH8" s="238">
        <v>0</v>
      </c>
      <c r="BI8" s="238">
        <v>0</v>
      </c>
      <c r="BJ8" s="238">
        <v>0</v>
      </c>
      <c r="BK8" s="238">
        <v>0</v>
      </c>
      <c r="BL8" s="238">
        <v>0</v>
      </c>
      <c r="BN8" s="172"/>
    </row>
    <row r="9" spans="1:66" ht="11.25" customHeight="1">
      <c r="A9" s="13" t="s">
        <v>25</v>
      </c>
      <c r="B9" s="201" t="s">
        <v>345</v>
      </c>
      <c r="C9" s="238">
        <v>8782</v>
      </c>
      <c r="D9" s="238">
        <v>74594.3</v>
      </c>
      <c r="E9" s="238">
        <v>6787.64</v>
      </c>
      <c r="F9" s="238">
        <v>73185</v>
      </c>
      <c r="G9" s="238">
        <v>4426</v>
      </c>
      <c r="H9" s="238">
        <v>155.55000000000001</v>
      </c>
      <c r="I9" s="238">
        <v>8906</v>
      </c>
      <c r="J9" s="238">
        <v>0</v>
      </c>
      <c r="K9" s="238">
        <v>281.2</v>
      </c>
      <c r="L9" s="238">
        <v>0</v>
      </c>
      <c r="M9" s="238">
        <v>0</v>
      </c>
      <c r="N9" s="13" t="s">
        <v>25</v>
      </c>
      <c r="O9" s="201" t="s">
        <v>345</v>
      </c>
      <c r="P9" s="238">
        <v>2575</v>
      </c>
      <c r="Q9" s="238">
        <v>4962</v>
      </c>
      <c r="R9" s="238">
        <v>1736.9999999999998</v>
      </c>
      <c r="S9" s="238">
        <v>1019</v>
      </c>
      <c r="T9" s="238">
        <v>87</v>
      </c>
      <c r="U9" s="238">
        <v>2563</v>
      </c>
      <c r="V9" s="238">
        <v>37891.599999999999</v>
      </c>
      <c r="W9" s="238">
        <v>17419.600000000002</v>
      </c>
      <c r="X9" s="238">
        <v>1181</v>
      </c>
      <c r="Y9" s="238">
        <v>37459</v>
      </c>
      <c r="Z9" s="238">
        <v>125</v>
      </c>
      <c r="AA9" s="13" t="s">
        <v>25</v>
      </c>
      <c r="AB9" s="201" t="s">
        <v>345</v>
      </c>
      <c r="AC9" s="238">
        <v>0</v>
      </c>
      <c r="AD9" s="238">
        <v>28</v>
      </c>
      <c r="AE9" s="238">
        <v>584</v>
      </c>
      <c r="AF9" s="238">
        <v>1816</v>
      </c>
      <c r="AG9" s="238">
        <v>0</v>
      </c>
      <c r="AH9" s="238">
        <v>0</v>
      </c>
      <c r="AI9" s="238">
        <v>2597</v>
      </c>
      <c r="AJ9" s="238">
        <v>3738.65</v>
      </c>
      <c r="AK9" s="238">
        <v>3094</v>
      </c>
      <c r="AL9" s="238">
        <v>1659</v>
      </c>
      <c r="AM9" s="13" t="s">
        <v>25</v>
      </c>
      <c r="AN9" s="201" t="s">
        <v>345</v>
      </c>
      <c r="AO9" s="238">
        <v>0</v>
      </c>
      <c r="AP9" s="238">
        <v>0</v>
      </c>
      <c r="AQ9" s="238">
        <v>98924.800000000003</v>
      </c>
      <c r="AR9" s="238">
        <v>2441.6999999999998</v>
      </c>
      <c r="AS9" s="238">
        <v>12934</v>
      </c>
      <c r="AT9" s="238">
        <v>1068.9999999999998</v>
      </c>
      <c r="AU9" s="238">
        <v>2242.9500000000003</v>
      </c>
      <c r="AV9" s="238">
        <v>0</v>
      </c>
      <c r="AW9" s="238">
        <v>0</v>
      </c>
      <c r="AX9" s="238">
        <v>1079</v>
      </c>
      <c r="AY9" s="238">
        <v>681.8</v>
      </c>
      <c r="AZ9" s="13" t="s">
        <v>25</v>
      </c>
      <c r="BA9" s="201" t="s">
        <v>345</v>
      </c>
      <c r="BB9" s="238">
        <v>82</v>
      </c>
      <c r="BC9" s="238">
        <v>1082.2</v>
      </c>
      <c r="BD9" s="238">
        <v>860.2</v>
      </c>
      <c r="BE9" s="238">
        <v>577708.79100000008</v>
      </c>
      <c r="BF9" s="238">
        <v>171322</v>
      </c>
      <c r="BG9" s="238">
        <v>11179</v>
      </c>
      <c r="BH9" s="238">
        <v>0</v>
      </c>
      <c r="BI9" s="238">
        <v>0</v>
      </c>
      <c r="BJ9" s="238">
        <v>2402</v>
      </c>
      <c r="BK9" s="238">
        <v>0</v>
      </c>
      <c r="BL9" s="238">
        <v>2083</v>
      </c>
      <c r="BN9" s="172"/>
    </row>
    <row r="10" spans="1:66" ht="11.25" customHeight="1">
      <c r="A10" s="13"/>
      <c r="B10" s="201" t="s">
        <v>351</v>
      </c>
      <c r="C10" s="238">
        <v>10269.200000000001</v>
      </c>
      <c r="D10" s="238">
        <v>81023.5</v>
      </c>
      <c r="E10" s="238">
        <v>8508.7999999999993</v>
      </c>
      <c r="F10" s="238">
        <v>74223</v>
      </c>
      <c r="G10" s="238">
        <v>5600</v>
      </c>
      <c r="H10" s="238">
        <v>170</v>
      </c>
      <c r="I10" s="238">
        <v>9949</v>
      </c>
      <c r="J10" s="238">
        <v>830</v>
      </c>
      <c r="K10" s="238">
        <v>427</v>
      </c>
      <c r="L10" s="238">
        <v>0</v>
      </c>
      <c r="M10" s="238">
        <v>0</v>
      </c>
      <c r="N10" s="13"/>
      <c r="O10" s="201" t="s">
        <v>351</v>
      </c>
      <c r="P10" s="238">
        <v>4647</v>
      </c>
      <c r="Q10" s="238">
        <v>9028</v>
      </c>
      <c r="R10" s="238">
        <v>1975.7</v>
      </c>
      <c r="S10" s="238">
        <v>2757</v>
      </c>
      <c r="T10" s="238">
        <v>38</v>
      </c>
      <c r="U10" s="238">
        <v>3157</v>
      </c>
      <c r="V10" s="238">
        <v>46013.3</v>
      </c>
      <c r="W10" s="238">
        <v>18236.099999999999</v>
      </c>
      <c r="X10" s="238">
        <v>1105</v>
      </c>
      <c r="Y10" s="238">
        <v>38036</v>
      </c>
      <c r="Z10" s="238">
        <v>111</v>
      </c>
      <c r="AA10" s="13"/>
      <c r="AB10" s="201" t="s">
        <v>351</v>
      </c>
      <c r="AC10" s="238">
        <v>0</v>
      </c>
      <c r="AD10" s="238">
        <v>37</v>
      </c>
      <c r="AE10" s="238">
        <v>583</v>
      </c>
      <c r="AF10" s="238">
        <v>2118</v>
      </c>
      <c r="AG10" s="238">
        <v>0</v>
      </c>
      <c r="AH10" s="238">
        <v>0</v>
      </c>
      <c r="AI10" s="238">
        <v>2737</v>
      </c>
      <c r="AJ10" s="238">
        <v>3143.2000000000003</v>
      </c>
      <c r="AK10" s="238">
        <v>2763</v>
      </c>
      <c r="AL10" s="238">
        <v>1812</v>
      </c>
      <c r="AM10" s="13"/>
      <c r="AN10" s="201" t="s">
        <v>351</v>
      </c>
      <c r="AO10" s="238">
        <v>0</v>
      </c>
      <c r="AP10" s="238">
        <v>0</v>
      </c>
      <c r="AQ10" s="238">
        <v>106221.98</v>
      </c>
      <c r="AR10" s="238">
        <v>2700</v>
      </c>
      <c r="AS10" s="238">
        <v>19166</v>
      </c>
      <c r="AT10" s="238">
        <v>972.99999999999989</v>
      </c>
      <c r="AU10" s="238">
        <v>3026.48</v>
      </c>
      <c r="AV10" s="238">
        <v>0</v>
      </c>
      <c r="AW10" s="238">
        <v>0</v>
      </c>
      <c r="AX10" s="238">
        <v>2047</v>
      </c>
      <c r="AY10" s="238">
        <v>392.3</v>
      </c>
      <c r="AZ10" s="13"/>
      <c r="BA10" s="201" t="s">
        <v>351</v>
      </c>
      <c r="BB10" s="238">
        <v>29</v>
      </c>
      <c r="BC10" s="238">
        <v>1034</v>
      </c>
      <c r="BD10" s="238">
        <v>1013</v>
      </c>
      <c r="BE10" s="238">
        <v>546716.06880308641</v>
      </c>
      <c r="BF10" s="238">
        <v>187274</v>
      </c>
      <c r="BG10" s="238">
        <v>7446</v>
      </c>
      <c r="BH10" s="238">
        <v>0</v>
      </c>
      <c r="BI10" s="238">
        <v>0</v>
      </c>
      <c r="BJ10" s="238">
        <v>2197</v>
      </c>
      <c r="BK10" s="238">
        <v>0</v>
      </c>
      <c r="BL10" s="238">
        <v>3530</v>
      </c>
      <c r="BN10" s="172"/>
    </row>
    <row r="11" spans="1:66" ht="11.25" customHeight="1">
      <c r="A11" s="13" t="s">
        <v>26</v>
      </c>
      <c r="B11" s="201" t="s">
        <v>345</v>
      </c>
      <c r="C11" s="238">
        <v>12537.73</v>
      </c>
      <c r="D11" s="238">
        <v>4449.6900000000005</v>
      </c>
      <c r="E11" s="238">
        <v>52323.8</v>
      </c>
      <c r="F11" s="238">
        <v>0</v>
      </c>
      <c r="G11" s="238">
        <v>10544.849999999999</v>
      </c>
      <c r="H11" s="238">
        <v>11876.939999999999</v>
      </c>
      <c r="I11" s="238">
        <v>0</v>
      </c>
      <c r="J11" s="238">
        <v>0</v>
      </c>
      <c r="K11" s="238">
        <v>50</v>
      </c>
      <c r="L11" s="238">
        <v>0</v>
      </c>
      <c r="M11" s="238">
        <v>0</v>
      </c>
      <c r="N11" s="13" t="s">
        <v>26</v>
      </c>
      <c r="O11" s="201" t="s">
        <v>345</v>
      </c>
      <c r="P11" s="238">
        <v>1431.5</v>
      </c>
      <c r="Q11" s="238">
        <v>3317</v>
      </c>
      <c r="R11" s="238">
        <v>3092.0199999999995</v>
      </c>
      <c r="S11" s="238">
        <v>2261.7000000000003</v>
      </c>
      <c r="T11" s="238">
        <v>517.76</v>
      </c>
      <c r="U11" s="238">
        <v>1039.22</v>
      </c>
      <c r="V11" s="238">
        <v>15652.849999999999</v>
      </c>
      <c r="W11" s="238">
        <v>4287.3</v>
      </c>
      <c r="X11" s="238">
        <v>242.2</v>
      </c>
      <c r="Y11" s="238">
        <v>305.10000000000002</v>
      </c>
      <c r="Z11" s="238">
        <v>569.20000000000005</v>
      </c>
      <c r="AA11" s="13" t="s">
        <v>26</v>
      </c>
      <c r="AB11" s="201" t="s">
        <v>345</v>
      </c>
      <c r="AC11" s="238">
        <v>0</v>
      </c>
      <c r="AD11" s="238">
        <v>83.92</v>
      </c>
      <c r="AE11" s="238">
        <v>291.10999999999996</v>
      </c>
      <c r="AF11" s="238">
        <v>256.2</v>
      </c>
      <c r="AG11" s="238">
        <v>0</v>
      </c>
      <c r="AH11" s="238">
        <v>0</v>
      </c>
      <c r="AI11" s="238">
        <v>0</v>
      </c>
      <c r="AJ11" s="238">
        <v>837.95</v>
      </c>
      <c r="AK11" s="238">
        <v>960.99</v>
      </c>
      <c r="AL11" s="238">
        <v>6134.33</v>
      </c>
      <c r="AM11" s="13" t="s">
        <v>26</v>
      </c>
      <c r="AN11" s="201" t="s">
        <v>345</v>
      </c>
      <c r="AO11" s="238">
        <v>0</v>
      </c>
      <c r="AP11" s="238">
        <v>0</v>
      </c>
      <c r="AQ11" s="238">
        <v>368988.02999999997</v>
      </c>
      <c r="AR11" s="238">
        <v>507.5</v>
      </c>
      <c r="AS11" s="238">
        <v>872</v>
      </c>
      <c r="AT11" s="238">
        <v>12138.65</v>
      </c>
      <c r="AU11" s="238">
        <v>25754.5</v>
      </c>
      <c r="AV11" s="238">
        <v>0</v>
      </c>
      <c r="AW11" s="238">
        <v>0</v>
      </c>
      <c r="AX11" s="238">
        <v>0</v>
      </c>
      <c r="AY11" s="238">
        <v>8338.9</v>
      </c>
      <c r="AZ11" s="13" t="s">
        <v>26</v>
      </c>
      <c r="BA11" s="201" t="s">
        <v>345</v>
      </c>
      <c r="BB11" s="238">
        <v>19.5</v>
      </c>
      <c r="BC11" s="238">
        <v>10917.93</v>
      </c>
      <c r="BD11" s="238">
        <v>2554.67</v>
      </c>
      <c r="BE11" s="238">
        <v>0</v>
      </c>
      <c r="BF11" s="238">
        <v>119057.879</v>
      </c>
      <c r="BG11" s="238">
        <v>0</v>
      </c>
      <c r="BH11" s="238">
        <v>8136.5</v>
      </c>
      <c r="BI11" s="238">
        <v>10156</v>
      </c>
      <c r="BJ11" s="238">
        <v>0</v>
      </c>
      <c r="BK11" s="238">
        <v>108.60999999999999</v>
      </c>
      <c r="BL11" s="238">
        <v>0</v>
      </c>
      <c r="BN11" s="172"/>
    </row>
    <row r="12" spans="1:66" ht="11.25" customHeight="1">
      <c r="A12" s="13"/>
      <c r="B12" s="201" t="s">
        <v>351</v>
      </c>
      <c r="C12" s="238">
        <v>13280.638999999999</v>
      </c>
      <c r="D12" s="238">
        <v>5023.1499999999996</v>
      </c>
      <c r="E12" s="238">
        <v>48867.399999999994</v>
      </c>
      <c r="F12" s="238">
        <v>0</v>
      </c>
      <c r="G12" s="238">
        <v>12207.74</v>
      </c>
      <c r="H12" s="238">
        <v>10393.15</v>
      </c>
      <c r="I12" s="238">
        <v>0</v>
      </c>
      <c r="J12" s="238">
        <v>0</v>
      </c>
      <c r="K12" s="238">
        <v>48</v>
      </c>
      <c r="L12" s="238">
        <v>0</v>
      </c>
      <c r="M12" s="238">
        <v>0</v>
      </c>
      <c r="N12" s="13"/>
      <c r="O12" s="201" t="s">
        <v>351</v>
      </c>
      <c r="P12" s="238">
        <v>1404</v>
      </c>
      <c r="Q12" s="238">
        <v>3040.5</v>
      </c>
      <c r="R12" s="238">
        <v>3388.33</v>
      </c>
      <c r="S12" s="238">
        <v>2094.6999999999998</v>
      </c>
      <c r="T12" s="238">
        <v>631.6</v>
      </c>
      <c r="U12" s="238">
        <v>1123.2</v>
      </c>
      <c r="V12" s="238">
        <v>14657.7</v>
      </c>
      <c r="W12" s="238">
        <v>4486.5</v>
      </c>
      <c r="X12" s="238">
        <v>283</v>
      </c>
      <c r="Y12" s="238">
        <v>332.45</v>
      </c>
      <c r="Z12" s="238">
        <v>496.5</v>
      </c>
      <c r="AA12" s="13"/>
      <c r="AB12" s="201" t="s">
        <v>351</v>
      </c>
      <c r="AC12" s="238">
        <v>0</v>
      </c>
      <c r="AD12" s="238">
        <v>86.6</v>
      </c>
      <c r="AE12" s="238">
        <v>245.76000000000005</v>
      </c>
      <c r="AF12" s="238">
        <v>210.5</v>
      </c>
      <c r="AG12" s="238">
        <v>0</v>
      </c>
      <c r="AH12" s="238">
        <v>0</v>
      </c>
      <c r="AI12" s="238">
        <v>0</v>
      </c>
      <c r="AJ12" s="238">
        <v>870.34</v>
      </c>
      <c r="AK12" s="238">
        <v>928.1099999999999</v>
      </c>
      <c r="AL12" s="238">
        <v>5580.9</v>
      </c>
      <c r="AM12" s="13"/>
      <c r="AN12" s="201" t="s">
        <v>351</v>
      </c>
      <c r="AO12" s="238">
        <v>0</v>
      </c>
      <c r="AP12" s="238">
        <v>0</v>
      </c>
      <c r="AQ12" s="238">
        <v>388528.98</v>
      </c>
      <c r="AR12" s="238">
        <v>622</v>
      </c>
      <c r="AS12" s="238">
        <v>1064</v>
      </c>
      <c r="AT12" s="238">
        <v>11820.5</v>
      </c>
      <c r="AU12" s="238">
        <v>27762.069</v>
      </c>
      <c r="AV12" s="238">
        <v>0</v>
      </c>
      <c r="AW12" s="238">
        <v>0</v>
      </c>
      <c r="AX12" s="238">
        <v>0</v>
      </c>
      <c r="AY12" s="238">
        <v>8300.3499999999985</v>
      </c>
      <c r="AZ12" s="13"/>
      <c r="BA12" s="201" t="s">
        <v>351</v>
      </c>
      <c r="BB12" s="238">
        <v>13</v>
      </c>
      <c r="BC12" s="238">
        <v>10858.84</v>
      </c>
      <c r="BD12" s="238">
        <v>3953.3399999999997</v>
      </c>
      <c r="BE12" s="238">
        <v>0</v>
      </c>
      <c r="BF12" s="238">
        <v>173583.80700000003</v>
      </c>
      <c r="BG12" s="238">
        <v>0</v>
      </c>
      <c r="BH12" s="238">
        <v>10985.4</v>
      </c>
      <c r="BI12" s="238">
        <v>8130</v>
      </c>
      <c r="BJ12" s="238">
        <v>0</v>
      </c>
      <c r="BK12" s="238">
        <v>0</v>
      </c>
      <c r="BL12" s="238">
        <v>0</v>
      </c>
      <c r="BN12" s="172"/>
    </row>
    <row r="13" spans="1:66" ht="11.25" customHeight="1">
      <c r="A13" s="13" t="s">
        <v>27</v>
      </c>
      <c r="B13" s="201" t="s">
        <v>345</v>
      </c>
      <c r="C13" s="238">
        <v>156.53799999999998</v>
      </c>
      <c r="D13" s="238">
        <v>110.958</v>
      </c>
      <c r="E13" s="238">
        <v>7212.0240000000003</v>
      </c>
      <c r="F13" s="238">
        <v>284336.14199999999</v>
      </c>
      <c r="G13" s="238">
        <v>762.53899999999999</v>
      </c>
      <c r="H13" s="238">
        <v>3531.7669999999998</v>
      </c>
      <c r="I13" s="238">
        <v>0</v>
      </c>
      <c r="J13" s="238">
        <v>10980.36</v>
      </c>
      <c r="K13" s="238">
        <v>2150.65</v>
      </c>
      <c r="L13" s="238">
        <v>0</v>
      </c>
      <c r="M13" s="238">
        <v>0</v>
      </c>
      <c r="N13" s="13" t="s">
        <v>27</v>
      </c>
      <c r="O13" s="201" t="s">
        <v>345</v>
      </c>
      <c r="P13" s="238">
        <v>24686.720000000001</v>
      </c>
      <c r="Q13" s="238">
        <v>34421.537000000004</v>
      </c>
      <c r="R13" s="238">
        <v>11080.592000000001</v>
      </c>
      <c r="S13" s="238">
        <v>60609.983999999997</v>
      </c>
      <c r="T13" s="238">
        <v>10510.402999999998</v>
      </c>
      <c r="U13" s="238">
        <v>244244.97299999997</v>
      </c>
      <c r="V13" s="238">
        <v>14460.878000000001</v>
      </c>
      <c r="W13" s="238">
        <v>23167.858</v>
      </c>
      <c r="X13" s="238">
        <v>7.85</v>
      </c>
      <c r="Y13" s="238">
        <v>154.07999999999998</v>
      </c>
      <c r="Z13" s="238">
        <v>30.64</v>
      </c>
      <c r="AA13" s="13" t="s">
        <v>27</v>
      </c>
      <c r="AB13" s="201" t="s">
        <v>345</v>
      </c>
      <c r="AC13" s="238">
        <v>0</v>
      </c>
      <c r="AD13" s="238">
        <v>0</v>
      </c>
      <c r="AE13" s="238">
        <v>45.04</v>
      </c>
      <c r="AF13" s="238">
        <v>161.69999999999999</v>
      </c>
      <c r="AG13" s="238">
        <v>3661</v>
      </c>
      <c r="AH13" s="238">
        <v>0</v>
      </c>
      <c r="AI13" s="238">
        <v>20911.512999999999</v>
      </c>
      <c r="AJ13" s="238">
        <v>976.02800000000002</v>
      </c>
      <c r="AK13" s="238">
        <v>757.23</v>
      </c>
      <c r="AL13" s="238">
        <v>3257.6480000000001</v>
      </c>
      <c r="AM13" s="13" t="s">
        <v>27</v>
      </c>
      <c r="AN13" s="201" t="s">
        <v>345</v>
      </c>
      <c r="AO13" s="238">
        <v>42817.95</v>
      </c>
      <c r="AP13" s="238">
        <v>0</v>
      </c>
      <c r="AQ13" s="238">
        <v>145701.954</v>
      </c>
      <c r="AR13" s="238">
        <v>228.42899999999997</v>
      </c>
      <c r="AS13" s="238">
        <v>673.54700000000003</v>
      </c>
      <c r="AT13" s="238">
        <v>55.620000000000005</v>
      </c>
      <c r="AU13" s="238">
        <v>103.11799999999999</v>
      </c>
      <c r="AV13" s="238">
        <v>0</v>
      </c>
      <c r="AW13" s="238">
        <v>0</v>
      </c>
      <c r="AX13" s="238">
        <v>9235.66</v>
      </c>
      <c r="AY13" s="238">
        <v>4207.7700000000004</v>
      </c>
      <c r="AZ13" s="13" t="s">
        <v>27</v>
      </c>
      <c r="BA13" s="201" t="s">
        <v>345</v>
      </c>
      <c r="BB13" s="238">
        <v>0</v>
      </c>
      <c r="BC13" s="238">
        <v>665.82300000000009</v>
      </c>
      <c r="BD13" s="238">
        <v>4.58</v>
      </c>
      <c r="BE13" s="238">
        <v>38101.471000000005</v>
      </c>
      <c r="BF13" s="238">
        <v>1727686.3040000002</v>
      </c>
      <c r="BG13" s="238">
        <v>636969.35800000001</v>
      </c>
      <c r="BH13" s="238">
        <v>6626.3790000000008</v>
      </c>
      <c r="BI13" s="238">
        <v>6862.59</v>
      </c>
      <c r="BJ13" s="238">
        <v>635</v>
      </c>
      <c r="BK13" s="238">
        <v>1101.79</v>
      </c>
      <c r="BL13" s="238">
        <v>0</v>
      </c>
      <c r="BN13" s="172"/>
    </row>
    <row r="14" spans="1:66" ht="11.25" customHeight="1">
      <c r="A14" s="13"/>
      <c r="B14" s="201" t="s">
        <v>351</v>
      </c>
      <c r="C14" s="238">
        <v>178.88499999999999</v>
      </c>
      <c r="D14" s="238">
        <v>1845.6370000000002</v>
      </c>
      <c r="E14" s="238">
        <v>7847.2</v>
      </c>
      <c r="F14" s="238">
        <v>284103.78499999997</v>
      </c>
      <c r="G14" s="238">
        <v>583.23199999999997</v>
      </c>
      <c r="H14" s="238">
        <v>2579.5549999999994</v>
      </c>
      <c r="I14" s="238">
        <v>0</v>
      </c>
      <c r="J14" s="238">
        <v>20768</v>
      </c>
      <c r="K14" s="238">
        <v>1968.712</v>
      </c>
      <c r="L14" s="238">
        <v>0</v>
      </c>
      <c r="M14" s="238">
        <v>0</v>
      </c>
      <c r="N14" s="13"/>
      <c r="O14" s="201" t="s">
        <v>351</v>
      </c>
      <c r="P14" s="238">
        <v>32017.466</v>
      </c>
      <c r="Q14" s="238">
        <v>32268.307000000004</v>
      </c>
      <c r="R14" s="238">
        <v>10358.900000000001</v>
      </c>
      <c r="S14" s="238">
        <v>55464.525000000001</v>
      </c>
      <c r="T14" s="238">
        <v>11596.725</v>
      </c>
      <c r="U14" s="238">
        <v>275317.36700000003</v>
      </c>
      <c r="V14" s="238">
        <v>12214.678</v>
      </c>
      <c r="W14" s="238">
        <v>17393.86</v>
      </c>
      <c r="X14" s="238">
        <v>5.61</v>
      </c>
      <c r="Y14" s="238">
        <v>165.85000000000002</v>
      </c>
      <c r="Z14" s="238">
        <v>30.779999999999998</v>
      </c>
      <c r="AA14" s="13"/>
      <c r="AB14" s="201" t="s">
        <v>351</v>
      </c>
      <c r="AC14" s="238">
        <v>0</v>
      </c>
      <c r="AD14" s="238">
        <v>0</v>
      </c>
      <c r="AE14" s="238">
        <v>40.309999999999995</v>
      </c>
      <c r="AF14" s="238">
        <v>162.69999999999999</v>
      </c>
      <c r="AG14" s="238">
        <v>11892</v>
      </c>
      <c r="AH14" s="238">
        <v>0</v>
      </c>
      <c r="AI14" s="238">
        <v>15965.688</v>
      </c>
      <c r="AJ14" s="238">
        <v>954.92799999999988</v>
      </c>
      <c r="AK14" s="238">
        <v>823.87099999999998</v>
      </c>
      <c r="AL14" s="238">
        <v>2796.4789999999998</v>
      </c>
      <c r="AM14" s="13"/>
      <c r="AN14" s="201" t="s">
        <v>351</v>
      </c>
      <c r="AO14" s="238">
        <v>22503.8</v>
      </c>
      <c r="AP14" s="238">
        <v>0</v>
      </c>
      <c r="AQ14" s="238">
        <v>118256.628</v>
      </c>
      <c r="AR14" s="238">
        <v>219.98000000000002</v>
      </c>
      <c r="AS14" s="238">
        <v>707.05700000000002</v>
      </c>
      <c r="AT14" s="238">
        <v>54.003999999999998</v>
      </c>
      <c r="AU14" s="238">
        <v>81.248999999999995</v>
      </c>
      <c r="AV14" s="238">
        <v>0</v>
      </c>
      <c r="AW14" s="238">
        <v>0</v>
      </c>
      <c r="AX14" s="238">
        <v>9892.1640000000007</v>
      </c>
      <c r="AY14" s="238">
        <v>5169.8490000000002</v>
      </c>
      <c r="AZ14" s="13"/>
      <c r="BA14" s="201" t="s">
        <v>351</v>
      </c>
      <c r="BB14" s="238">
        <v>0</v>
      </c>
      <c r="BC14" s="238">
        <v>899.02900000000022</v>
      </c>
      <c r="BD14" s="238">
        <v>6.17</v>
      </c>
      <c r="BE14" s="238">
        <v>39548.523000000001</v>
      </c>
      <c r="BF14" s="238">
        <v>1707868.0470000005</v>
      </c>
      <c r="BG14" s="238">
        <v>689820.29700000002</v>
      </c>
      <c r="BH14" s="238">
        <v>7692.607</v>
      </c>
      <c r="BI14" s="238">
        <v>8138.3319999999994</v>
      </c>
      <c r="BJ14" s="238">
        <v>180.88</v>
      </c>
      <c r="BK14" s="238">
        <v>1133.01</v>
      </c>
      <c r="BL14" s="238">
        <v>0</v>
      </c>
      <c r="BN14" s="172"/>
    </row>
    <row r="15" spans="1:66" ht="11.25" customHeight="1">
      <c r="A15" s="13" t="s">
        <v>28</v>
      </c>
      <c r="B15" s="201" t="s">
        <v>345</v>
      </c>
      <c r="C15" s="238">
        <v>13011</v>
      </c>
      <c r="D15" s="238">
        <v>2061</v>
      </c>
      <c r="E15" s="238">
        <v>23404</v>
      </c>
      <c r="F15" s="238">
        <v>56</v>
      </c>
      <c r="G15" s="238">
        <v>16437</v>
      </c>
      <c r="H15" s="238">
        <v>23111</v>
      </c>
      <c r="I15" s="238">
        <v>0</v>
      </c>
      <c r="J15" s="238">
        <v>0</v>
      </c>
      <c r="K15" s="238">
        <v>75</v>
      </c>
      <c r="L15" s="238">
        <v>0</v>
      </c>
      <c r="M15" s="238">
        <v>0</v>
      </c>
      <c r="N15" s="13" t="s">
        <v>28</v>
      </c>
      <c r="O15" s="201" t="s">
        <v>345</v>
      </c>
      <c r="P15" s="238">
        <v>612</v>
      </c>
      <c r="Q15" s="238">
        <v>467</v>
      </c>
      <c r="R15" s="238">
        <v>4741</v>
      </c>
      <c r="S15" s="238">
        <v>816</v>
      </c>
      <c r="T15" s="238">
        <v>1897</v>
      </c>
      <c r="U15" s="238">
        <v>3502</v>
      </c>
      <c r="V15" s="238">
        <v>10402</v>
      </c>
      <c r="W15" s="238">
        <v>23097</v>
      </c>
      <c r="X15" s="238">
        <v>578</v>
      </c>
      <c r="Y15" s="238">
        <v>235</v>
      </c>
      <c r="Z15" s="238">
        <v>421</v>
      </c>
      <c r="AA15" s="13" t="s">
        <v>28</v>
      </c>
      <c r="AB15" s="201" t="s">
        <v>345</v>
      </c>
      <c r="AC15" s="238">
        <v>114</v>
      </c>
      <c r="AD15" s="238">
        <v>176</v>
      </c>
      <c r="AE15" s="238">
        <v>575</v>
      </c>
      <c r="AF15" s="238">
        <v>2258</v>
      </c>
      <c r="AG15" s="238">
        <v>350</v>
      </c>
      <c r="AH15" s="238">
        <v>300</v>
      </c>
      <c r="AI15" s="238">
        <v>48</v>
      </c>
      <c r="AJ15" s="238">
        <v>780</v>
      </c>
      <c r="AK15" s="238">
        <v>3945</v>
      </c>
      <c r="AL15" s="238">
        <v>19371</v>
      </c>
      <c r="AM15" s="13" t="s">
        <v>28</v>
      </c>
      <c r="AN15" s="201" t="s">
        <v>345</v>
      </c>
      <c r="AO15" s="238">
        <v>0</v>
      </c>
      <c r="AP15" s="238">
        <v>0</v>
      </c>
      <c r="AQ15" s="238">
        <v>434228</v>
      </c>
      <c r="AR15" s="238">
        <v>3935</v>
      </c>
      <c r="AS15" s="238">
        <v>482</v>
      </c>
      <c r="AT15" s="238">
        <v>8910</v>
      </c>
      <c r="AU15" s="238">
        <v>14793</v>
      </c>
      <c r="AV15" s="238">
        <v>2208</v>
      </c>
      <c r="AW15" s="238">
        <v>5292</v>
      </c>
      <c r="AX15" s="238">
        <v>0</v>
      </c>
      <c r="AY15" s="238">
        <v>2262</v>
      </c>
      <c r="AZ15" s="13" t="s">
        <v>28</v>
      </c>
      <c r="BA15" s="201" t="s">
        <v>345</v>
      </c>
      <c r="BB15" s="238">
        <v>11</v>
      </c>
      <c r="BC15" s="238">
        <v>9226</v>
      </c>
      <c r="BD15" s="238">
        <v>6105</v>
      </c>
      <c r="BE15" s="238">
        <v>0</v>
      </c>
      <c r="BF15" s="238">
        <v>149349</v>
      </c>
      <c r="BG15" s="238">
        <v>0</v>
      </c>
      <c r="BH15" s="238">
        <v>155</v>
      </c>
      <c r="BI15" s="238">
        <v>128284</v>
      </c>
      <c r="BJ15" s="238">
        <v>0</v>
      </c>
      <c r="BK15" s="238">
        <v>28</v>
      </c>
      <c r="BL15" s="238">
        <v>0</v>
      </c>
      <c r="BN15" s="172"/>
    </row>
    <row r="16" spans="1:66" ht="11.25" customHeight="1">
      <c r="A16" s="13"/>
      <c r="B16" s="201" t="s">
        <v>351</v>
      </c>
      <c r="C16" s="238">
        <v>12249.390000000001</v>
      </c>
      <c r="D16" s="238">
        <v>1476</v>
      </c>
      <c r="E16" s="238">
        <v>22356.55</v>
      </c>
      <c r="F16" s="238">
        <v>27</v>
      </c>
      <c r="G16" s="238">
        <v>14930.400000000001</v>
      </c>
      <c r="H16" s="238">
        <v>22069.1</v>
      </c>
      <c r="I16" s="238">
        <v>0</v>
      </c>
      <c r="J16" s="238">
        <v>0</v>
      </c>
      <c r="K16" s="238">
        <v>53</v>
      </c>
      <c r="L16" s="238">
        <v>0</v>
      </c>
      <c r="M16" s="238">
        <v>0</v>
      </c>
      <c r="N16" s="13"/>
      <c r="O16" s="201" t="s">
        <v>351</v>
      </c>
      <c r="P16" s="238">
        <v>613</v>
      </c>
      <c r="Q16" s="238">
        <v>520</v>
      </c>
      <c r="R16" s="238">
        <v>4276</v>
      </c>
      <c r="S16" s="238">
        <v>1503</v>
      </c>
      <c r="T16" s="238">
        <v>1440</v>
      </c>
      <c r="U16" s="238">
        <v>3595</v>
      </c>
      <c r="V16" s="238">
        <v>8688</v>
      </c>
      <c r="W16" s="238">
        <v>14664</v>
      </c>
      <c r="X16" s="238">
        <v>734</v>
      </c>
      <c r="Y16" s="238">
        <v>68</v>
      </c>
      <c r="Z16" s="238">
        <v>237</v>
      </c>
      <c r="AA16" s="13"/>
      <c r="AB16" s="201" t="s">
        <v>351</v>
      </c>
      <c r="AC16" s="238">
        <v>76</v>
      </c>
      <c r="AD16" s="238">
        <v>106</v>
      </c>
      <c r="AE16" s="238">
        <v>331</v>
      </c>
      <c r="AF16" s="238">
        <v>1177</v>
      </c>
      <c r="AG16" s="238">
        <v>212</v>
      </c>
      <c r="AH16" s="238">
        <v>178</v>
      </c>
      <c r="AI16" s="238">
        <v>22</v>
      </c>
      <c r="AJ16" s="238">
        <v>315</v>
      </c>
      <c r="AK16" s="238">
        <v>1454</v>
      </c>
      <c r="AL16" s="238">
        <v>12755</v>
      </c>
      <c r="AM16" s="13"/>
      <c r="AN16" s="201" t="s">
        <v>351</v>
      </c>
      <c r="AO16" s="238">
        <v>0</v>
      </c>
      <c r="AP16" s="238">
        <v>0</v>
      </c>
      <c r="AQ16" s="238">
        <v>359298.1</v>
      </c>
      <c r="AR16" s="238">
        <v>7455</v>
      </c>
      <c r="AS16" s="238">
        <v>322</v>
      </c>
      <c r="AT16" s="238">
        <v>13688.1</v>
      </c>
      <c r="AU16" s="238">
        <v>17546.699999999997</v>
      </c>
      <c r="AV16" s="238">
        <v>2532</v>
      </c>
      <c r="AW16" s="238">
        <v>4992</v>
      </c>
      <c r="AX16" s="238">
        <v>0</v>
      </c>
      <c r="AY16" s="238">
        <v>2132.6</v>
      </c>
      <c r="AZ16" s="13"/>
      <c r="BA16" s="201" t="s">
        <v>351</v>
      </c>
      <c r="BB16" s="238">
        <v>27</v>
      </c>
      <c r="BC16" s="238">
        <v>11496.400000000001</v>
      </c>
      <c r="BD16" s="238">
        <v>7818.99</v>
      </c>
      <c r="BE16" s="238">
        <v>0</v>
      </c>
      <c r="BF16" s="238">
        <v>154736.85</v>
      </c>
      <c r="BG16" s="238">
        <v>0</v>
      </c>
      <c r="BH16" s="238">
        <v>66</v>
      </c>
      <c r="BI16" s="238">
        <v>126590</v>
      </c>
      <c r="BJ16" s="238">
        <v>0</v>
      </c>
      <c r="BK16" s="238">
        <v>0</v>
      </c>
      <c r="BL16" s="238">
        <v>0</v>
      </c>
      <c r="BN16" s="172"/>
    </row>
    <row r="17" spans="1:66" ht="11.25" customHeight="1">
      <c r="A17" s="13" t="s">
        <v>29</v>
      </c>
      <c r="B17" s="201" t="s">
        <v>345</v>
      </c>
      <c r="C17" s="238">
        <v>17914.487000000001</v>
      </c>
      <c r="D17" s="238">
        <v>50286.555999999997</v>
      </c>
      <c r="E17" s="238">
        <v>29960.853999999999</v>
      </c>
      <c r="F17" s="238">
        <v>99831.568000000014</v>
      </c>
      <c r="G17" s="238">
        <v>6650.4439999999995</v>
      </c>
      <c r="H17" s="238">
        <v>502.95799999999997</v>
      </c>
      <c r="I17" s="238">
        <v>0</v>
      </c>
      <c r="J17" s="238">
        <v>0</v>
      </c>
      <c r="K17" s="238">
        <v>0</v>
      </c>
      <c r="L17" s="238">
        <v>0</v>
      </c>
      <c r="M17" s="238">
        <v>0</v>
      </c>
      <c r="N17" s="13" t="s">
        <v>29</v>
      </c>
      <c r="O17" s="201" t="s">
        <v>345</v>
      </c>
      <c r="P17" s="238">
        <v>985.8599999999999</v>
      </c>
      <c r="Q17" s="238">
        <v>11961.175999999998</v>
      </c>
      <c r="R17" s="238">
        <v>18173.077999999998</v>
      </c>
      <c r="S17" s="238">
        <v>6540.82</v>
      </c>
      <c r="T17" s="238">
        <v>3422.67</v>
      </c>
      <c r="U17" s="238">
        <v>1337.44</v>
      </c>
      <c r="V17" s="238">
        <v>23572.689000000002</v>
      </c>
      <c r="W17" s="238">
        <v>3868.1130000000003</v>
      </c>
      <c r="X17" s="238">
        <v>26919.977999999999</v>
      </c>
      <c r="Y17" s="238">
        <v>8021.87</v>
      </c>
      <c r="Z17" s="238">
        <v>2032.7759999999998</v>
      </c>
      <c r="AA17" s="13" t="s">
        <v>29</v>
      </c>
      <c r="AB17" s="201" t="s">
        <v>345</v>
      </c>
      <c r="AC17" s="238">
        <v>3485.9020000000005</v>
      </c>
      <c r="AD17" s="238">
        <v>1994.7450000000001</v>
      </c>
      <c r="AE17" s="238">
        <v>480.69600000000003</v>
      </c>
      <c r="AF17" s="238">
        <v>4003.6770000000001</v>
      </c>
      <c r="AG17" s="238">
        <v>0</v>
      </c>
      <c r="AH17" s="238">
        <v>0</v>
      </c>
      <c r="AI17" s="238">
        <v>707</v>
      </c>
      <c r="AJ17" s="238">
        <v>348</v>
      </c>
      <c r="AK17" s="238">
        <v>0</v>
      </c>
      <c r="AL17" s="238">
        <v>332.5</v>
      </c>
      <c r="AM17" s="13" t="s">
        <v>29</v>
      </c>
      <c r="AN17" s="201" t="s">
        <v>345</v>
      </c>
      <c r="AO17" s="238">
        <v>0</v>
      </c>
      <c r="AP17" s="238">
        <v>0</v>
      </c>
      <c r="AQ17" s="238">
        <v>287422.50100000005</v>
      </c>
      <c r="AR17" s="238">
        <v>35562.937000000005</v>
      </c>
      <c r="AS17" s="238">
        <v>4222.9900000000007</v>
      </c>
      <c r="AT17" s="238">
        <v>5289.1479999999992</v>
      </c>
      <c r="AU17" s="238">
        <v>13852.273000000001</v>
      </c>
      <c r="AV17" s="238">
        <v>65418.717000000004</v>
      </c>
      <c r="AW17" s="238">
        <v>881.21400000000006</v>
      </c>
      <c r="AX17" s="238">
        <v>72</v>
      </c>
      <c r="AY17" s="238">
        <v>12327.208999999999</v>
      </c>
      <c r="AZ17" s="13" t="s">
        <v>29</v>
      </c>
      <c r="BA17" s="201" t="s">
        <v>345</v>
      </c>
      <c r="BB17" s="238">
        <v>0</v>
      </c>
      <c r="BC17" s="238">
        <v>3401.4169999999999</v>
      </c>
      <c r="BD17" s="238">
        <v>4376.2389999999996</v>
      </c>
      <c r="BE17" s="238">
        <v>0</v>
      </c>
      <c r="BF17" s="238">
        <v>116818.98299999998</v>
      </c>
      <c r="BG17" s="238">
        <v>1444.26</v>
      </c>
      <c r="BH17" s="238">
        <v>0</v>
      </c>
      <c r="BI17" s="238">
        <v>13144.4</v>
      </c>
      <c r="BJ17" s="238">
        <v>0</v>
      </c>
      <c r="BK17" s="238">
        <v>0</v>
      </c>
      <c r="BL17" s="238">
        <v>0</v>
      </c>
      <c r="BN17" s="172"/>
    </row>
    <row r="18" spans="1:66" ht="11.25" customHeight="1">
      <c r="A18" s="13"/>
      <c r="B18" s="201" t="s">
        <v>351</v>
      </c>
      <c r="C18" s="238">
        <v>19195.277999999998</v>
      </c>
      <c r="D18" s="238">
        <v>61179.345000000001</v>
      </c>
      <c r="E18" s="238">
        <v>33527.125</v>
      </c>
      <c r="F18" s="238">
        <v>116509.97800000002</v>
      </c>
      <c r="G18" s="238">
        <v>7129.723</v>
      </c>
      <c r="H18" s="238">
        <v>704.9</v>
      </c>
      <c r="I18" s="238">
        <v>0</v>
      </c>
      <c r="J18" s="238">
        <v>0</v>
      </c>
      <c r="K18" s="238">
        <v>20.5</v>
      </c>
      <c r="L18" s="238">
        <v>0</v>
      </c>
      <c r="M18" s="238">
        <v>0</v>
      </c>
      <c r="N18" s="13"/>
      <c r="O18" s="201" t="s">
        <v>351</v>
      </c>
      <c r="P18" s="238">
        <v>1054.6699999999998</v>
      </c>
      <c r="Q18" s="238">
        <v>10682.027</v>
      </c>
      <c r="R18" s="238">
        <v>19469.978999999999</v>
      </c>
      <c r="S18" s="238">
        <v>5682.5</v>
      </c>
      <c r="T18" s="238">
        <v>5801.4000000000005</v>
      </c>
      <c r="U18" s="238">
        <v>1226.3</v>
      </c>
      <c r="V18" s="238">
        <v>26350.53</v>
      </c>
      <c r="W18" s="238">
        <v>4301.4669999999996</v>
      </c>
      <c r="X18" s="238">
        <v>27758.688999999998</v>
      </c>
      <c r="Y18" s="238">
        <v>10213.977999999999</v>
      </c>
      <c r="Z18" s="238">
        <v>2421.4050000000002</v>
      </c>
      <c r="AA18" s="13"/>
      <c r="AB18" s="201" t="s">
        <v>351</v>
      </c>
      <c r="AC18" s="238">
        <v>3882.5280000000002</v>
      </c>
      <c r="AD18" s="238">
        <v>1999.6289999999999</v>
      </c>
      <c r="AE18" s="238">
        <v>509.15199999999999</v>
      </c>
      <c r="AF18" s="238">
        <v>4073.9450000000002</v>
      </c>
      <c r="AG18" s="238">
        <v>0</v>
      </c>
      <c r="AH18" s="238">
        <v>0</v>
      </c>
      <c r="AI18" s="238">
        <v>873</v>
      </c>
      <c r="AJ18" s="238">
        <v>264</v>
      </c>
      <c r="AK18" s="238">
        <v>0</v>
      </c>
      <c r="AL18" s="238">
        <v>199.35</v>
      </c>
      <c r="AM18" s="13"/>
      <c r="AN18" s="201" t="s">
        <v>351</v>
      </c>
      <c r="AO18" s="238">
        <v>0</v>
      </c>
      <c r="AP18" s="238">
        <v>0</v>
      </c>
      <c r="AQ18" s="238">
        <v>297409.81599999999</v>
      </c>
      <c r="AR18" s="238">
        <v>30059.492000000002</v>
      </c>
      <c r="AS18" s="238">
        <v>3670.42</v>
      </c>
      <c r="AT18" s="238">
        <v>2551.375</v>
      </c>
      <c r="AU18" s="238">
        <v>10817.239999999998</v>
      </c>
      <c r="AV18" s="238">
        <v>69639.434999999998</v>
      </c>
      <c r="AW18" s="238">
        <v>1090.0930000000001</v>
      </c>
      <c r="AX18" s="238">
        <v>0</v>
      </c>
      <c r="AY18" s="238">
        <v>13696.100999999999</v>
      </c>
      <c r="AZ18" s="13"/>
      <c r="BA18" s="201" t="s">
        <v>351</v>
      </c>
      <c r="BB18" s="238">
        <v>0</v>
      </c>
      <c r="BC18" s="238">
        <v>4360.2170000000006</v>
      </c>
      <c r="BD18" s="238">
        <v>5273.9690000000001</v>
      </c>
      <c r="BE18" s="238">
        <v>0</v>
      </c>
      <c r="BF18" s="238">
        <v>122828.00000000001</v>
      </c>
      <c r="BG18" s="238">
        <v>1835</v>
      </c>
      <c r="BH18" s="238">
        <v>0</v>
      </c>
      <c r="BI18" s="238">
        <v>19124.499000000003</v>
      </c>
      <c r="BJ18" s="238">
        <v>0</v>
      </c>
      <c r="BK18" s="238">
        <v>0</v>
      </c>
      <c r="BL18" s="238">
        <v>0</v>
      </c>
      <c r="BN18" s="172"/>
    </row>
    <row r="19" spans="1:66" ht="11.25" customHeight="1">
      <c r="A19" s="13" t="s">
        <v>290</v>
      </c>
      <c r="B19" s="201" t="s">
        <v>345</v>
      </c>
      <c r="C19" s="238">
        <v>0</v>
      </c>
      <c r="D19" s="238">
        <v>0</v>
      </c>
      <c r="E19" s="238">
        <v>0</v>
      </c>
      <c r="F19" s="238">
        <v>0</v>
      </c>
      <c r="G19" s="238">
        <v>0</v>
      </c>
      <c r="H19" s="238">
        <v>0</v>
      </c>
      <c r="I19" s="238">
        <v>0</v>
      </c>
      <c r="J19" s="238">
        <v>0</v>
      </c>
      <c r="K19" s="238">
        <v>0</v>
      </c>
      <c r="L19" s="238">
        <v>0</v>
      </c>
      <c r="M19" s="238">
        <v>0</v>
      </c>
      <c r="N19" s="13" t="s">
        <v>290</v>
      </c>
      <c r="O19" s="201" t="s">
        <v>345</v>
      </c>
      <c r="P19" s="238">
        <v>0</v>
      </c>
      <c r="Q19" s="238">
        <v>0</v>
      </c>
      <c r="R19" s="238">
        <v>0</v>
      </c>
      <c r="S19" s="238">
        <v>0</v>
      </c>
      <c r="T19" s="238">
        <v>0</v>
      </c>
      <c r="U19" s="238">
        <v>0</v>
      </c>
      <c r="V19" s="238">
        <v>0</v>
      </c>
      <c r="W19" s="238">
        <v>0</v>
      </c>
      <c r="X19" s="238">
        <v>0</v>
      </c>
      <c r="Y19" s="238">
        <v>0</v>
      </c>
      <c r="Z19" s="238">
        <v>0</v>
      </c>
      <c r="AA19" s="13" t="s">
        <v>290</v>
      </c>
      <c r="AB19" s="201" t="s">
        <v>345</v>
      </c>
      <c r="AC19" s="238">
        <v>0</v>
      </c>
      <c r="AD19" s="238">
        <v>0</v>
      </c>
      <c r="AE19" s="238">
        <v>0</v>
      </c>
      <c r="AF19" s="238">
        <v>0</v>
      </c>
      <c r="AG19" s="238">
        <v>0</v>
      </c>
      <c r="AH19" s="238">
        <v>0</v>
      </c>
      <c r="AI19" s="238">
        <v>0</v>
      </c>
      <c r="AJ19" s="238">
        <v>0</v>
      </c>
      <c r="AK19" s="238">
        <v>0</v>
      </c>
      <c r="AL19" s="238">
        <v>0</v>
      </c>
      <c r="AM19" s="13" t="s">
        <v>290</v>
      </c>
      <c r="AN19" s="201" t="s">
        <v>345</v>
      </c>
      <c r="AO19" s="238">
        <v>0</v>
      </c>
      <c r="AP19" s="238">
        <v>0</v>
      </c>
      <c r="AQ19" s="238">
        <v>0</v>
      </c>
      <c r="AR19" s="238">
        <v>0</v>
      </c>
      <c r="AS19" s="238">
        <v>0</v>
      </c>
      <c r="AT19" s="238">
        <v>0</v>
      </c>
      <c r="AU19" s="238">
        <v>0</v>
      </c>
      <c r="AV19" s="238">
        <v>0</v>
      </c>
      <c r="AW19" s="238">
        <v>0</v>
      </c>
      <c r="AX19" s="238">
        <v>0</v>
      </c>
      <c r="AY19" s="238">
        <v>0</v>
      </c>
      <c r="AZ19" s="13" t="s">
        <v>290</v>
      </c>
      <c r="BA19" s="201" t="s">
        <v>345</v>
      </c>
      <c r="BB19" s="238">
        <v>0</v>
      </c>
      <c r="BC19" s="238">
        <v>0</v>
      </c>
      <c r="BD19" s="238">
        <v>0</v>
      </c>
      <c r="BE19" s="238">
        <v>0</v>
      </c>
      <c r="BF19" s="238">
        <v>0</v>
      </c>
      <c r="BG19" s="238">
        <v>0</v>
      </c>
      <c r="BH19" s="238">
        <v>0</v>
      </c>
      <c r="BI19" s="238">
        <v>0</v>
      </c>
      <c r="BJ19" s="238">
        <v>0</v>
      </c>
      <c r="BK19" s="238">
        <v>0</v>
      </c>
      <c r="BL19" s="238">
        <v>0</v>
      </c>
      <c r="BN19" s="172"/>
    </row>
    <row r="20" spans="1:66" ht="11.25" customHeight="1">
      <c r="A20" s="13"/>
      <c r="B20" s="201" t="s">
        <v>351</v>
      </c>
      <c r="C20" s="238">
        <v>0</v>
      </c>
      <c r="D20" s="238">
        <v>0</v>
      </c>
      <c r="E20" s="238">
        <v>0</v>
      </c>
      <c r="F20" s="238">
        <v>0</v>
      </c>
      <c r="G20" s="238">
        <v>0</v>
      </c>
      <c r="H20" s="238">
        <v>0</v>
      </c>
      <c r="I20" s="238">
        <v>0</v>
      </c>
      <c r="J20" s="238">
        <v>0</v>
      </c>
      <c r="K20" s="238">
        <v>0</v>
      </c>
      <c r="L20" s="238">
        <v>0</v>
      </c>
      <c r="M20" s="238">
        <v>0</v>
      </c>
      <c r="N20" s="13"/>
      <c r="O20" s="201" t="s">
        <v>351</v>
      </c>
      <c r="P20" s="238">
        <v>0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238">
        <v>0</v>
      </c>
      <c r="Z20" s="238">
        <v>0</v>
      </c>
      <c r="AA20" s="13"/>
      <c r="AB20" s="201" t="s">
        <v>351</v>
      </c>
      <c r="AC20" s="238">
        <v>0</v>
      </c>
      <c r="AD20" s="238">
        <v>0</v>
      </c>
      <c r="AE20" s="238">
        <v>0</v>
      </c>
      <c r="AF20" s="238">
        <v>0</v>
      </c>
      <c r="AG20" s="238">
        <v>0</v>
      </c>
      <c r="AH20" s="238">
        <v>0</v>
      </c>
      <c r="AI20" s="238">
        <v>0</v>
      </c>
      <c r="AJ20" s="238">
        <v>0</v>
      </c>
      <c r="AK20" s="238">
        <v>0</v>
      </c>
      <c r="AL20" s="238">
        <v>0</v>
      </c>
      <c r="AM20" s="13"/>
      <c r="AN20" s="201" t="s">
        <v>351</v>
      </c>
      <c r="AO20" s="238">
        <v>0</v>
      </c>
      <c r="AP20" s="238">
        <v>0</v>
      </c>
      <c r="AQ20" s="238">
        <v>0</v>
      </c>
      <c r="AR20" s="238">
        <v>0</v>
      </c>
      <c r="AS20" s="238">
        <v>0</v>
      </c>
      <c r="AT20" s="238">
        <v>0</v>
      </c>
      <c r="AU20" s="238">
        <v>0</v>
      </c>
      <c r="AV20" s="238">
        <v>0</v>
      </c>
      <c r="AW20" s="238">
        <v>0</v>
      </c>
      <c r="AX20" s="238">
        <v>0</v>
      </c>
      <c r="AY20" s="238">
        <v>0</v>
      </c>
      <c r="AZ20" s="13"/>
      <c r="BA20" s="201" t="s">
        <v>351</v>
      </c>
      <c r="BB20" s="238">
        <v>0</v>
      </c>
      <c r="BC20" s="238">
        <v>0</v>
      </c>
      <c r="BD20" s="238">
        <v>0</v>
      </c>
      <c r="BE20" s="238">
        <v>0</v>
      </c>
      <c r="BF20" s="238">
        <v>0</v>
      </c>
      <c r="BG20" s="238">
        <v>0</v>
      </c>
      <c r="BH20" s="238">
        <v>0</v>
      </c>
      <c r="BI20" s="238">
        <v>0</v>
      </c>
      <c r="BJ20" s="238">
        <v>0</v>
      </c>
      <c r="BK20" s="238">
        <v>0</v>
      </c>
      <c r="BL20" s="238">
        <v>0</v>
      </c>
      <c r="BN20" s="172"/>
    </row>
    <row r="21" spans="1:66" ht="11.25" customHeight="1">
      <c r="A21" s="13" t="s">
        <v>30</v>
      </c>
      <c r="B21" s="201" t="s">
        <v>345</v>
      </c>
      <c r="C21" s="238">
        <v>15999.800000000003</v>
      </c>
      <c r="D21" s="238">
        <v>5830.3590000000004</v>
      </c>
      <c r="E21" s="238">
        <v>69868.399999999994</v>
      </c>
      <c r="F21" s="238">
        <v>2147.6</v>
      </c>
      <c r="G21" s="238">
        <v>26567.05</v>
      </c>
      <c r="H21" s="238">
        <v>6758.2999999999993</v>
      </c>
      <c r="I21" s="238">
        <v>0</v>
      </c>
      <c r="J21" s="238">
        <v>8110</v>
      </c>
      <c r="K21" s="238">
        <v>0</v>
      </c>
      <c r="L21" s="238">
        <v>0</v>
      </c>
      <c r="M21" s="238">
        <v>0</v>
      </c>
      <c r="N21" s="13" t="s">
        <v>30</v>
      </c>
      <c r="O21" s="201" t="s">
        <v>345</v>
      </c>
      <c r="P21" s="238">
        <v>438</v>
      </c>
      <c r="Q21" s="238">
        <v>3402</v>
      </c>
      <c r="R21" s="238">
        <v>1663.5</v>
      </c>
      <c r="S21" s="238">
        <v>6545</v>
      </c>
      <c r="T21" s="238">
        <v>0</v>
      </c>
      <c r="U21" s="238">
        <v>4201.5</v>
      </c>
      <c r="V21" s="238">
        <v>32252</v>
      </c>
      <c r="W21" s="238">
        <v>7990.8</v>
      </c>
      <c r="X21" s="238">
        <v>20315.5</v>
      </c>
      <c r="Y21" s="238">
        <v>193.3</v>
      </c>
      <c r="Z21" s="238">
        <v>4131</v>
      </c>
      <c r="AA21" s="13" t="s">
        <v>30</v>
      </c>
      <c r="AB21" s="201" t="s">
        <v>345</v>
      </c>
      <c r="AC21" s="238">
        <v>3815.1</v>
      </c>
      <c r="AD21" s="238">
        <v>1397</v>
      </c>
      <c r="AE21" s="238">
        <v>1305</v>
      </c>
      <c r="AF21" s="238">
        <v>15486</v>
      </c>
      <c r="AG21" s="238">
        <v>1448.7</v>
      </c>
      <c r="AH21" s="238">
        <v>0</v>
      </c>
      <c r="AI21" s="238">
        <v>0</v>
      </c>
      <c r="AJ21" s="238">
        <v>452</v>
      </c>
      <c r="AK21" s="238">
        <v>1785</v>
      </c>
      <c r="AL21" s="238">
        <v>14170</v>
      </c>
      <c r="AM21" s="13" t="s">
        <v>30</v>
      </c>
      <c r="AN21" s="201" t="s">
        <v>345</v>
      </c>
      <c r="AO21" s="238">
        <v>0</v>
      </c>
      <c r="AP21" s="238">
        <v>0</v>
      </c>
      <c r="AQ21" s="238">
        <v>430339.5</v>
      </c>
      <c r="AR21" s="238">
        <v>30892.2</v>
      </c>
      <c r="AS21" s="238">
        <v>391.6</v>
      </c>
      <c r="AT21" s="238">
        <v>15662</v>
      </c>
      <c r="AU21" s="238">
        <v>30698</v>
      </c>
      <c r="AV21" s="238">
        <v>26878.55</v>
      </c>
      <c r="AW21" s="238">
        <v>5865.5</v>
      </c>
      <c r="AX21" s="238">
        <v>0</v>
      </c>
      <c r="AY21" s="238">
        <v>2667.4900000000002</v>
      </c>
      <c r="AZ21" s="13" t="s">
        <v>30</v>
      </c>
      <c r="BA21" s="201" t="s">
        <v>345</v>
      </c>
      <c r="BB21" s="238">
        <v>0</v>
      </c>
      <c r="BC21" s="238">
        <v>19346.149999999998</v>
      </c>
      <c r="BD21" s="238">
        <v>3354.5499999999997</v>
      </c>
      <c r="BE21" s="238">
        <v>0</v>
      </c>
      <c r="BF21" s="238">
        <v>123782.31599999999</v>
      </c>
      <c r="BG21" s="238">
        <v>0</v>
      </c>
      <c r="BH21" s="238">
        <v>17366</v>
      </c>
      <c r="BI21" s="238">
        <v>256726</v>
      </c>
      <c r="BJ21" s="238">
        <v>0</v>
      </c>
      <c r="BK21" s="238">
        <v>0</v>
      </c>
      <c r="BL21" s="238">
        <v>0</v>
      </c>
      <c r="BN21" s="172"/>
    </row>
    <row r="22" spans="1:66" ht="11.25" customHeight="1">
      <c r="A22" s="13"/>
      <c r="B22" s="201" t="s">
        <v>351</v>
      </c>
      <c r="C22" s="238">
        <v>16370.6</v>
      </c>
      <c r="D22" s="238">
        <v>4901.8</v>
      </c>
      <c r="E22" s="238">
        <v>70384.19</v>
      </c>
      <c r="F22" s="238">
        <v>1987.6</v>
      </c>
      <c r="G22" s="238">
        <v>28316.099999999995</v>
      </c>
      <c r="H22" s="238">
        <v>13005.6</v>
      </c>
      <c r="I22" s="238">
        <v>0</v>
      </c>
      <c r="J22" s="238">
        <v>6239.9619999999995</v>
      </c>
      <c r="K22" s="238">
        <v>0</v>
      </c>
      <c r="L22" s="238">
        <v>0</v>
      </c>
      <c r="M22" s="238">
        <v>0</v>
      </c>
      <c r="N22" s="13"/>
      <c r="O22" s="201" t="s">
        <v>351</v>
      </c>
      <c r="P22" s="238">
        <v>817</v>
      </c>
      <c r="Q22" s="238">
        <v>3234</v>
      </c>
      <c r="R22" s="238">
        <v>2625.5</v>
      </c>
      <c r="S22" s="238">
        <v>7173</v>
      </c>
      <c r="T22" s="238">
        <v>0</v>
      </c>
      <c r="U22" s="238">
        <v>5535</v>
      </c>
      <c r="V22" s="238">
        <v>36071.5</v>
      </c>
      <c r="W22" s="238">
        <v>7650.8</v>
      </c>
      <c r="X22" s="238">
        <v>20895.7</v>
      </c>
      <c r="Y22" s="238">
        <v>198.5</v>
      </c>
      <c r="Z22" s="238">
        <v>4399.7</v>
      </c>
      <c r="AA22" s="13"/>
      <c r="AB22" s="201" t="s">
        <v>351</v>
      </c>
      <c r="AC22" s="238">
        <v>5802</v>
      </c>
      <c r="AD22" s="238">
        <v>1415.8000000000002</v>
      </c>
      <c r="AE22" s="238">
        <v>1056.3000000000002</v>
      </c>
      <c r="AF22" s="238">
        <v>17568.599999999999</v>
      </c>
      <c r="AG22" s="238">
        <v>1089.5999999999999</v>
      </c>
      <c r="AH22" s="238">
        <v>0</v>
      </c>
      <c r="AI22" s="238">
        <v>0</v>
      </c>
      <c r="AJ22" s="238">
        <v>609</v>
      </c>
      <c r="AK22" s="238">
        <v>1487</v>
      </c>
      <c r="AL22" s="238">
        <v>11560</v>
      </c>
      <c r="AM22" s="13"/>
      <c r="AN22" s="201" t="s">
        <v>351</v>
      </c>
      <c r="AO22" s="238">
        <v>0</v>
      </c>
      <c r="AP22" s="238">
        <v>0</v>
      </c>
      <c r="AQ22" s="238">
        <v>425563.05</v>
      </c>
      <c r="AR22" s="238">
        <v>22489.5</v>
      </c>
      <c r="AS22" s="238">
        <v>338.20000000000005</v>
      </c>
      <c r="AT22" s="238">
        <v>16420</v>
      </c>
      <c r="AU22" s="238">
        <v>31107</v>
      </c>
      <c r="AV22" s="238">
        <v>30799.089999999997</v>
      </c>
      <c r="AW22" s="238">
        <v>5979.2799999999988</v>
      </c>
      <c r="AX22" s="238">
        <v>0</v>
      </c>
      <c r="AY22" s="238">
        <v>3334.3</v>
      </c>
      <c r="AZ22" s="13"/>
      <c r="BA22" s="201" t="s">
        <v>351</v>
      </c>
      <c r="BB22" s="238">
        <v>0</v>
      </c>
      <c r="BC22" s="238">
        <v>19679.599999999999</v>
      </c>
      <c r="BD22" s="238">
        <v>3113.2</v>
      </c>
      <c r="BE22" s="238">
        <v>0</v>
      </c>
      <c r="BF22" s="238">
        <v>128485.35</v>
      </c>
      <c r="BG22" s="238">
        <v>0</v>
      </c>
      <c r="BH22" s="238">
        <v>20686</v>
      </c>
      <c r="BI22" s="238">
        <v>354730</v>
      </c>
      <c r="BJ22" s="238">
        <v>0</v>
      </c>
      <c r="BK22" s="238">
        <v>0</v>
      </c>
      <c r="BL22" s="238">
        <v>0</v>
      </c>
      <c r="BN22" s="172"/>
    </row>
    <row r="23" spans="1:66" ht="11.25" customHeight="1">
      <c r="A23" s="13" t="s">
        <v>31</v>
      </c>
      <c r="B23" s="201" t="s">
        <v>345</v>
      </c>
      <c r="C23" s="238">
        <v>6548.65</v>
      </c>
      <c r="D23" s="238">
        <v>335.2</v>
      </c>
      <c r="E23" s="238">
        <v>39169.549999999996</v>
      </c>
      <c r="F23" s="238">
        <v>0</v>
      </c>
      <c r="G23" s="238">
        <v>23166.399999999998</v>
      </c>
      <c r="H23" s="238">
        <v>2021.7500000000002</v>
      </c>
      <c r="I23" s="238">
        <v>0</v>
      </c>
      <c r="J23" s="238">
        <v>0</v>
      </c>
      <c r="K23" s="238">
        <v>0</v>
      </c>
      <c r="L23" s="238">
        <v>0</v>
      </c>
      <c r="M23" s="238">
        <v>0</v>
      </c>
      <c r="N23" s="13" t="s">
        <v>31</v>
      </c>
      <c r="O23" s="201" t="s">
        <v>345</v>
      </c>
      <c r="P23" s="238">
        <v>177.9</v>
      </c>
      <c r="Q23" s="238">
        <v>2493.65</v>
      </c>
      <c r="R23" s="238">
        <v>19448.95</v>
      </c>
      <c r="S23" s="238">
        <v>245.8</v>
      </c>
      <c r="T23" s="238">
        <v>541.80000000000007</v>
      </c>
      <c r="U23" s="238">
        <v>56.5</v>
      </c>
      <c r="V23" s="238">
        <v>7708.7999999999993</v>
      </c>
      <c r="W23" s="238">
        <v>13437.25</v>
      </c>
      <c r="X23" s="238">
        <v>935.90000000000009</v>
      </c>
      <c r="Y23" s="238">
        <v>117.89999999999999</v>
      </c>
      <c r="Z23" s="238">
        <v>304.00000000000006</v>
      </c>
      <c r="AA23" s="13" t="s">
        <v>31</v>
      </c>
      <c r="AB23" s="201" t="s">
        <v>345</v>
      </c>
      <c r="AC23" s="238">
        <v>0</v>
      </c>
      <c r="AD23" s="238">
        <v>52.400000000000006</v>
      </c>
      <c r="AE23" s="238">
        <v>177.59999999999997</v>
      </c>
      <c r="AF23" s="238">
        <v>304.69999999999993</v>
      </c>
      <c r="AG23" s="238">
        <v>0</v>
      </c>
      <c r="AH23" s="238">
        <v>0</v>
      </c>
      <c r="AI23" s="238">
        <v>0</v>
      </c>
      <c r="AJ23" s="238">
        <v>198.75</v>
      </c>
      <c r="AK23" s="238">
        <v>284.95</v>
      </c>
      <c r="AL23" s="238">
        <v>5856.1</v>
      </c>
      <c r="AM23" s="13" t="s">
        <v>31</v>
      </c>
      <c r="AN23" s="201" t="s">
        <v>345</v>
      </c>
      <c r="AO23" s="238">
        <v>0</v>
      </c>
      <c r="AP23" s="238">
        <v>0</v>
      </c>
      <c r="AQ23" s="238">
        <v>294959.34999999998</v>
      </c>
      <c r="AR23" s="238">
        <v>0</v>
      </c>
      <c r="AS23" s="238">
        <v>89.399999999999991</v>
      </c>
      <c r="AT23" s="238">
        <v>2820.65</v>
      </c>
      <c r="AU23" s="238">
        <v>16721.57</v>
      </c>
      <c r="AV23" s="238">
        <v>1.22</v>
      </c>
      <c r="AW23" s="238">
        <v>0</v>
      </c>
      <c r="AX23" s="238">
        <v>0</v>
      </c>
      <c r="AY23" s="238">
        <v>14823.9</v>
      </c>
      <c r="AZ23" s="13" t="s">
        <v>31</v>
      </c>
      <c r="BA23" s="201" t="s">
        <v>345</v>
      </c>
      <c r="BB23" s="238">
        <v>0</v>
      </c>
      <c r="BC23" s="238">
        <v>10327.85</v>
      </c>
      <c r="BD23" s="238">
        <v>6026.55</v>
      </c>
      <c r="BE23" s="238">
        <v>0</v>
      </c>
      <c r="BF23" s="238">
        <v>158893.74999999997</v>
      </c>
      <c r="BG23" s="238">
        <v>0</v>
      </c>
      <c r="BH23" s="238">
        <v>0</v>
      </c>
      <c r="BI23" s="238">
        <v>21300.799999999999</v>
      </c>
      <c r="BJ23" s="238">
        <v>0</v>
      </c>
      <c r="BK23" s="238">
        <v>0</v>
      </c>
      <c r="BL23" s="238">
        <v>0</v>
      </c>
      <c r="BN23" s="172"/>
    </row>
    <row r="24" spans="1:66" ht="11.25" customHeight="1">
      <c r="A24" s="13"/>
      <c r="B24" s="201" t="s">
        <v>351</v>
      </c>
      <c r="C24" s="238">
        <v>6176.0499999999993</v>
      </c>
      <c r="D24" s="238">
        <v>616.10000000000014</v>
      </c>
      <c r="E24" s="238">
        <v>31605.895000000008</v>
      </c>
      <c r="F24" s="238">
        <v>0</v>
      </c>
      <c r="G24" s="238">
        <v>23263.849999999991</v>
      </c>
      <c r="H24" s="238">
        <v>2369.9500000000003</v>
      </c>
      <c r="I24" s="238">
        <v>0</v>
      </c>
      <c r="J24" s="238">
        <v>0</v>
      </c>
      <c r="K24" s="238">
        <v>0</v>
      </c>
      <c r="L24" s="238">
        <v>0</v>
      </c>
      <c r="M24" s="238">
        <v>0</v>
      </c>
      <c r="N24" s="13"/>
      <c r="O24" s="201" t="s">
        <v>351</v>
      </c>
      <c r="P24" s="238">
        <v>351.5</v>
      </c>
      <c r="Q24" s="238">
        <v>7441.7999999999993</v>
      </c>
      <c r="R24" s="238">
        <v>13633.349999999999</v>
      </c>
      <c r="S24" s="238">
        <v>1006.5999999999999</v>
      </c>
      <c r="T24" s="238">
        <v>1158.9000000000001</v>
      </c>
      <c r="U24" s="238">
        <v>631.5</v>
      </c>
      <c r="V24" s="238">
        <v>6490.9000000000015</v>
      </c>
      <c r="W24" s="238">
        <v>15663.828999999998</v>
      </c>
      <c r="X24" s="238">
        <v>907.00000000000011</v>
      </c>
      <c r="Y24" s="238">
        <v>106.4</v>
      </c>
      <c r="Z24" s="238">
        <v>262.14999999999998</v>
      </c>
      <c r="AA24" s="13"/>
      <c r="AB24" s="201" t="s">
        <v>351</v>
      </c>
      <c r="AC24" s="238">
        <v>0</v>
      </c>
      <c r="AD24" s="238">
        <v>11.399999999999999</v>
      </c>
      <c r="AE24" s="238">
        <v>172.95</v>
      </c>
      <c r="AF24" s="238">
        <v>271.85000000000002</v>
      </c>
      <c r="AG24" s="238">
        <v>0</v>
      </c>
      <c r="AH24" s="238">
        <v>0</v>
      </c>
      <c r="AI24" s="238">
        <v>0</v>
      </c>
      <c r="AJ24" s="238">
        <v>168.54999999999998</v>
      </c>
      <c r="AK24" s="238">
        <v>246.35</v>
      </c>
      <c r="AL24" s="238">
        <v>6071.7500000000009</v>
      </c>
      <c r="AM24" s="13"/>
      <c r="AN24" s="201" t="s">
        <v>351</v>
      </c>
      <c r="AO24" s="238">
        <v>0</v>
      </c>
      <c r="AP24" s="238">
        <v>0</v>
      </c>
      <c r="AQ24" s="238">
        <v>253865.24999999997</v>
      </c>
      <c r="AR24" s="238">
        <v>0</v>
      </c>
      <c r="AS24" s="238">
        <v>55.500000000000007</v>
      </c>
      <c r="AT24" s="238">
        <v>2703.25</v>
      </c>
      <c r="AU24" s="238">
        <v>13994.249999999996</v>
      </c>
      <c r="AV24" s="238">
        <v>0</v>
      </c>
      <c r="AW24" s="238">
        <v>0</v>
      </c>
      <c r="AX24" s="238">
        <v>0</v>
      </c>
      <c r="AY24" s="238">
        <v>13175.899999999998</v>
      </c>
      <c r="AZ24" s="13"/>
      <c r="BA24" s="201" t="s">
        <v>351</v>
      </c>
      <c r="BB24" s="238">
        <v>7.4</v>
      </c>
      <c r="BC24" s="238">
        <v>9498.8999999999978</v>
      </c>
      <c r="BD24" s="238">
        <v>5318.7500000000009</v>
      </c>
      <c r="BE24" s="238">
        <v>0</v>
      </c>
      <c r="BF24" s="238">
        <v>163462</v>
      </c>
      <c r="BG24" s="238">
        <v>0</v>
      </c>
      <c r="BH24" s="238">
        <v>223</v>
      </c>
      <c r="BI24" s="238">
        <v>32544.15</v>
      </c>
      <c r="BJ24" s="238">
        <v>0</v>
      </c>
      <c r="BK24" s="238">
        <v>0</v>
      </c>
      <c r="BL24" s="238">
        <v>0</v>
      </c>
      <c r="BN24" s="172"/>
    </row>
    <row r="25" spans="1:66" ht="11.25" customHeight="1">
      <c r="A25" s="13" t="s">
        <v>153</v>
      </c>
      <c r="B25" s="201" t="s">
        <v>345</v>
      </c>
      <c r="C25" s="238">
        <v>12028</v>
      </c>
      <c r="D25" s="238">
        <v>38294</v>
      </c>
      <c r="E25" s="238">
        <v>15831</v>
      </c>
      <c r="F25" s="238">
        <v>28106</v>
      </c>
      <c r="G25" s="238">
        <v>9014</v>
      </c>
      <c r="H25" s="238">
        <v>625.99999999999989</v>
      </c>
      <c r="I25" s="238">
        <v>0</v>
      </c>
      <c r="J25" s="238">
        <v>0</v>
      </c>
      <c r="K25" s="238">
        <v>252.40000000000003</v>
      </c>
      <c r="L25" s="238">
        <v>0</v>
      </c>
      <c r="M25" s="238">
        <v>0</v>
      </c>
      <c r="N25" s="13" t="s">
        <v>153</v>
      </c>
      <c r="O25" s="201" t="s">
        <v>345</v>
      </c>
      <c r="P25" s="238">
        <v>630</v>
      </c>
      <c r="Q25" s="238">
        <v>14659</v>
      </c>
      <c r="R25" s="238">
        <v>10972</v>
      </c>
      <c r="S25" s="238">
        <v>2163</v>
      </c>
      <c r="T25" s="238">
        <v>187</v>
      </c>
      <c r="U25" s="238">
        <v>1137</v>
      </c>
      <c r="V25" s="238">
        <v>7003</v>
      </c>
      <c r="W25" s="238">
        <v>1216.5</v>
      </c>
      <c r="X25" s="238">
        <v>151522</v>
      </c>
      <c r="Y25" s="238">
        <v>322.8</v>
      </c>
      <c r="Z25" s="238">
        <v>1525</v>
      </c>
      <c r="AA25" s="13" t="s">
        <v>153</v>
      </c>
      <c r="AB25" s="201" t="s">
        <v>345</v>
      </c>
      <c r="AC25" s="238">
        <v>5579</v>
      </c>
      <c r="AD25" s="238">
        <v>1923.4</v>
      </c>
      <c r="AE25" s="238">
        <v>993</v>
      </c>
      <c r="AF25" s="238">
        <v>8317</v>
      </c>
      <c r="AG25" s="238">
        <v>1076</v>
      </c>
      <c r="AH25" s="238">
        <v>0</v>
      </c>
      <c r="AI25" s="238">
        <v>0</v>
      </c>
      <c r="AJ25" s="238">
        <v>98</v>
      </c>
      <c r="AK25" s="238">
        <v>1417</v>
      </c>
      <c r="AL25" s="238">
        <v>151.69999999999999</v>
      </c>
      <c r="AM25" s="13" t="s">
        <v>153</v>
      </c>
      <c r="AN25" s="201" t="s">
        <v>345</v>
      </c>
      <c r="AO25" s="238">
        <v>0</v>
      </c>
      <c r="AP25" s="238">
        <v>23168</v>
      </c>
      <c r="AQ25" s="238">
        <v>398506</v>
      </c>
      <c r="AR25" s="238">
        <v>39276</v>
      </c>
      <c r="AS25" s="238">
        <v>2957</v>
      </c>
      <c r="AT25" s="238">
        <v>4824</v>
      </c>
      <c r="AU25" s="238">
        <v>16296</v>
      </c>
      <c r="AV25" s="238">
        <v>10340</v>
      </c>
      <c r="AW25" s="238">
        <v>10403.1</v>
      </c>
      <c r="AX25" s="238">
        <v>0</v>
      </c>
      <c r="AY25" s="238">
        <v>4273</v>
      </c>
      <c r="AZ25" s="13" t="s">
        <v>153</v>
      </c>
      <c r="BA25" s="201" t="s">
        <v>345</v>
      </c>
      <c r="BB25" s="238">
        <v>0</v>
      </c>
      <c r="BC25" s="238">
        <v>3282</v>
      </c>
      <c r="BD25" s="238">
        <v>1213.999</v>
      </c>
      <c r="BE25" s="238">
        <v>0</v>
      </c>
      <c r="BF25" s="238">
        <v>18822</v>
      </c>
      <c r="BG25" s="238">
        <v>5571</v>
      </c>
      <c r="BH25" s="238">
        <v>0</v>
      </c>
      <c r="BI25" s="238">
        <v>20397</v>
      </c>
      <c r="BJ25" s="238">
        <v>0</v>
      </c>
      <c r="BK25" s="238">
        <v>0</v>
      </c>
      <c r="BL25" s="238">
        <v>0</v>
      </c>
      <c r="BN25" s="172"/>
    </row>
    <row r="26" spans="1:66" ht="11.25" customHeight="1">
      <c r="A26" s="13"/>
      <c r="B26" s="201" t="s">
        <v>351</v>
      </c>
      <c r="C26" s="238">
        <v>12261</v>
      </c>
      <c r="D26" s="238">
        <v>29824.5</v>
      </c>
      <c r="E26" s="238">
        <v>15831</v>
      </c>
      <c r="F26" s="238">
        <v>25801</v>
      </c>
      <c r="G26" s="238">
        <v>9454</v>
      </c>
      <c r="H26" s="238">
        <v>797.5</v>
      </c>
      <c r="I26" s="238">
        <v>0</v>
      </c>
      <c r="J26" s="238">
        <v>0</v>
      </c>
      <c r="K26" s="238">
        <v>257.70000000000005</v>
      </c>
      <c r="L26" s="238">
        <v>0</v>
      </c>
      <c r="M26" s="238">
        <v>0</v>
      </c>
      <c r="N26" s="13"/>
      <c r="O26" s="201" t="s">
        <v>351</v>
      </c>
      <c r="P26" s="238">
        <v>795</v>
      </c>
      <c r="Q26" s="238">
        <v>21550</v>
      </c>
      <c r="R26" s="238">
        <v>11808</v>
      </c>
      <c r="S26" s="238">
        <v>2945</v>
      </c>
      <c r="T26" s="238">
        <v>193.5</v>
      </c>
      <c r="U26" s="238">
        <v>1162.5</v>
      </c>
      <c r="V26" s="238">
        <v>7716</v>
      </c>
      <c r="W26" s="238">
        <v>1324</v>
      </c>
      <c r="X26" s="238">
        <v>152308</v>
      </c>
      <c r="Y26" s="238">
        <v>298</v>
      </c>
      <c r="Z26" s="238">
        <v>1428.9</v>
      </c>
      <c r="AA26" s="13"/>
      <c r="AB26" s="201" t="s">
        <v>351</v>
      </c>
      <c r="AC26" s="238">
        <v>5627.5</v>
      </c>
      <c r="AD26" s="238">
        <v>1861</v>
      </c>
      <c r="AE26" s="238">
        <v>1004</v>
      </c>
      <c r="AF26" s="238">
        <v>8447</v>
      </c>
      <c r="AG26" s="238">
        <v>1094</v>
      </c>
      <c r="AH26" s="238">
        <v>0</v>
      </c>
      <c r="AI26" s="238">
        <v>0</v>
      </c>
      <c r="AJ26" s="238">
        <v>99.5</v>
      </c>
      <c r="AK26" s="238">
        <v>1484.5</v>
      </c>
      <c r="AL26" s="238">
        <v>151</v>
      </c>
      <c r="AM26" s="13"/>
      <c r="AN26" s="201" t="s">
        <v>351</v>
      </c>
      <c r="AO26" s="238">
        <v>0</v>
      </c>
      <c r="AP26" s="238">
        <v>24929</v>
      </c>
      <c r="AQ26" s="238">
        <v>431192</v>
      </c>
      <c r="AR26" s="238">
        <v>41925</v>
      </c>
      <c r="AS26" s="238">
        <v>2895</v>
      </c>
      <c r="AT26" s="238">
        <v>5237</v>
      </c>
      <c r="AU26" s="238">
        <v>18345</v>
      </c>
      <c r="AV26" s="238">
        <v>10493</v>
      </c>
      <c r="AW26" s="238">
        <v>11208</v>
      </c>
      <c r="AX26" s="238">
        <v>0</v>
      </c>
      <c r="AY26" s="238">
        <v>4840</v>
      </c>
      <c r="AZ26" s="13"/>
      <c r="BA26" s="201" t="s">
        <v>351</v>
      </c>
      <c r="BB26" s="238">
        <v>0</v>
      </c>
      <c r="BC26" s="238">
        <v>3394</v>
      </c>
      <c r="BD26" s="238">
        <v>1338</v>
      </c>
      <c r="BE26" s="238">
        <v>0</v>
      </c>
      <c r="BF26" s="238">
        <v>22124</v>
      </c>
      <c r="BG26" s="238">
        <v>5836</v>
      </c>
      <c r="BH26" s="238">
        <v>725</v>
      </c>
      <c r="BI26" s="238">
        <v>21184</v>
      </c>
      <c r="BJ26" s="238">
        <v>0</v>
      </c>
      <c r="BK26" s="238">
        <v>0</v>
      </c>
      <c r="BL26" s="238">
        <v>0</v>
      </c>
      <c r="BN26" s="172"/>
    </row>
    <row r="27" spans="1:66" ht="11.25" customHeight="1">
      <c r="A27" s="13" t="s">
        <v>32</v>
      </c>
      <c r="B27" s="201" t="s">
        <v>345</v>
      </c>
      <c r="C27" s="238">
        <v>60.1</v>
      </c>
      <c r="D27" s="238">
        <v>109843.55</v>
      </c>
      <c r="E27" s="238">
        <v>95.8</v>
      </c>
      <c r="F27" s="238">
        <v>0</v>
      </c>
      <c r="G27" s="238">
        <v>110.34</v>
      </c>
      <c r="H27" s="238">
        <v>6.3</v>
      </c>
      <c r="I27" s="238">
        <v>116412.679</v>
      </c>
      <c r="J27" s="238">
        <v>402</v>
      </c>
      <c r="K27" s="238">
        <v>4470.45</v>
      </c>
      <c r="L27" s="238">
        <v>0</v>
      </c>
      <c r="M27" s="238">
        <v>143.18</v>
      </c>
      <c r="N27" s="13" t="s">
        <v>32</v>
      </c>
      <c r="O27" s="201" t="s">
        <v>345</v>
      </c>
      <c r="P27" s="238">
        <v>53971.05</v>
      </c>
      <c r="Q27" s="238">
        <v>10862.27</v>
      </c>
      <c r="R27" s="238">
        <v>354.81</v>
      </c>
      <c r="S27" s="238">
        <v>142.80000000000001</v>
      </c>
      <c r="T27" s="238">
        <v>22.1</v>
      </c>
      <c r="U27" s="238">
        <v>63086.030000000006</v>
      </c>
      <c r="V27" s="238">
        <v>3122.6490000000003</v>
      </c>
      <c r="W27" s="238">
        <v>80058.748999999996</v>
      </c>
      <c r="X27" s="238">
        <v>1771.43</v>
      </c>
      <c r="Y27" s="238">
        <v>7977.7570000000005</v>
      </c>
      <c r="Z27" s="238">
        <v>228.74</v>
      </c>
      <c r="AA27" s="13" t="s">
        <v>32</v>
      </c>
      <c r="AB27" s="201" t="s">
        <v>345</v>
      </c>
      <c r="AC27" s="238">
        <v>0</v>
      </c>
      <c r="AD27" s="238">
        <v>9.5</v>
      </c>
      <c r="AE27" s="238">
        <v>1569.03</v>
      </c>
      <c r="AF27" s="238">
        <v>27385.040000000001</v>
      </c>
      <c r="AG27" s="238">
        <v>173476.43000000002</v>
      </c>
      <c r="AH27" s="238">
        <v>29125.9</v>
      </c>
      <c r="AI27" s="238">
        <v>212981.91</v>
      </c>
      <c r="AJ27" s="238">
        <v>1267.2799999999997</v>
      </c>
      <c r="AK27" s="238">
        <v>547.5</v>
      </c>
      <c r="AL27" s="238">
        <v>926.94799999999998</v>
      </c>
      <c r="AM27" s="13" t="s">
        <v>32</v>
      </c>
      <c r="AN27" s="201" t="s">
        <v>345</v>
      </c>
      <c r="AO27" s="238">
        <v>6862.67</v>
      </c>
      <c r="AP27" s="238">
        <v>0</v>
      </c>
      <c r="AQ27" s="238">
        <v>69534.41</v>
      </c>
      <c r="AR27" s="238">
        <v>4082.6</v>
      </c>
      <c r="AS27" s="238">
        <v>17513.2</v>
      </c>
      <c r="AT27" s="238">
        <v>24.8</v>
      </c>
      <c r="AU27" s="238">
        <v>0</v>
      </c>
      <c r="AV27" s="238">
        <v>0</v>
      </c>
      <c r="AW27" s="238">
        <v>0</v>
      </c>
      <c r="AX27" s="238">
        <v>1197.3899999999999</v>
      </c>
      <c r="AY27" s="238">
        <v>49.44</v>
      </c>
      <c r="AZ27" s="13" t="s">
        <v>32</v>
      </c>
      <c r="BA27" s="201" t="s">
        <v>345</v>
      </c>
      <c r="BB27" s="238">
        <v>311.14</v>
      </c>
      <c r="BC27" s="238">
        <v>0</v>
      </c>
      <c r="BD27" s="238">
        <v>0</v>
      </c>
      <c r="BE27" s="238">
        <v>0</v>
      </c>
      <c r="BF27" s="238">
        <v>87840.409000000014</v>
      </c>
      <c r="BG27" s="238">
        <v>0</v>
      </c>
      <c r="BH27" s="238">
        <v>0</v>
      </c>
      <c r="BI27" s="238">
        <v>0</v>
      </c>
      <c r="BJ27" s="238">
        <v>10564.688999999997</v>
      </c>
      <c r="BK27" s="238">
        <v>0</v>
      </c>
      <c r="BL27" s="238">
        <v>350.61</v>
      </c>
      <c r="BN27" s="172"/>
    </row>
    <row r="28" spans="1:66" ht="11.25" customHeight="1">
      <c r="A28" s="13"/>
      <c r="B28" s="201" t="s">
        <v>351</v>
      </c>
      <c r="C28" s="238">
        <v>38.775999999999996</v>
      </c>
      <c r="D28" s="238">
        <v>169162.772</v>
      </c>
      <c r="E28" s="238">
        <v>234.232</v>
      </c>
      <c r="F28" s="238">
        <v>0</v>
      </c>
      <c r="G28" s="238">
        <v>108.557</v>
      </c>
      <c r="H28" s="238">
        <v>16.698999999999998</v>
      </c>
      <c r="I28" s="238">
        <v>105226.36999999998</v>
      </c>
      <c r="J28" s="238">
        <v>1440</v>
      </c>
      <c r="K28" s="238">
        <v>5020.3139999999994</v>
      </c>
      <c r="L28" s="238">
        <v>0</v>
      </c>
      <c r="M28" s="238">
        <v>243.55</v>
      </c>
      <c r="N28" s="13"/>
      <c r="O28" s="201" t="s">
        <v>351</v>
      </c>
      <c r="P28" s="238">
        <v>62989.487000000001</v>
      </c>
      <c r="Q28" s="238">
        <v>23144.546999999999</v>
      </c>
      <c r="R28" s="238">
        <v>359.93400000000003</v>
      </c>
      <c r="S28" s="238">
        <v>17.8</v>
      </c>
      <c r="T28" s="238">
        <v>0</v>
      </c>
      <c r="U28" s="238">
        <v>60081.798999999999</v>
      </c>
      <c r="V28" s="238">
        <v>2562.1799999999998</v>
      </c>
      <c r="W28" s="238">
        <v>80016.508999999991</v>
      </c>
      <c r="X28" s="238">
        <v>1699.6599999999999</v>
      </c>
      <c r="Y28" s="238">
        <v>7409.8390000000009</v>
      </c>
      <c r="Z28" s="238">
        <v>239.12</v>
      </c>
      <c r="AA28" s="13"/>
      <c r="AB28" s="201" t="s">
        <v>351</v>
      </c>
      <c r="AC28" s="238">
        <v>0</v>
      </c>
      <c r="AD28" s="238">
        <v>12</v>
      </c>
      <c r="AE28" s="238">
        <v>787.80899999999997</v>
      </c>
      <c r="AF28" s="238">
        <v>27171.9</v>
      </c>
      <c r="AG28" s="238">
        <v>158348.74899999998</v>
      </c>
      <c r="AH28" s="238">
        <v>27703.610000000004</v>
      </c>
      <c r="AI28" s="238">
        <v>275002.92</v>
      </c>
      <c r="AJ28" s="238">
        <v>1254.03</v>
      </c>
      <c r="AK28" s="238">
        <v>575.25</v>
      </c>
      <c r="AL28" s="238">
        <v>944.60000000000014</v>
      </c>
      <c r="AM28" s="13"/>
      <c r="AN28" s="201" t="s">
        <v>351</v>
      </c>
      <c r="AO28" s="238">
        <v>5685</v>
      </c>
      <c r="AP28" s="238">
        <v>0</v>
      </c>
      <c r="AQ28" s="238">
        <v>77416.200000000012</v>
      </c>
      <c r="AR28" s="238">
        <v>5290.8379999999997</v>
      </c>
      <c r="AS28" s="238">
        <v>17504.578999999998</v>
      </c>
      <c r="AT28" s="238">
        <v>0</v>
      </c>
      <c r="AU28" s="238">
        <v>13.65</v>
      </c>
      <c r="AV28" s="238">
        <v>0</v>
      </c>
      <c r="AW28" s="238">
        <v>0</v>
      </c>
      <c r="AX28" s="238">
        <v>2364.0929999999998</v>
      </c>
      <c r="AY28" s="238">
        <v>85.316000000000003</v>
      </c>
      <c r="AZ28" s="13"/>
      <c r="BA28" s="201" t="s">
        <v>351</v>
      </c>
      <c r="BB28" s="238">
        <v>534.82399999999996</v>
      </c>
      <c r="BC28" s="238">
        <v>0</v>
      </c>
      <c r="BD28" s="238">
        <v>0</v>
      </c>
      <c r="BE28" s="238">
        <v>0</v>
      </c>
      <c r="BF28" s="238">
        <v>96385.547999999995</v>
      </c>
      <c r="BG28" s="238">
        <v>0</v>
      </c>
      <c r="BH28" s="238">
        <v>0</v>
      </c>
      <c r="BI28" s="238">
        <v>0</v>
      </c>
      <c r="BJ28" s="238">
        <v>6429.5880000000006</v>
      </c>
      <c r="BK28" s="238">
        <v>0</v>
      </c>
      <c r="BL28" s="238">
        <v>2369.4</v>
      </c>
      <c r="BN28" s="172"/>
    </row>
    <row r="29" spans="1:66" ht="11.25" customHeight="1">
      <c r="A29" s="13" t="s">
        <v>154</v>
      </c>
      <c r="B29" s="201" t="s">
        <v>345</v>
      </c>
      <c r="C29" s="238">
        <v>6606.77</v>
      </c>
      <c r="D29" s="238">
        <v>21023</v>
      </c>
      <c r="E29" s="238">
        <v>13693.150000000003</v>
      </c>
      <c r="F29" s="238">
        <v>1639</v>
      </c>
      <c r="G29" s="238">
        <v>17126.48</v>
      </c>
      <c r="H29" s="238">
        <v>4233.3</v>
      </c>
      <c r="I29" s="238">
        <v>0</v>
      </c>
      <c r="J29" s="238">
        <v>2894.9999999999995</v>
      </c>
      <c r="K29" s="238">
        <v>1116.3999999999999</v>
      </c>
      <c r="L29" s="238">
        <v>0</v>
      </c>
      <c r="M29" s="238">
        <v>0</v>
      </c>
      <c r="N29" s="13" t="s">
        <v>154</v>
      </c>
      <c r="O29" s="201" t="s">
        <v>345</v>
      </c>
      <c r="P29" s="238">
        <v>57.4</v>
      </c>
      <c r="Q29" s="238">
        <v>2325</v>
      </c>
      <c r="R29" s="238">
        <v>23978.959999999999</v>
      </c>
      <c r="S29" s="238">
        <v>22310.000000000004</v>
      </c>
      <c r="T29" s="238">
        <v>4196.2999999999993</v>
      </c>
      <c r="U29" s="238">
        <v>2587.4</v>
      </c>
      <c r="V29" s="238">
        <v>94103.799999999988</v>
      </c>
      <c r="W29" s="238">
        <v>25811.13</v>
      </c>
      <c r="X29" s="238">
        <v>135918.07</v>
      </c>
      <c r="Y29" s="238">
        <v>814.15000000000009</v>
      </c>
      <c r="Z29" s="238">
        <v>7108.4980000000005</v>
      </c>
      <c r="AA29" s="13" t="s">
        <v>154</v>
      </c>
      <c r="AB29" s="201" t="s">
        <v>345</v>
      </c>
      <c r="AC29" s="238">
        <v>298515.59999999998</v>
      </c>
      <c r="AD29" s="238">
        <v>7582.05</v>
      </c>
      <c r="AE29" s="238">
        <v>2350.6500000000005</v>
      </c>
      <c r="AF29" s="238">
        <v>210659.25</v>
      </c>
      <c r="AG29" s="238">
        <v>50351.25</v>
      </c>
      <c r="AH29" s="238">
        <v>35813.5</v>
      </c>
      <c r="AI29" s="238">
        <v>0</v>
      </c>
      <c r="AJ29" s="238">
        <v>116.60000000000001</v>
      </c>
      <c r="AK29" s="238">
        <v>288.30000000000007</v>
      </c>
      <c r="AL29" s="238">
        <v>169.6</v>
      </c>
      <c r="AM29" s="13" t="s">
        <v>154</v>
      </c>
      <c r="AN29" s="201" t="s">
        <v>345</v>
      </c>
      <c r="AO29" s="238">
        <v>0</v>
      </c>
      <c r="AP29" s="238">
        <v>0</v>
      </c>
      <c r="AQ29" s="238">
        <v>384823.35900000011</v>
      </c>
      <c r="AR29" s="238">
        <v>69407</v>
      </c>
      <c r="AS29" s="238">
        <v>0</v>
      </c>
      <c r="AT29" s="238">
        <v>3770.8999999999996</v>
      </c>
      <c r="AU29" s="238">
        <v>17852.070000000003</v>
      </c>
      <c r="AV29" s="238">
        <v>78683.222000000009</v>
      </c>
      <c r="AW29" s="238">
        <v>22491.58</v>
      </c>
      <c r="AX29" s="238">
        <v>0</v>
      </c>
      <c r="AY29" s="238">
        <v>3144.8790000000004</v>
      </c>
      <c r="AZ29" s="13" t="s">
        <v>154</v>
      </c>
      <c r="BA29" s="201" t="s">
        <v>345</v>
      </c>
      <c r="BB29" s="238">
        <v>0</v>
      </c>
      <c r="BC29" s="238">
        <v>3138.6790000000005</v>
      </c>
      <c r="BD29" s="238">
        <v>1527.9000000000003</v>
      </c>
      <c r="BE29" s="238">
        <v>0</v>
      </c>
      <c r="BF29" s="238">
        <v>92121.699999999983</v>
      </c>
      <c r="BG29" s="238">
        <v>0</v>
      </c>
      <c r="BH29" s="238">
        <v>6021.2</v>
      </c>
      <c r="BI29" s="238">
        <v>86183.599999999991</v>
      </c>
      <c r="BJ29" s="238">
        <v>0</v>
      </c>
      <c r="BK29" s="238">
        <v>38.15</v>
      </c>
      <c r="BL29" s="238">
        <v>0</v>
      </c>
      <c r="BN29" s="172"/>
    </row>
    <row r="30" spans="1:66" ht="11.25" customHeight="1">
      <c r="A30" s="13"/>
      <c r="B30" s="201" t="s">
        <v>351</v>
      </c>
      <c r="C30" s="238">
        <v>6592</v>
      </c>
      <c r="D30" s="238">
        <v>21915.65</v>
      </c>
      <c r="E30" s="238">
        <v>11706.948999999999</v>
      </c>
      <c r="F30" s="238">
        <v>1466.8500000000001</v>
      </c>
      <c r="G30" s="238">
        <v>18618.36</v>
      </c>
      <c r="H30" s="238">
        <v>5419.0499999999984</v>
      </c>
      <c r="I30" s="238">
        <v>0</v>
      </c>
      <c r="J30" s="238">
        <v>2764.9999999999995</v>
      </c>
      <c r="K30" s="238">
        <v>1319.1000000000001</v>
      </c>
      <c r="L30" s="238">
        <v>0</v>
      </c>
      <c r="M30" s="238">
        <v>0</v>
      </c>
      <c r="N30" s="13"/>
      <c r="O30" s="201" t="s">
        <v>351</v>
      </c>
      <c r="P30" s="238">
        <v>71.8</v>
      </c>
      <c r="Q30" s="238">
        <v>2758.4999999999995</v>
      </c>
      <c r="R30" s="238">
        <v>24712.6</v>
      </c>
      <c r="S30" s="238">
        <v>22088.199999999997</v>
      </c>
      <c r="T30" s="238">
        <v>4462.5</v>
      </c>
      <c r="U30" s="238">
        <v>2552.9</v>
      </c>
      <c r="V30" s="238">
        <v>92739.8</v>
      </c>
      <c r="W30" s="238">
        <v>30878.149000000001</v>
      </c>
      <c r="X30" s="238">
        <v>141565.69</v>
      </c>
      <c r="Y30" s="238">
        <v>847.7</v>
      </c>
      <c r="Z30" s="238">
        <v>8340.64</v>
      </c>
      <c r="AA30" s="13"/>
      <c r="AB30" s="201" t="s">
        <v>351</v>
      </c>
      <c r="AC30" s="238">
        <v>302902.75</v>
      </c>
      <c r="AD30" s="238">
        <v>6801.68</v>
      </c>
      <c r="AE30" s="238">
        <v>2463.1299999999997</v>
      </c>
      <c r="AF30" s="238">
        <v>214024.74</v>
      </c>
      <c r="AG30" s="238">
        <v>51579.219000000012</v>
      </c>
      <c r="AH30" s="238">
        <v>36542.21</v>
      </c>
      <c r="AI30" s="238">
        <v>0</v>
      </c>
      <c r="AJ30" s="238">
        <v>131.29999999999998</v>
      </c>
      <c r="AK30" s="238">
        <v>330.3</v>
      </c>
      <c r="AL30" s="238">
        <v>164.5</v>
      </c>
      <c r="AM30" s="13"/>
      <c r="AN30" s="201" t="s">
        <v>351</v>
      </c>
      <c r="AO30" s="238">
        <v>0</v>
      </c>
      <c r="AP30" s="238">
        <v>0</v>
      </c>
      <c r="AQ30" s="238">
        <v>391304.2</v>
      </c>
      <c r="AR30" s="238">
        <v>67060.2</v>
      </c>
      <c r="AS30" s="238">
        <v>0</v>
      </c>
      <c r="AT30" s="238">
        <v>3883.0000000000009</v>
      </c>
      <c r="AU30" s="238">
        <v>19299.599999999999</v>
      </c>
      <c r="AV30" s="238">
        <v>76694.876000000004</v>
      </c>
      <c r="AW30" s="238">
        <v>23622.144</v>
      </c>
      <c r="AX30" s="238">
        <v>0</v>
      </c>
      <c r="AY30" s="238">
        <v>3133.73</v>
      </c>
      <c r="AZ30" s="13"/>
      <c r="BA30" s="201" t="s">
        <v>351</v>
      </c>
      <c r="BB30" s="238">
        <v>0</v>
      </c>
      <c r="BC30" s="238">
        <v>2772.6000000000004</v>
      </c>
      <c r="BD30" s="238">
        <v>1210.73</v>
      </c>
      <c r="BE30" s="238">
        <v>0</v>
      </c>
      <c r="BF30" s="238">
        <v>94639.6</v>
      </c>
      <c r="BG30" s="238">
        <v>0</v>
      </c>
      <c r="BH30" s="238">
        <v>13877.66</v>
      </c>
      <c r="BI30" s="238">
        <v>103946.3</v>
      </c>
      <c r="BJ30" s="238">
        <v>0</v>
      </c>
      <c r="BK30" s="238">
        <v>48.27</v>
      </c>
      <c r="BL30" s="238">
        <v>0</v>
      </c>
      <c r="BN30" s="172"/>
    </row>
    <row r="31" spans="1:66" ht="11.25" customHeight="1">
      <c r="A31" s="13" t="s">
        <v>33</v>
      </c>
      <c r="B31" s="201" t="s">
        <v>345</v>
      </c>
      <c r="C31" s="238">
        <v>56789.9</v>
      </c>
      <c r="D31" s="238">
        <v>88211.199999999997</v>
      </c>
      <c r="E31" s="238">
        <v>24193.200000000004</v>
      </c>
      <c r="F31" s="238">
        <v>384270.1</v>
      </c>
      <c r="G31" s="238">
        <v>50985.520000000004</v>
      </c>
      <c r="H31" s="238">
        <v>1241.6499999999999</v>
      </c>
      <c r="I31" s="238">
        <v>97750.199999999983</v>
      </c>
      <c r="J31" s="238">
        <v>1914</v>
      </c>
      <c r="K31" s="238">
        <v>3499.75</v>
      </c>
      <c r="L31" s="238">
        <v>4902</v>
      </c>
      <c r="M31" s="238">
        <v>15260.6</v>
      </c>
      <c r="N31" s="13" t="s">
        <v>33</v>
      </c>
      <c r="O31" s="201" t="s">
        <v>345</v>
      </c>
      <c r="P31" s="238">
        <v>3931.65</v>
      </c>
      <c r="Q31" s="238">
        <v>11053.5</v>
      </c>
      <c r="R31" s="238">
        <v>4222.3999999999996</v>
      </c>
      <c r="S31" s="238">
        <v>7195.4999999999991</v>
      </c>
      <c r="T31" s="238">
        <v>1557.8000000000002</v>
      </c>
      <c r="U31" s="238">
        <v>15333.5</v>
      </c>
      <c r="V31" s="238">
        <v>10655.199999999999</v>
      </c>
      <c r="W31" s="238">
        <v>193774.829</v>
      </c>
      <c r="X31" s="238">
        <v>7260.228000000001</v>
      </c>
      <c r="Y31" s="238">
        <v>4732.5300000000007</v>
      </c>
      <c r="Z31" s="238">
        <v>2654.47</v>
      </c>
      <c r="AA31" s="13" t="s">
        <v>33</v>
      </c>
      <c r="AB31" s="201" t="s">
        <v>345</v>
      </c>
      <c r="AC31" s="238">
        <v>16067.599999999999</v>
      </c>
      <c r="AD31" s="238">
        <v>1924.7179999999996</v>
      </c>
      <c r="AE31" s="238">
        <v>323.47800000000001</v>
      </c>
      <c r="AF31" s="238">
        <v>1682.69</v>
      </c>
      <c r="AG31" s="238">
        <v>8056.42</v>
      </c>
      <c r="AH31" s="238">
        <v>0</v>
      </c>
      <c r="AI31" s="238">
        <v>36073</v>
      </c>
      <c r="AJ31" s="238">
        <v>847.78799999999978</v>
      </c>
      <c r="AK31" s="238">
        <v>90.25</v>
      </c>
      <c r="AL31" s="238">
        <v>928.40000000000009</v>
      </c>
      <c r="AM31" s="13" t="s">
        <v>33</v>
      </c>
      <c r="AN31" s="201" t="s">
        <v>345</v>
      </c>
      <c r="AO31" s="238">
        <v>504</v>
      </c>
      <c r="AP31" s="238">
        <v>0</v>
      </c>
      <c r="AQ31" s="238">
        <v>434348.3</v>
      </c>
      <c r="AR31" s="238">
        <v>11951.3</v>
      </c>
      <c r="AS31" s="238">
        <v>3110.3999999999996</v>
      </c>
      <c r="AT31" s="238">
        <v>5939.2</v>
      </c>
      <c r="AU31" s="238">
        <v>8976.2000000000007</v>
      </c>
      <c r="AV31" s="238">
        <v>220.18700000000001</v>
      </c>
      <c r="AW31" s="238">
        <v>32.918999999999997</v>
      </c>
      <c r="AX31" s="238">
        <v>363.5</v>
      </c>
      <c r="AY31" s="238">
        <v>2784.62</v>
      </c>
      <c r="AZ31" s="13" t="s">
        <v>33</v>
      </c>
      <c r="BA31" s="201" t="s">
        <v>345</v>
      </c>
      <c r="BB31" s="238">
        <v>13</v>
      </c>
      <c r="BC31" s="238">
        <v>6141.1</v>
      </c>
      <c r="BD31" s="238">
        <v>9153.5999999999985</v>
      </c>
      <c r="BE31" s="238">
        <v>3348210.6489999997</v>
      </c>
      <c r="BF31" s="238">
        <v>136326.93</v>
      </c>
      <c r="BG31" s="238">
        <v>109070</v>
      </c>
      <c r="BH31" s="238">
        <v>1350</v>
      </c>
      <c r="BI31" s="238">
        <v>19832</v>
      </c>
      <c r="BJ31" s="238">
        <v>0</v>
      </c>
      <c r="BK31" s="238">
        <v>0</v>
      </c>
      <c r="BL31" s="238">
        <v>26050.928999999996</v>
      </c>
      <c r="BN31" s="172"/>
    </row>
    <row r="32" spans="1:66" ht="11.25" customHeight="1">
      <c r="A32" s="13"/>
      <c r="B32" s="201" t="s">
        <v>351</v>
      </c>
      <c r="C32" s="238">
        <v>60181.1</v>
      </c>
      <c r="D32" s="238">
        <v>83600.45</v>
      </c>
      <c r="E32" s="238">
        <v>23792.1</v>
      </c>
      <c r="F32" s="238">
        <v>307203.5</v>
      </c>
      <c r="G32" s="238">
        <v>57974.8</v>
      </c>
      <c r="H32" s="238">
        <v>1269.1000000000001</v>
      </c>
      <c r="I32" s="238">
        <v>97879.62</v>
      </c>
      <c r="J32" s="238">
        <v>2096.3000000000002</v>
      </c>
      <c r="K32" s="238">
        <v>3034.15</v>
      </c>
      <c r="L32" s="238">
        <v>6077.68</v>
      </c>
      <c r="M32" s="238">
        <v>13690</v>
      </c>
      <c r="N32" s="13"/>
      <c r="O32" s="201" t="s">
        <v>351</v>
      </c>
      <c r="P32" s="238">
        <v>4113.7</v>
      </c>
      <c r="Q32" s="238">
        <v>11598.1</v>
      </c>
      <c r="R32" s="238">
        <v>4902.1000000000004</v>
      </c>
      <c r="S32" s="238">
        <v>6705.3499999999995</v>
      </c>
      <c r="T32" s="238">
        <v>1476.6999999999998</v>
      </c>
      <c r="U32" s="238">
        <v>19539.2</v>
      </c>
      <c r="V32" s="238">
        <v>10101.6</v>
      </c>
      <c r="W32" s="238">
        <v>201532.29699999999</v>
      </c>
      <c r="X32" s="238">
        <v>9819.0780000000013</v>
      </c>
      <c r="Y32" s="238">
        <v>4274.7690000000002</v>
      </c>
      <c r="Z32" s="238">
        <v>1627.4989999999998</v>
      </c>
      <c r="AA32" s="13"/>
      <c r="AB32" s="201" t="s">
        <v>351</v>
      </c>
      <c r="AC32" s="238">
        <v>15798.050000000005</v>
      </c>
      <c r="AD32" s="238">
        <v>1542.3390000000002</v>
      </c>
      <c r="AE32" s="238">
        <v>274.49699999999996</v>
      </c>
      <c r="AF32" s="238">
        <v>1212.3499999999999</v>
      </c>
      <c r="AG32" s="238">
        <v>9854.7200000000012</v>
      </c>
      <c r="AH32" s="238">
        <v>0</v>
      </c>
      <c r="AI32" s="238">
        <v>34768.19</v>
      </c>
      <c r="AJ32" s="238">
        <v>590.13900000000001</v>
      </c>
      <c r="AK32" s="238">
        <v>83.367999999999995</v>
      </c>
      <c r="AL32" s="238">
        <v>813.49900000000014</v>
      </c>
      <c r="AM32" s="13"/>
      <c r="AN32" s="201" t="s">
        <v>351</v>
      </c>
      <c r="AO32" s="238">
        <v>509.1</v>
      </c>
      <c r="AP32" s="238">
        <v>0</v>
      </c>
      <c r="AQ32" s="238">
        <v>494278.89999999997</v>
      </c>
      <c r="AR32" s="238">
        <v>11505.55</v>
      </c>
      <c r="AS32" s="238">
        <v>4049.7000000000003</v>
      </c>
      <c r="AT32" s="238">
        <v>5583.6</v>
      </c>
      <c r="AU32" s="238">
        <v>9479.5</v>
      </c>
      <c r="AV32" s="238">
        <v>203.46799999999999</v>
      </c>
      <c r="AW32" s="238">
        <v>30.148999999999997</v>
      </c>
      <c r="AX32" s="238">
        <v>510</v>
      </c>
      <c r="AY32" s="238">
        <v>2953.7999999999997</v>
      </c>
      <c r="AZ32" s="13"/>
      <c r="BA32" s="201" t="s">
        <v>351</v>
      </c>
      <c r="BB32" s="238">
        <v>0</v>
      </c>
      <c r="BC32" s="238">
        <v>5887.15</v>
      </c>
      <c r="BD32" s="238">
        <v>9644.5999999999985</v>
      </c>
      <c r="BE32" s="238">
        <v>2846443.8295554002</v>
      </c>
      <c r="BF32" s="238">
        <v>131534.50699999998</v>
      </c>
      <c r="BG32" s="238">
        <v>110688</v>
      </c>
      <c r="BH32" s="238">
        <v>1080</v>
      </c>
      <c r="BI32" s="238">
        <v>20801.5</v>
      </c>
      <c r="BJ32" s="238">
        <v>0</v>
      </c>
      <c r="BK32" s="238">
        <v>0</v>
      </c>
      <c r="BL32" s="238">
        <v>27002.938999999998</v>
      </c>
      <c r="BN32" s="172"/>
    </row>
    <row r="33" spans="1:66" ht="11.25" customHeight="1">
      <c r="A33" s="13" t="s">
        <v>34</v>
      </c>
      <c r="B33" s="201" t="s">
        <v>345</v>
      </c>
      <c r="C33" s="238">
        <v>1281</v>
      </c>
      <c r="D33" s="238">
        <v>49838</v>
      </c>
      <c r="E33" s="238">
        <v>1767</v>
      </c>
      <c r="F33" s="238">
        <v>426605</v>
      </c>
      <c r="G33" s="238">
        <v>71.5</v>
      </c>
      <c r="H33" s="238">
        <v>18</v>
      </c>
      <c r="I33" s="238">
        <v>2604</v>
      </c>
      <c r="J33" s="238">
        <v>0</v>
      </c>
      <c r="K33" s="238">
        <v>183</v>
      </c>
      <c r="L33" s="238">
        <v>0</v>
      </c>
      <c r="M33" s="238">
        <v>0</v>
      </c>
      <c r="N33" s="13" t="s">
        <v>34</v>
      </c>
      <c r="O33" s="201" t="s">
        <v>345</v>
      </c>
      <c r="P33" s="238">
        <v>3032</v>
      </c>
      <c r="Q33" s="238">
        <v>989</v>
      </c>
      <c r="R33" s="238">
        <v>394</v>
      </c>
      <c r="S33" s="238">
        <v>594</v>
      </c>
      <c r="T33" s="238">
        <v>0</v>
      </c>
      <c r="U33" s="238">
        <v>9139</v>
      </c>
      <c r="V33" s="238">
        <v>15491</v>
      </c>
      <c r="W33" s="238">
        <v>83913</v>
      </c>
      <c r="X33" s="238">
        <v>10407.5</v>
      </c>
      <c r="Y33" s="238">
        <v>75933</v>
      </c>
      <c r="Z33" s="238">
        <v>68</v>
      </c>
      <c r="AA33" s="13" t="s">
        <v>34</v>
      </c>
      <c r="AB33" s="201" t="s">
        <v>345</v>
      </c>
      <c r="AC33" s="238">
        <v>0</v>
      </c>
      <c r="AD33" s="238">
        <v>338</v>
      </c>
      <c r="AE33" s="238">
        <v>26853</v>
      </c>
      <c r="AF33" s="238">
        <v>2126</v>
      </c>
      <c r="AG33" s="238">
        <v>56</v>
      </c>
      <c r="AH33" s="238">
        <v>0</v>
      </c>
      <c r="AI33" s="238">
        <v>7861</v>
      </c>
      <c r="AJ33" s="238">
        <v>0</v>
      </c>
      <c r="AK33" s="238">
        <v>0</v>
      </c>
      <c r="AL33" s="238">
        <v>10</v>
      </c>
      <c r="AM33" s="13" t="s">
        <v>34</v>
      </c>
      <c r="AN33" s="201" t="s">
        <v>345</v>
      </c>
      <c r="AO33" s="238">
        <v>0</v>
      </c>
      <c r="AP33" s="238">
        <v>0</v>
      </c>
      <c r="AQ33" s="238">
        <v>3240.5</v>
      </c>
      <c r="AR33" s="238">
        <v>3681</v>
      </c>
      <c r="AS33" s="238">
        <v>10547.5</v>
      </c>
      <c r="AT33" s="238">
        <v>167</v>
      </c>
      <c r="AU33" s="238">
        <v>547.5</v>
      </c>
      <c r="AV33" s="238">
        <v>1332</v>
      </c>
      <c r="AW33" s="238">
        <v>60</v>
      </c>
      <c r="AX33" s="238">
        <v>162</v>
      </c>
      <c r="AY33" s="238">
        <v>151.5</v>
      </c>
      <c r="AZ33" s="13" t="s">
        <v>34</v>
      </c>
      <c r="BA33" s="201" t="s">
        <v>345</v>
      </c>
      <c r="BB33" s="238">
        <v>116.5</v>
      </c>
      <c r="BC33" s="238">
        <v>105.9</v>
      </c>
      <c r="BD33" s="238">
        <v>214</v>
      </c>
      <c r="BE33" s="238">
        <v>1357776.88</v>
      </c>
      <c r="BF33" s="238">
        <v>43949</v>
      </c>
      <c r="BG33" s="238">
        <v>36456</v>
      </c>
      <c r="BH33" s="238">
        <v>0</v>
      </c>
      <c r="BI33" s="238">
        <v>0</v>
      </c>
      <c r="BJ33" s="238">
        <v>1697.87</v>
      </c>
      <c r="BK33" s="238">
        <v>0</v>
      </c>
      <c r="BL33" s="238">
        <v>4785</v>
      </c>
      <c r="BN33" s="172"/>
    </row>
    <row r="34" spans="1:66" ht="11.25" customHeight="1">
      <c r="A34" s="13"/>
      <c r="B34" s="201" t="s">
        <v>351</v>
      </c>
      <c r="C34" s="238">
        <v>854</v>
      </c>
      <c r="D34" s="238">
        <v>46106.74</v>
      </c>
      <c r="E34" s="238">
        <v>931</v>
      </c>
      <c r="F34" s="238">
        <v>436194.2</v>
      </c>
      <c r="G34" s="238">
        <v>48</v>
      </c>
      <c r="H34" s="238">
        <v>0</v>
      </c>
      <c r="I34" s="238">
        <v>703</v>
      </c>
      <c r="J34" s="238">
        <v>0</v>
      </c>
      <c r="K34" s="238">
        <v>0</v>
      </c>
      <c r="L34" s="238">
        <v>1628</v>
      </c>
      <c r="M34" s="238">
        <v>17</v>
      </c>
      <c r="N34" s="13"/>
      <c r="O34" s="201" t="s">
        <v>351</v>
      </c>
      <c r="P34" s="238">
        <v>913</v>
      </c>
      <c r="Q34" s="238">
        <v>893</v>
      </c>
      <c r="R34" s="238">
        <v>809</v>
      </c>
      <c r="S34" s="238">
        <v>366</v>
      </c>
      <c r="T34" s="238">
        <v>0</v>
      </c>
      <c r="U34" s="238">
        <v>11316</v>
      </c>
      <c r="V34" s="238">
        <v>9753</v>
      </c>
      <c r="W34" s="238">
        <v>122418</v>
      </c>
      <c r="X34" s="238">
        <v>10672</v>
      </c>
      <c r="Y34" s="238">
        <v>64635</v>
      </c>
      <c r="Z34" s="238">
        <v>1780</v>
      </c>
      <c r="AA34" s="13"/>
      <c r="AB34" s="201" t="s">
        <v>351</v>
      </c>
      <c r="AC34" s="238">
        <v>0</v>
      </c>
      <c r="AD34" s="238">
        <v>425</v>
      </c>
      <c r="AE34" s="238">
        <v>32598</v>
      </c>
      <c r="AF34" s="238">
        <v>2064</v>
      </c>
      <c r="AG34" s="238">
        <v>42</v>
      </c>
      <c r="AH34" s="238">
        <v>0</v>
      </c>
      <c r="AI34" s="238">
        <v>9310</v>
      </c>
      <c r="AJ34" s="238">
        <v>0</v>
      </c>
      <c r="AK34" s="238">
        <v>0</v>
      </c>
      <c r="AL34" s="238">
        <v>5</v>
      </c>
      <c r="AM34" s="13"/>
      <c r="AN34" s="201" t="s">
        <v>351</v>
      </c>
      <c r="AO34" s="238">
        <v>0</v>
      </c>
      <c r="AP34" s="238">
        <v>0</v>
      </c>
      <c r="AQ34" s="238">
        <v>2141</v>
      </c>
      <c r="AR34" s="238">
        <v>2041</v>
      </c>
      <c r="AS34" s="238">
        <v>5446</v>
      </c>
      <c r="AT34" s="238">
        <v>0</v>
      </c>
      <c r="AU34" s="238">
        <v>640</v>
      </c>
      <c r="AV34" s="238">
        <v>1302</v>
      </c>
      <c r="AW34" s="238">
        <v>133.9</v>
      </c>
      <c r="AX34" s="238">
        <v>360</v>
      </c>
      <c r="AY34" s="238">
        <v>309.3</v>
      </c>
      <c r="AZ34" s="13"/>
      <c r="BA34" s="201" t="s">
        <v>351</v>
      </c>
      <c r="BB34" s="238">
        <v>14</v>
      </c>
      <c r="BC34" s="238">
        <v>103.45</v>
      </c>
      <c r="BD34" s="238">
        <v>104</v>
      </c>
      <c r="BE34" s="238">
        <v>1391705.4058700022</v>
      </c>
      <c r="BF34" s="238">
        <v>37411.800000000003</v>
      </c>
      <c r="BG34" s="238">
        <v>32400</v>
      </c>
      <c r="BH34" s="238">
        <v>0</v>
      </c>
      <c r="BI34" s="238">
        <v>0</v>
      </c>
      <c r="BJ34" s="238">
        <v>743.72900000000004</v>
      </c>
      <c r="BK34" s="238">
        <v>0</v>
      </c>
      <c r="BL34" s="238">
        <v>10056</v>
      </c>
      <c r="BN34" s="172"/>
    </row>
    <row r="35" spans="1:66" ht="11.25" customHeight="1">
      <c r="A35" s="13" t="s">
        <v>35</v>
      </c>
      <c r="B35" s="201" t="s">
        <v>345</v>
      </c>
      <c r="C35" s="238">
        <v>198.31</v>
      </c>
      <c r="D35" s="238">
        <v>103176.09999999999</v>
      </c>
      <c r="E35" s="238">
        <v>1138.3000000000002</v>
      </c>
      <c r="F35" s="238">
        <v>0</v>
      </c>
      <c r="G35" s="238">
        <v>250.49999999999994</v>
      </c>
      <c r="H35" s="238">
        <v>46.2</v>
      </c>
      <c r="I35" s="238">
        <v>13795.08</v>
      </c>
      <c r="J35" s="238">
        <v>2426.1</v>
      </c>
      <c r="K35" s="238">
        <v>5240.6000000000004</v>
      </c>
      <c r="L35" s="238">
        <v>10</v>
      </c>
      <c r="M35" s="238">
        <v>2253.9</v>
      </c>
      <c r="N35" s="13" t="s">
        <v>35</v>
      </c>
      <c r="O35" s="201" t="s">
        <v>345</v>
      </c>
      <c r="P35" s="238">
        <v>18749.600000000002</v>
      </c>
      <c r="Q35" s="238">
        <v>6531.6999999999989</v>
      </c>
      <c r="R35" s="238">
        <v>1740.5499999999997</v>
      </c>
      <c r="S35" s="238">
        <v>16092.640000000001</v>
      </c>
      <c r="T35" s="238">
        <v>2324.6999999999998</v>
      </c>
      <c r="U35" s="238">
        <v>12528.400000000001</v>
      </c>
      <c r="V35" s="238">
        <v>13615</v>
      </c>
      <c r="W35" s="238">
        <v>80921.3</v>
      </c>
      <c r="X35" s="238">
        <v>2427.8999999999996</v>
      </c>
      <c r="Y35" s="238">
        <v>5112</v>
      </c>
      <c r="Z35" s="238">
        <v>445.5</v>
      </c>
      <c r="AA35" s="13" t="s">
        <v>35</v>
      </c>
      <c r="AB35" s="201" t="s">
        <v>345</v>
      </c>
      <c r="AC35" s="238">
        <v>0</v>
      </c>
      <c r="AD35" s="238">
        <v>665.5</v>
      </c>
      <c r="AE35" s="238">
        <v>9.8000000000000007</v>
      </c>
      <c r="AF35" s="238">
        <v>20358.599999999999</v>
      </c>
      <c r="AG35" s="238">
        <v>148114.34000000003</v>
      </c>
      <c r="AH35" s="238">
        <v>5596</v>
      </c>
      <c r="AI35" s="238">
        <v>46125.5</v>
      </c>
      <c r="AJ35" s="238">
        <v>90767.4</v>
      </c>
      <c r="AK35" s="238">
        <v>15350.7</v>
      </c>
      <c r="AL35" s="238">
        <v>2837.6</v>
      </c>
      <c r="AM35" s="13" t="s">
        <v>35</v>
      </c>
      <c r="AN35" s="201" t="s">
        <v>345</v>
      </c>
      <c r="AO35" s="238">
        <v>697</v>
      </c>
      <c r="AP35" s="238">
        <v>0</v>
      </c>
      <c r="AQ35" s="238">
        <v>45654.249000000011</v>
      </c>
      <c r="AR35" s="238">
        <v>25883.4</v>
      </c>
      <c r="AS35" s="238">
        <v>90858.599999999991</v>
      </c>
      <c r="AT35" s="238">
        <v>172.28</v>
      </c>
      <c r="AU35" s="238">
        <v>568.79</v>
      </c>
      <c r="AV35" s="238">
        <v>0</v>
      </c>
      <c r="AW35" s="238">
        <v>0</v>
      </c>
      <c r="AX35" s="238">
        <v>13857.5</v>
      </c>
      <c r="AY35" s="238">
        <v>1179.7</v>
      </c>
      <c r="AZ35" s="13" t="s">
        <v>35</v>
      </c>
      <c r="BA35" s="201" t="s">
        <v>345</v>
      </c>
      <c r="BB35" s="238">
        <v>34.9</v>
      </c>
      <c r="BC35" s="238">
        <v>220.79999999999998</v>
      </c>
      <c r="BD35" s="238">
        <v>20.96</v>
      </c>
      <c r="BE35" s="238">
        <v>843615.13</v>
      </c>
      <c r="BF35" s="238">
        <v>98717.16</v>
      </c>
      <c r="BG35" s="238">
        <v>302089.8</v>
      </c>
      <c r="BH35" s="238">
        <v>0</v>
      </c>
      <c r="BI35" s="238">
        <v>24</v>
      </c>
      <c r="BJ35" s="238">
        <v>1192.5</v>
      </c>
      <c r="BK35" s="238">
        <v>0</v>
      </c>
      <c r="BL35" s="238">
        <v>3738.6</v>
      </c>
      <c r="BN35" s="172"/>
    </row>
    <row r="36" spans="1:66" ht="11.25" customHeight="1">
      <c r="A36" s="13"/>
      <c r="B36" s="201" t="s">
        <v>351</v>
      </c>
      <c r="C36" s="238">
        <v>326.2</v>
      </c>
      <c r="D36" s="238">
        <v>129458.90000000001</v>
      </c>
      <c r="E36" s="238">
        <v>1038.1000000000001</v>
      </c>
      <c r="F36" s="238">
        <v>9</v>
      </c>
      <c r="G36" s="238">
        <v>254.489</v>
      </c>
      <c r="H36" s="238">
        <v>0</v>
      </c>
      <c r="I36" s="238">
        <v>10701.2</v>
      </c>
      <c r="J36" s="238">
        <v>1232.4000000000001</v>
      </c>
      <c r="K36" s="238">
        <v>4569</v>
      </c>
      <c r="L36" s="238">
        <v>0</v>
      </c>
      <c r="M36" s="238">
        <v>2805.5</v>
      </c>
      <c r="N36" s="13"/>
      <c r="O36" s="201" t="s">
        <v>351</v>
      </c>
      <c r="P36" s="238">
        <v>23201.3</v>
      </c>
      <c r="Q36" s="238">
        <v>8192.9</v>
      </c>
      <c r="R36" s="238">
        <v>1918.2</v>
      </c>
      <c r="S36" s="238">
        <v>16276</v>
      </c>
      <c r="T36" s="238">
        <v>3535.8999999999996</v>
      </c>
      <c r="U36" s="238">
        <v>13669.2</v>
      </c>
      <c r="V36" s="238">
        <v>15112.1</v>
      </c>
      <c r="W36" s="238">
        <v>101742.39999999997</v>
      </c>
      <c r="X36" s="238">
        <v>2299</v>
      </c>
      <c r="Y36" s="238">
        <v>5739.3</v>
      </c>
      <c r="Z36" s="238">
        <v>307.89999999999998</v>
      </c>
      <c r="AA36" s="13"/>
      <c r="AB36" s="201" t="s">
        <v>351</v>
      </c>
      <c r="AC36" s="238">
        <v>0</v>
      </c>
      <c r="AD36" s="238">
        <v>1756.7</v>
      </c>
      <c r="AE36" s="238">
        <v>46.7</v>
      </c>
      <c r="AF36" s="238">
        <v>28097.1</v>
      </c>
      <c r="AG36" s="238">
        <v>191169.19999999998</v>
      </c>
      <c r="AH36" s="238">
        <v>5577.7000000000007</v>
      </c>
      <c r="AI36" s="238">
        <v>49966.6</v>
      </c>
      <c r="AJ36" s="238">
        <v>94940.9</v>
      </c>
      <c r="AK36" s="238">
        <v>19014.5</v>
      </c>
      <c r="AL36" s="238">
        <v>2374</v>
      </c>
      <c r="AM36" s="13"/>
      <c r="AN36" s="201" t="s">
        <v>351</v>
      </c>
      <c r="AO36" s="238">
        <v>990.4</v>
      </c>
      <c r="AP36" s="238">
        <v>0</v>
      </c>
      <c r="AQ36" s="238">
        <v>93226.900000000009</v>
      </c>
      <c r="AR36" s="238">
        <v>21882.2</v>
      </c>
      <c r="AS36" s="238">
        <v>48351.9</v>
      </c>
      <c r="AT36" s="238">
        <v>163.30000000000001</v>
      </c>
      <c r="AU36" s="238">
        <v>572.5</v>
      </c>
      <c r="AV36" s="238">
        <v>0</v>
      </c>
      <c r="AW36" s="238">
        <v>0</v>
      </c>
      <c r="AX36" s="238">
        <v>8372.7000000000007</v>
      </c>
      <c r="AY36" s="238">
        <v>720.9</v>
      </c>
      <c r="AZ36" s="13"/>
      <c r="BA36" s="201" t="s">
        <v>351</v>
      </c>
      <c r="BB36" s="238">
        <v>17</v>
      </c>
      <c r="BC36" s="238">
        <v>296.24</v>
      </c>
      <c r="BD36" s="238">
        <v>32.5</v>
      </c>
      <c r="BE36" s="238">
        <v>965551.85</v>
      </c>
      <c r="BF36" s="238">
        <v>79025.200000000012</v>
      </c>
      <c r="BG36" s="238">
        <v>370293.9</v>
      </c>
      <c r="BH36" s="238">
        <v>0</v>
      </c>
      <c r="BI36" s="238">
        <v>0</v>
      </c>
      <c r="BJ36" s="238">
        <v>671.74</v>
      </c>
      <c r="BK36" s="238">
        <v>0</v>
      </c>
      <c r="BL36" s="238">
        <v>2678.5</v>
      </c>
      <c r="BN36" s="172"/>
    </row>
    <row r="37" spans="1:66" ht="11.25" customHeight="1">
      <c r="A37" s="13" t="s">
        <v>289</v>
      </c>
      <c r="B37" s="201" t="s">
        <v>345</v>
      </c>
      <c r="C37" s="238">
        <v>0</v>
      </c>
      <c r="D37" s="238">
        <v>32.36</v>
      </c>
      <c r="E37" s="238">
        <v>6.26</v>
      </c>
      <c r="F37" s="238">
        <v>0</v>
      </c>
      <c r="G37" s="238">
        <v>20.23</v>
      </c>
      <c r="H37" s="238">
        <v>2.0699999999999998</v>
      </c>
      <c r="I37" s="238">
        <v>0</v>
      </c>
      <c r="J37" s="238">
        <v>0</v>
      </c>
      <c r="K37" s="238">
        <v>3464.3500000000004</v>
      </c>
      <c r="L37" s="238">
        <v>0</v>
      </c>
      <c r="M37" s="238">
        <v>1467.55</v>
      </c>
      <c r="N37" s="13" t="s">
        <v>289</v>
      </c>
      <c r="O37" s="201" t="s">
        <v>345</v>
      </c>
      <c r="P37" s="238">
        <v>1110.8200000000002</v>
      </c>
      <c r="Q37" s="238">
        <v>335.22999999999996</v>
      </c>
      <c r="R37" s="238">
        <v>55.010000000000005</v>
      </c>
      <c r="S37" s="238">
        <v>0</v>
      </c>
      <c r="T37" s="238">
        <v>0</v>
      </c>
      <c r="U37" s="238">
        <v>2938.1000000000004</v>
      </c>
      <c r="V37" s="238">
        <v>84.199999999999989</v>
      </c>
      <c r="W37" s="238">
        <v>1228.94</v>
      </c>
      <c r="X37" s="238">
        <v>191.5</v>
      </c>
      <c r="Y37" s="238">
        <v>23.6</v>
      </c>
      <c r="Z37" s="238">
        <v>0</v>
      </c>
      <c r="AA37" s="13" t="s">
        <v>289</v>
      </c>
      <c r="AB37" s="201" t="s">
        <v>345</v>
      </c>
      <c r="AC37" s="238">
        <v>0</v>
      </c>
      <c r="AD37" s="238">
        <v>0</v>
      </c>
      <c r="AE37" s="238">
        <v>0</v>
      </c>
      <c r="AF37" s="238">
        <v>6</v>
      </c>
      <c r="AG37" s="238">
        <v>8255.86</v>
      </c>
      <c r="AH37" s="238">
        <v>0</v>
      </c>
      <c r="AI37" s="238">
        <v>409.7</v>
      </c>
      <c r="AJ37" s="238">
        <v>957.82</v>
      </c>
      <c r="AK37" s="238">
        <v>80.8</v>
      </c>
      <c r="AL37" s="238">
        <v>661.40000000000009</v>
      </c>
      <c r="AM37" s="13" t="s">
        <v>289</v>
      </c>
      <c r="AN37" s="201" t="s">
        <v>345</v>
      </c>
      <c r="AO37" s="238">
        <v>389.15999999999997</v>
      </c>
      <c r="AP37" s="238">
        <v>0</v>
      </c>
      <c r="AQ37" s="238">
        <v>197.39</v>
      </c>
      <c r="AR37" s="238">
        <v>291.10000000000002</v>
      </c>
      <c r="AS37" s="238">
        <v>3466.06</v>
      </c>
      <c r="AT37" s="238">
        <v>0</v>
      </c>
      <c r="AU37" s="238">
        <v>0</v>
      </c>
      <c r="AV37" s="238">
        <v>0</v>
      </c>
      <c r="AW37" s="238">
        <v>0</v>
      </c>
      <c r="AX37" s="238">
        <v>0</v>
      </c>
      <c r="AY37" s="238">
        <v>0</v>
      </c>
      <c r="AZ37" s="13" t="s">
        <v>289</v>
      </c>
      <c r="BA37" s="201" t="s">
        <v>345</v>
      </c>
      <c r="BB37" s="238">
        <v>0</v>
      </c>
      <c r="BC37" s="238">
        <v>0</v>
      </c>
      <c r="BD37" s="238">
        <v>0</v>
      </c>
      <c r="BE37" s="238">
        <v>0</v>
      </c>
      <c r="BF37" s="238">
        <v>375</v>
      </c>
      <c r="BG37" s="238">
        <v>26433.168000000001</v>
      </c>
      <c r="BH37" s="238">
        <v>0</v>
      </c>
      <c r="BI37" s="238">
        <v>0</v>
      </c>
      <c r="BJ37" s="238">
        <v>8.1999999999999993</v>
      </c>
      <c r="BK37" s="238">
        <v>0</v>
      </c>
      <c r="BL37" s="238">
        <v>0</v>
      </c>
      <c r="BN37" s="172"/>
    </row>
    <row r="38" spans="1:66" ht="11.25" customHeight="1">
      <c r="A38" s="13"/>
      <c r="B38" s="201" t="s">
        <v>351</v>
      </c>
      <c r="C38" s="238">
        <v>15.51</v>
      </c>
      <c r="D38" s="238">
        <v>162.01900000000001</v>
      </c>
      <c r="E38" s="238">
        <v>6.2</v>
      </c>
      <c r="F38" s="238">
        <v>0</v>
      </c>
      <c r="G38" s="238">
        <v>25.46</v>
      </c>
      <c r="H38" s="238">
        <v>6.3140000000000001</v>
      </c>
      <c r="I38" s="238">
        <v>0</v>
      </c>
      <c r="J38" s="238">
        <v>0</v>
      </c>
      <c r="K38" s="238">
        <v>4058.2</v>
      </c>
      <c r="L38" s="238">
        <v>0</v>
      </c>
      <c r="M38" s="238">
        <v>1197.3589999999999</v>
      </c>
      <c r="N38" s="13"/>
      <c r="O38" s="201" t="s">
        <v>351</v>
      </c>
      <c r="P38" s="238">
        <v>1253.29</v>
      </c>
      <c r="Q38" s="238">
        <v>607.18000000000006</v>
      </c>
      <c r="R38" s="238">
        <v>115.21000000000001</v>
      </c>
      <c r="S38" s="238">
        <v>67.14</v>
      </c>
      <c r="T38" s="238">
        <v>0</v>
      </c>
      <c r="U38" s="238">
        <v>3018.1</v>
      </c>
      <c r="V38" s="238">
        <v>14.46</v>
      </c>
      <c r="W38" s="238">
        <v>1142.0000000000002</v>
      </c>
      <c r="X38" s="238">
        <v>181</v>
      </c>
      <c r="Y38" s="238">
        <v>20.5</v>
      </c>
      <c r="Z38" s="238">
        <v>0</v>
      </c>
      <c r="AA38" s="13"/>
      <c r="AB38" s="201" t="s">
        <v>351</v>
      </c>
      <c r="AC38" s="238">
        <v>0</v>
      </c>
      <c r="AD38" s="238">
        <v>0</v>
      </c>
      <c r="AE38" s="238">
        <v>0</v>
      </c>
      <c r="AF38" s="238">
        <v>5.5</v>
      </c>
      <c r="AG38" s="238">
        <v>8656.74</v>
      </c>
      <c r="AH38" s="238">
        <v>0</v>
      </c>
      <c r="AI38" s="238">
        <v>270.3</v>
      </c>
      <c r="AJ38" s="238">
        <v>888.71900000000005</v>
      </c>
      <c r="AK38" s="238">
        <v>80.7</v>
      </c>
      <c r="AL38" s="238">
        <v>745.66</v>
      </c>
      <c r="AM38" s="13"/>
      <c r="AN38" s="201" t="s">
        <v>351</v>
      </c>
      <c r="AO38" s="238">
        <v>394.43</v>
      </c>
      <c r="AP38" s="238">
        <v>0</v>
      </c>
      <c r="AQ38" s="238">
        <v>83.78</v>
      </c>
      <c r="AR38" s="238">
        <v>261.2</v>
      </c>
      <c r="AS38" s="238">
        <v>4387.75</v>
      </c>
      <c r="AT38" s="238">
        <v>0</v>
      </c>
      <c r="AU38" s="238">
        <v>0</v>
      </c>
      <c r="AV38" s="238">
        <v>0</v>
      </c>
      <c r="AW38" s="238">
        <v>0</v>
      </c>
      <c r="AX38" s="238">
        <v>0</v>
      </c>
      <c r="AY38" s="238">
        <v>9.9</v>
      </c>
      <c r="AZ38" s="13"/>
      <c r="BA38" s="201" t="s">
        <v>351</v>
      </c>
      <c r="BB38" s="238">
        <v>0</v>
      </c>
      <c r="BC38" s="238">
        <v>0</v>
      </c>
      <c r="BD38" s="238">
        <v>0</v>
      </c>
      <c r="BE38" s="238">
        <v>0</v>
      </c>
      <c r="BF38" s="238">
        <v>380</v>
      </c>
      <c r="BG38" s="238">
        <v>27116.709999999995</v>
      </c>
      <c r="BH38" s="238">
        <v>0</v>
      </c>
      <c r="BI38" s="238">
        <v>0</v>
      </c>
      <c r="BJ38" s="238">
        <v>0</v>
      </c>
      <c r="BK38" s="238">
        <v>0</v>
      </c>
      <c r="BL38" s="238">
        <v>0</v>
      </c>
      <c r="BN38" s="172"/>
    </row>
    <row r="39" spans="1:66" ht="11.25" customHeight="1">
      <c r="A39" s="13" t="s">
        <v>36</v>
      </c>
      <c r="B39" s="201" t="s">
        <v>345</v>
      </c>
      <c r="C39" s="238">
        <v>0</v>
      </c>
      <c r="D39" s="238">
        <v>29544</v>
      </c>
      <c r="E39" s="238">
        <v>0</v>
      </c>
      <c r="F39" s="238">
        <v>29752</v>
      </c>
      <c r="G39" s="238">
        <v>0</v>
      </c>
      <c r="H39" s="238">
        <v>0</v>
      </c>
      <c r="I39" s="238">
        <v>0</v>
      </c>
      <c r="J39" s="238">
        <v>0</v>
      </c>
      <c r="K39" s="238">
        <v>323</v>
      </c>
      <c r="L39" s="238">
        <v>0</v>
      </c>
      <c r="M39" s="238">
        <v>0</v>
      </c>
      <c r="N39" s="13" t="s">
        <v>36</v>
      </c>
      <c r="O39" s="201" t="s">
        <v>345</v>
      </c>
      <c r="P39" s="238">
        <v>228</v>
      </c>
      <c r="Q39" s="238">
        <v>411</v>
      </c>
      <c r="R39" s="238">
        <v>0</v>
      </c>
      <c r="S39" s="238">
        <v>0</v>
      </c>
      <c r="T39" s="238">
        <v>0</v>
      </c>
      <c r="U39" s="238">
        <v>0</v>
      </c>
      <c r="V39" s="238">
        <v>6099</v>
      </c>
      <c r="W39" s="238">
        <v>2155</v>
      </c>
      <c r="X39" s="238">
        <v>182096.05</v>
      </c>
      <c r="Y39" s="238">
        <v>869</v>
      </c>
      <c r="Z39" s="238">
        <v>10426</v>
      </c>
      <c r="AA39" s="13" t="s">
        <v>36</v>
      </c>
      <c r="AB39" s="201" t="s">
        <v>345</v>
      </c>
      <c r="AC39" s="238">
        <v>7075</v>
      </c>
      <c r="AD39" s="238">
        <v>91</v>
      </c>
      <c r="AE39" s="238">
        <v>8519</v>
      </c>
      <c r="AF39" s="238">
        <v>2198</v>
      </c>
      <c r="AG39" s="238">
        <v>1842</v>
      </c>
      <c r="AH39" s="238">
        <v>0</v>
      </c>
      <c r="AI39" s="238">
        <v>0</v>
      </c>
      <c r="AJ39" s="238">
        <v>0</v>
      </c>
      <c r="AK39" s="238">
        <v>0</v>
      </c>
      <c r="AL39" s="238">
        <v>0</v>
      </c>
      <c r="AM39" s="13" t="s">
        <v>36</v>
      </c>
      <c r="AN39" s="201" t="s">
        <v>345</v>
      </c>
      <c r="AO39" s="238">
        <v>0</v>
      </c>
      <c r="AP39" s="238">
        <v>75355</v>
      </c>
      <c r="AQ39" s="238">
        <v>0</v>
      </c>
      <c r="AR39" s="238">
        <v>263630</v>
      </c>
      <c r="AS39" s="238">
        <v>0</v>
      </c>
      <c r="AT39" s="238">
        <v>0</v>
      </c>
      <c r="AU39" s="238">
        <v>0</v>
      </c>
      <c r="AV39" s="238">
        <v>21.4</v>
      </c>
      <c r="AW39" s="238">
        <v>297.90000000000003</v>
      </c>
      <c r="AX39" s="238">
        <v>0</v>
      </c>
      <c r="AY39" s="238">
        <v>1205</v>
      </c>
      <c r="AZ39" s="13" t="s">
        <v>36</v>
      </c>
      <c r="BA39" s="201" t="s">
        <v>345</v>
      </c>
      <c r="BB39" s="238">
        <v>0</v>
      </c>
      <c r="BC39" s="238">
        <v>0</v>
      </c>
      <c r="BD39" s="238">
        <v>0</v>
      </c>
      <c r="BE39" s="238">
        <v>0</v>
      </c>
      <c r="BF39" s="238">
        <v>0</v>
      </c>
      <c r="BG39" s="238">
        <v>0</v>
      </c>
      <c r="BH39" s="238">
        <v>0</v>
      </c>
      <c r="BI39" s="238">
        <v>0</v>
      </c>
      <c r="BJ39" s="238">
        <v>0</v>
      </c>
      <c r="BK39" s="238">
        <v>0</v>
      </c>
      <c r="BL39" s="238">
        <v>0</v>
      </c>
      <c r="BN39" s="172"/>
    </row>
    <row r="40" spans="1:66" ht="11.25" customHeight="1">
      <c r="A40" s="13"/>
      <c r="B40" s="201" t="s">
        <v>351</v>
      </c>
      <c r="C40" s="238">
        <v>0</v>
      </c>
      <c r="D40" s="238">
        <v>29723</v>
      </c>
      <c r="E40" s="238">
        <v>0</v>
      </c>
      <c r="F40" s="238">
        <v>30292</v>
      </c>
      <c r="G40" s="238">
        <v>0</v>
      </c>
      <c r="H40" s="238">
        <v>0</v>
      </c>
      <c r="I40" s="238">
        <v>0</v>
      </c>
      <c r="J40" s="238">
        <v>0</v>
      </c>
      <c r="K40" s="238">
        <v>319</v>
      </c>
      <c r="L40" s="238">
        <v>0</v>
      </c>
      <c r="M40" s="238">
        <v>0</v>
      </c>
      <c r="N40" s="13"/>
      <c r="O40" s="201" t="s">
        <v>351</v>
      </c>
      <c r="P40" s="238">
        <v>208</v>
      </c>
      <c r="Q40" s="238">
        <v>399</v>
      </c>
      <c r="R40" s="238">
        <v>0</v>
      </c>
      <c r="S40" s="238">
        <v>0</v>
      </c>
      <c r="T40" s="238">
        <v>0</v>
      </c>
      <c r="U40" s="238">
        <v>0</v>
      </c>
      <c r="V40" s="238">
        <v>5499</v>
      </c>
      <c r="W40" s="238">
        <v>2158</v>
      </c>
      <c r="X40" s="238">
        <v>184973</v>
      </c>
      <c r="Y40" s="238">
        <v>874</v>
      </c>
      <c r="Z40" s="238">
        <v>10474</v>
      </c>
      <c r="AA40" s="13"/>
      <c r="AB40" s="201" t="s">
        <v>351</v>
      </c>
      <c r="AC40" s="238">
        <v>7137</v>
      </c>
      <c r="AD40" s="238">
        <v>86</v>
      </c>
      <c r="AE40" s="238">
        <v>8560</v>
      </c>
      <c r="AF40" s="238">
        <v>2215</v>
      </c>
      <c r="AG40" s="238">
        <v>1854</v>
      </c>
      <c r="AH40" s="238">
        <v>0</v>
      </c>
      <c r="AI40" s="238">
        <v>0</v>
      </c>
      <c r="AJ40" s="238">
        <v>0</v>
      </c>
      <c r="AK40" s="238">
        <v>0</v>
      </c>
      <c r="AL40" s="238">
        <v>0</v>
      </c>
      <c r="AM40" s="13"/>
      <c r="AN40" s="201" t="s">
        <v>351</v>
      </c>
      <c r="AO40" s="238">
        <v>0</v>
      </c>
      <c r="AP40" s="238">
        <v>75420</v>
      </c>
      <c r="AQ40" s="238">
        <v>0</v>
      </c>
      <c r="AR40" s="238">
        <v>275667</v>
      </c>
      <c r="AS40" s="238">
        <v>0</v>
      </c>
      <c r="AT40" s="238">
        <v>0</v>
      </c>
      <c r="AU40" s="238">
        <v>0</v>
      </c>
      <c r="AV40" s="238">
        <v>22.700000000000003</v>
      </c>
      <c r="AW40" s="238">
        <v>313.40000000000003</v>
      </c>
      <c r="AX40" s="238">
        <v>0</v>
      </c>
      <c r="AY40" s="238">
        <v>836</v>
      </c>
      <c r="AZ40" s="13"/>
      <c r="BA40" s="201" t="s">
        <v>351</v>
      </c>
      <c r="BB40" s="238">
        <v>0</v>
      </c>
      <c r="BC40" s="238">
        <v>0</v>
      </c>
      <c r="BD40" s="238">
        <v>0</v>
      </c>
      <c r="BE40" s="238">
        <v>0</v>
      </c>
      <c r="BF40" s="238">
        <v>0</v>
      </c>
      <c r="BG40" s="238">
        <v>0</v>
      </c>
      <c r="BH40" s="238">
        <v>0</v>
      </c>
      <c r="BI40" s="238">
        <v>0</v>
      </c>
      <c r="BJ40" s="238">
        <v>0</v>
      </c>
      <c r="BK40" s="238">
        <v>0</v>
      </c>
      <c r="BL40" s="238">
        <v>0</v>
      </c>
      <c r="BN40" s="172"/>
    </row>
    <row r="41" spans="1:66" ht="11.25" customHeight="1">
      <c r="A41" s="13" t="s">
        <v>55</v>
      </c>
      <c r="B41" s="201" t="s">
        <v>345</v>
      </c>
      <c r="C41" s="238">
        <v>0</v>
      </c>
      <c r="D41" s="238">
        <v>22130</v>
      </c>
      <c r="E41" s="238">
        <v>0</v>
      </c>
      <c r="F41" s="238">
        <v>6160.3</v>
      </c>
      <c r="G41" s="238">
        <v>0</v>
      </c>
      <c r="H41" s="238">
        <v>0</v>
      </c>
      <c r="I41" s="238">
        <v>0</v>
      </c>
      <c r="J41" s="238">
        <v>0</v>
      </c>
      <c r="K41" s="238">
        <v>0</v>
      </c>
      <c r="L41" s="238">
        <v>0</v>
      </c>
      <c r="M41" s="238">
        <v>0</v>
      </c>
      <c r="N41" s="13" t="s">
        <v>55</v>
      </c>
      <c r="O41" s="201" t="s">
        <v>345</v>
      </c>
      <c r="P41" s="238">
        <v>0</v>
      </c>
      <c r="Q41" s="238">
        <v>14</v>
      </c>
      <c r="R41" s="238">
        <v>0</v>
      </c>
      <c r="S41" s="238">
        <v>0</v>
      </c>
      <c r="T41" s="238">
        <v>0</v>
      </c>
      <c r="U41" s="238">
        <v>0</v>
      </c>
      <c r="V41" s="238">
        <v>0</v>
      </c>
      <c r="W41" s="238">
        <v>0</v>
      </c>
      <c r="X41" s="238">
        <v>21218</v>
      </c>
      <c r="Y41" s="238">
        <v>0</v>
      </c>
      <c r="Z41" s="238">
        <v>21876</v>
      </c>
      <c r="AA41" s="13" t="s">
        <v>55</v>
      </c>
      <c r="AB41" s="201" t="s">
        <v>345</v>
      </c>
      <c r="AC41" s="238">
        <v>4748</v>
      </c>
      <c r="AD41" s="238">
        <v>0</v>
      </c>
      <c r="AE41" s="238">
        <v>440.00000000000006</v>
      </c>
      <c r="AF41" s="238">
        <v>1278.2</v>
      </c>
      <c r="AG41" s="238">
        <v>535.80000000000007</v>
      </c>
      <c r="AH41" s="238">
        <v>0</v>
      </c>
      <c r="AI41" s="238">
        <v>0</v>
      </c>
      <c r="AJ41" s="238">
        <v>0</v>
      </c>
      <c r="AK41" s="238">
        <v>0</v>
      </c>
      <c r="AL41" s="238">
        <v>0</v>
      </c>
      <c r="AM41" s="13" t="s">
        <v>55</v>
      </c>
      <c r="AN41" s="201" t="s">
        <v>345</v>
      </c>
      <c r="AO41" s="238">
        <v>0</v>
      </c>
      <c r="AP41" s="238">
        <v>0</v>
      </c>
      <c r="AQ41" s="238">
        <v>0</v>
      </c>
      <c r="AR41" s="238">
        <v>12281</v>
      </c>
      <c r="AS41" s="238">
        <v>300.89</v>
      </c>
      <c r="AT41" s="238">
        <v>0</v>
      </c>
      <c r="AU41" s="238">
        <v>0</v>
      </c>
      <c r="AV41" s="238">
        <v>15.577999999999999</v>
      </c>
      <c r="AW41" s="238">
        <v>989.31999999999994</v>
      </c>
      <c r="AX41" s="238">
        <v>0</v>
      </c>
      <c r="AY41" s="238">
        <v>123.85</v>
      </c>
      <c r="AZ41" s="13" t="s">
        <v>55</v>
      </c>
      <c r="BA41" s="201" t="s">
        <v>345</v>
      </c>
      <c r="BB41" s="238">
        <v>0</v>
      </c>
      <c r="BC41" s="238">
        <v>0</v>
      </c>
      <c r="BD41" s="238">
        <v>0</v>
      </c>
      <c r="BE41" s="238">
        <v>0</v>
      </c>
      <c r="BF41" s="238">
        <v>0</v>
      </c>
      <c r="BG41" s="238">
        <v>0</v>
      </c>
      <c r="BH41" s="238">
        <v>0</v>
      </c>
      <c r="BI41" s="238">
        <v>0</v>
      </c>
      <c r="BJ41" s="238">
        <v>0</v>
      </c>
      <c r="BK41" s="238">
        <v>0</v>
      </c>
      <c r="BL41" s="238">
        <v>0</v>
      </c>
      <c r="BN41" s="172"/>
    </row>
    <row r="42" spans="1:66" ht="11.25" customHeight="1">
      <c r="A42" s="13"/>
      <c r="B42" s="201" t="s">
        <v>351</v>
      </c>
      <c r="C42" s="238">
        <v>0</v>
      </c>
      <c r="D42" s="238">
        <v>24839.4</v>
      </c>
      <c r="E42" s="238">
        <v>0</v>
      </c>
      <c r="F42" s="238">
        <v>6188.3</v>
      </c>
      <c r="G42" s="238">
        <v>0</v>
      </c>
      <c r="H42" s="238">
        <v>0</v>
      </c>
      <c r="I42" s="238">
        <v>0</v>
      </c>
      <c r="J42" s="238">
        <v>0</v>
      </c>
      <c r="K42" s="238">
        <v>0</v>
      </c>
      <c r="L42" s="238">
        <v>0</v>
      </c>
      <c r="M42" s="238">
        <v>0</v>
      </c>
      <c r="N42" s="13"/>
      <c r="O42" s="201" t="s">
        <v>351</v>
      </c>
      <c r="P42" s="238">
        <v>5.9</v>
      </c>
      <c r="Q42" s="238">
        <v>11.5</v>
      </c>
      <c r="R42" s="238">
        <v>0</v>
      </c>
      <c r="S42" s="238">
        <v>0</v>
      </c>
      <c r="T42" s="238">
        <v>0</v>
      </c>
      <c r="U42" s="238">
        <v>0</v>
      </c>
      <c r="V42" s="238">
        <v>0</v>
      </c>
      <c r="W42" s="238">
        <v>0</v>
      </c>
      <c r="X42" s="238">
        <v>23883</v>
      </c>
      <c r="Y42" s="238">
        <v>0</v>
      </c>
      <c r="Z42" s="238">
        <v>22103.5</v>
      </c>
      <c r="AA42" s="13"/>
      <c r="AB42" s="201" t="s">
        <v>351</v>
      </c>
      <c r="AC42" s="238">
        <v>4054</v>
      </c>
      <c r="AD42" s="238">
        <v>0</v>
      </c>
      <c r="AE42" s="238">
        <v>488.7</v>
      </c>
      <c r="AF42" s="238">
        <v>1302.0999999999999</v>
      </c>
      <c r="AG42" s="238">
        <v>540.80000000000007</v>
      </c>
      <c r="AH42" s="238">
        <v>0</v>
      </c>
      <c r="AI42" s="238">
        <v>0</v>
      </c>
      <c r="AJ42" s="238">
        <v>0</v>
      </c>
      <c r="AK42" s="238">
        <v>0</v>
      </c>
      <c r="AL42" s="238">
        <v>0</v>
      </c>
      <c r="AM42" s="13"/>
      <c r="AN42" s="201" t="s">
        <v>351</v>
      </c>
      <c r="AO42" s="238">
        <v>0</v>
      </c>
      <c r="AP42" s="238">
        <v>0</v>
      </c>
      <c r="AQ42" s="238">
        <v>0</v>
      </c>
      <c r="AR42" s="238">
        <v>14026</v>
      </c>
      <c r="AS42" s="238">
        <v>425.84000000000003</v>
      </c>
      <c r="AT42" s="238">
        <v>0</v>
      </c>
      <c r="AU42" s="238">
        <v>0</v>
      </c>
      <c r="AV42" s="238">
        <v>18.5</v>
      </c>
      <c r="AW42" s="238">
        <v>1207.8290000000002</v>
      </c>
      <c r="AX42" s="238">
        <v>0</v>
      </c>
      <c r="AY42" s="238">
        <v>87.350000000000009</v>
      </c>
      <c r="AZ42" s="13"/>
      <c r="BA42" s="201" t="s">
        <v>351</v>
      </c>
      <c r="BB42" s="238">
        <v>0</v>
      </c>
      <c r="BC42" s="238">
        <v>0</v>
      </c>
      <c r="BD42" s="238">
        <v>0</v>
      </c>
      <c r="BE42" s="238">
        <v>0</v>
      </c>
      <c r="BF42" s="238">
        <v>0</v>
      </c>
      <c r="BG42" s="238">
        <v>0</v>
      </c>
      <c r="BH42" s="238">
        <v>0</v>
      </c>
      <c r="BI42" s="238">
        <v>0</v>
      </c>
      <c r="BJ42" s="238">
        <v>0</v>
      </c>
      <c r="BK42" s="238">
        <v>0</v>
      </c>
      <c r="BL42" s="238">
        <v>0</v>
      </c>
      <c r="BN42" s="172"/>
    </row>
    <row r="43" spans="1:66" ht="11.25" customHeight="1">
      <c r="A43" s="13" t="s">
        <v>67</v>
      </c>
      <c r="B43" s="201" t="s">
        <v>345</v>
      </c>
      <c r="C43" s="238">
        <v>53.552999999999997</v>
      </c>
      <c r="D43" s="238">
        <v>150.99</v>
      </c>
      <c r="E43" s="238">
        <v>682.52100000000007</v>
      </c>
      <c r="F43" s="238">
        <v>0</v>
      </c>
      <c r="G43" s="238">
        <v>111.697</v>
      </c>
      <c r="H43" s="238">
        <v>28.8</v>
      </c>
      <c r="I43" s="238">
        <v>0</v>
      </c>
      <c r="J43" s="238">
        <v>0</v>
      </c>
      <c r="K43" s="238">
        <v>4.95</v>
      </c>
      <c r="L43" s="238">
        <v>0</v>
      </c>
      <c r="M43" s="238">
        <v>0</v>
      </c>
      <c r="N43" s="13" t="s">
        <v>67</v>
      </c>
      <c r="O43" s="201" t="s">
        <v>345</v>
      </c>
      <c r="P43" s="238">
        <v>106.11</v>
      </c>
      <c r="Q43" s="238">
        <v>398.67</v>
      </c>
      <c r="R43" s="238">
        <v>33.166000000000004</v>
      </c>
      <c r="S43" s="238">
        <v>218.89000000000001</v>
      </c>
      <c r="T43" s="238">
        <v>35.89</v>
      </c>
      <c r="U43" s="238">
        <v>1365.1999999999998</v>
      </c>
      <c r="V43" s="238">
        <v>449.53800000000001</v>
      </c>
      <c r="W43" s="238">
        <v>5667.0879999999997</v>
      </c>
      <c r="X43" s="238">
        <v>3.3</v>
      </c>
      <c r="Y43" s="238">
        <v>78.790000000000006</v>
      </c>
      <c r="Z43" s="238">
        <v>46.5</v>
      </c>
      <c r="AA43" s="13" t="s">
        <v>67</v>
      </c>
      <c r="AB43" s="201" t="s">
        <v>345</v>
      </c>
      <c r="AC43" s="238">
        <v>0</v>
      </c>
      <c r="AD43" s="238">
        <v>0</v>
      </c>
      <c r="AE43" s="238">
        <v>58.876000000000005</v>
      </c>
      <c r="AF43" s="238">
        <v>75.099999999999994</v>
      </c>
      <c r="AG43" s="238">
        <v>5.0510000000000002</v>
      </c>
      <c r="AH43" s="238">
        <v>0</v>
      </c>
      <c r="AI43" s="238">
        <v>9064.89</v>
      </c>
      <c r="AJ43" s="238">
        <v>595.53899999999999</v>
      </c>
      <c r="AK43" s="238">
        <v>150.36499999999998</v>
      </c>
      <c r="AL43" s="238">
        <v>2427.9780000000001</v>
      </c>
      <c r="AM43" s="13" t="s">
        <v>67</v>
      </c>
      <c r="AN43" s="201" t="s">
        <v>345</v>
      </c>
      <c r="AO43" s="238">
        <v>98.34</v>
      </c>
      <c r="AP43" s="238">
        <v>0</v>
      </c>
      <c r="AQ43" s="238">
        <v>6196.1900000000005</v>
      </c>
      <c r="AR43" s="238">
        <v>0</v>
      </c>
      <c r="AS43" s="238">
        <v>8.1620000000000008</v>
      </c>
      <c r="AT43" s="238">
        <v>131.85199999999998</v>
      </c>
      <c r="AU43" s="238">
        <v>61.4</v>
      </c>
      <c r="AV43" s="238">
        <v>0</v>
      </c>
      <c r="AW43" s="238">
        <v>0</v>
      </c>
      <c r="AX43" s="238">
        <v>0</v>
      </c>
      <c r="AY43" s="238">
        <v>14.299999999999999</v>
      </c>
      <c r="AZ43" s="13" t="s">
        <v>67</v>
      </c>
      <c r="BA43" s="201" t="s">
        <v>345</v>
      </c>
      <c r="BB43" s="238">
        <v>0</v>
      </c>
      <c r="BC43" s="238">
        <v>122.89400000000001</v>
      </c>
      <c r="BD43" s="238">
        <v>0</v>
      </c>
      <c r="BE43" s="238">
        <v>0</v>
      </c>
      <c r="BF43" s="238">
        <v>549212.83799999999</v>
      </c>
      <c r="BG43" s="238">
        <v>3055.4</v>
      </c>
      <c r="BH43" s="238">
        <v>0</v>
      </c>
      <c r="BI43" s="238">
        <v>231.38900000000001</v>
      </c>
      <c r="BJ43" s="238">
        <v>0</v>
      </c>
      <c r="BK43" s="238">
        <v>1133.229</v>
      </c>
      <c r="BL43" s="238">
        <v>26</v>
      </c>
      <c r="BN43" s="172"/>
    </row>
    <row r="44" spans="1:66" ht="11.25" customHeight="1">
      <c r="A44" s="13"/>
      <c r="B44" s="201" t="s">
        <v>351</v>
      </c>
      <c r="C44" s="238">
        <v>71.83</v>
      </c>
      <c r="D44" s="238">
        <v>181.36</v>
      </c>
      <c r="E44" s="238">
        <v>687.6629999999999</v>
      </c>
      <c r="F44" s="238">
        <v>0</v>
      </c>
      <c r="G44" s="238">
        <v>130.96899999999999</v>
      </c>
      <c r="H44" s="238">
        <v>29.01</v>
      </c>
      <c r="I44" s="238">
        <v>0</v>
      </c>
      <c r="J44" s="238">
        <v>0</v>
      </c>
      <c r="K44" s="238">
        <v>0</v>
      </c>
      <c r="L44" s="238">
        <v>0</v>
      </c>
      <c r="M44" s="238">
        <v>0</v>
      </c>
      <c r="N44" s="13"/>
      <c r="O44" s="201" t="s">
        <v>351</v>
      </c>
      <c r="P44" s="238">
        <v>110.608</v>
      </c>
      <c r="Q44" s="238">
        <v>292.029</v>
      </c>
      <c r="R44" s="238">
        <v>138.28800000000001</v>
      </c>
      <c r="S44" s="238">
        <v>219.79</v>
      </c>
      <c r="T44" s="238">
        <v>117.85</v>
      </c>
      <c r="U44" s="238">
        <v>2473.89</v>
      </c>
      <c r="V44" s="238">
        <v>428.39799999999991</v>
      </c>
      <c r="W44" s="238">
        <v>5719.0680000000011</v>
      </c>
      <c r="X44" s="238">
        <v>1.5</v>
      </c>
      <c r="Y44" s="238">
        <v>76.569999999999993</v>
      </c>
      <c r="Z44" s="238">
        <v>52.160000000000004</v>
      </c>
      <c r="AA44" s="13"/>
      <c r="AB44" s="201" t="s">
        <v>351</v>
      </c>
      <c r="AC44" s="238">
        <v>0</v>
      </c>
      <c r="AD44" s="238">
        <v>0</v>
      </c>
      <c r="AE44" s="238">
        <v>119.46899999999999</v>
      </c>
      <c r="AF44" s="238">
        <v>68.210000000000008</v>
      </c>
      <c r="AG44" s="238">
        <v>5.1100000000000003</v>
      </c>
      <c r="AH44" s="238">
        <v>0</v>
      </c>
      <c r="AI44" s="238">
        <v>5939.75</v>
      </c>
      <c r="AJ44" s="238">
        <v>505.55899999999997</v>
      </c>
      <c r="AK44" s="238">
        <v>141.982</v>
      </c>
      <c r="AL44" s="238">
        <v>2034.7200000000003</v>
      </c>
      <c r="AM44" s="13"/>
      <c r="AN44" s="201" t="s">
        <v>351</v>
      </c>
      <c r="AO44" s="238">
        <v>351.59699999999998</v>
      </c>
      <c r="AP44" s="238">
        <v>0</v>
      </c>
      <c r="AQ44" s="238">
        <v>6866.6769999999997</v>
      </c>
      <c r="AR44" s="238">
        <v>0</v>
      </c>
      <c r="AS44" s="238">
        <v>17.47</v>
      </c>
      <c r="AT44" s="238">
        <v>119.21000000000001</v>
      </c>
      <c r="AU44" s="238">
        <v>58.2</v>
      </c>
      <c r="AV44" s="238">
        <v>0</v>
      </c>
      <c r="AW44" s="238">
        <v>0</v>
      </c>
      <c r="AX44" s="238">
        <v>3</v>
      </c>
      <c r="AY44" s="238">
        <v>20.5</v>
      </c>
      <c r="AZ44" s="13"/>
      <c r="BA44" s="201" t="s">
        <v>351</v>
      </c>
      <c r="BB44" s="238">
        <v>0</v>
      </c>
      <c r="BC44" s="238">
        <v>125.4</v>
      </c>
      <c r="BD44" s="238">
        <v>0</v>
      </c>
      <c r="BE44" s="238">
        <v>0</v>
      </c>
      <c r="BF44" s="238">
        <v>486205.30700000003</v>
      </c>
      <c r="BG44" s="238">
        <v>4497.13</v>
      </c>
      <c r="BH44" s="238">
        <v>0</v>
      </c>
      <c r="BI44" s="238">
        <v>547.85900000000004</v>
      </c>
      <c r="BJ44" s="238">
        <v>0</v>
      </c>
      <c r="BK44" s="238">
        <v>836.95900000000006</v>
      </c>
      <c r="BL44" s="238">
        <v>0</v>
      </c>
      <c r="BN44" s="172"/>
    </row>
    <row r="45" spans="1:66" ht="11.25" customHeight="1">
      <c r="A45" s="13" t="s">
        <v>37</v>
      </c>
      <c r="B45" s="201" t="s">
        <v>345</v>
      </c>
      <c r="C45" s="238">
        <v>280.68</v>
      </c>
      <c r="D45" s="238">
        <v>4708.8189999999995</v>
      </c>
      <c r="E45" s="238">
        <v>2022.1790000000001</v>
      </c>
      <c r="F45" s="238">
        <v>1423.3489999999999</v>
      </c>
      <c r="G45" s="238">
        <v>351.87</v>
      </c>
      <c r="H45" s="238">
        <v>0</v>
      </c>
      <c r="I45" s="238">
        <v>0</v>
      </c>
      <c r="J45" s="238">
        <v>0</v>
      </c>
      <c r="K45" s="238">
        <v>2593.009</v>
      </c>
      <c r="L45" s="238">
        <v>0</v>
      </c>
      <c r="M45" s="238">
        <v>0</v>
      </c>
      <c r="N45" s="13" t="s">
        <v>37</v>
      </c>
      <c r="O45" s="201" t="s">
        <v>345</v>
      </c>
      <c r="P45" s="238">
        <v>0</v>
      </c>
      <c r="Q45" s="238">
        <v>9321.7200000000012</v>
      </c>
      <c r="R45" s="238">
        <v>2228.8999999999996</v>
      </c>
      <c r="S45" s="238">
        <v>657.57600000000002</v>
      </c>
      <c r="T45" s="238">
        <v>20</v>
      </c>
      <c r="U45" s="238">
        <v>0</v>
      </c>
      <c r="V45" s="238">
        <v>11665.499</v>
      </c>
      <c r="W45" s="238">
        <v>3866.96</v>
      </c>
      <c r="X45" s="238">
        <v>46417.348000000005</v>
      </c>
      <c r="Y45" s="238">
        <v>76</v>
      </c>
      <c r="Z45" s="238">
        <v>1256.837</v>
      </c>
      <c r="AA45" s="13" t="s">
        <v>37</v>
      </c>
      <c r="AB45" s="201" t="s">
        <v>345</v>
      </c>
      <c r="AC45" s="238">
        <v>633.79900000000009</v>
      </c>
      <c r="AD45" s="238">
        <v>15248.88</v>
      </c>
      <c r="AE45" s="238">
        <v>94</v>
      </c>
      <c r="AF45" s="238">
        <v>720.1</v>
      </c>
      <c r="AG45" s="238">
        <v>242</v>
      </c>
      <c r="AH45" s="238">
        <v>0</v>
      </c>
      <c r="AI45" s="238">
        <v>0</v>
      </c>
      <c r="AJ45" s="238">
        <v>0</v>
      </c>
      <c r="AK45" s="238">
        <v>0</v>
      </c>
      <c r="AL45" s="238">
        <v>17.89</v>
      </c>
      <c r="AM45" s="13" t="s">
        <v>37</v>
      </c>
      <c r="AN45" s="201" t="s">
        <v>345</v>
      </c>
      <c r="AO45" s="238">
        <v>0</v>
      </c>
      <c r="AP45" s="238">
        <v>0</v>
      </c>
      <c r="AQ45" s="238">
        <v>164536.15700000001</v>
      </c>
      <c r="AR45" s="238">
        <v>44873.578999999998</v>
      </c>
      <c r="AS45" s="238">
        <v>0</v>
      </c>
      <c r="AT45" s="238">
        <v>4796.5199999999995</v>
      </c>
      <c r="AU45" s="238">
        <v>6796.9290000000001</v>
      </c>
      <c r="AV45" s="238">
        <v>13192.327000000001</v>
      </c>
      <c r="AW45" s="238">
        <v>2777.8879999999999</v>
      </c>
      <c r="AX45" s="238">
        <v>0</v>
      </c>
      <c r="AY45" s="238">
        <v>590</v>
      </c>
      <c r="AZ45" s="13" t="s">
        <v>37</v>
      </c>
      <c r="BA45" s="201" t="s">
        <v>345</v>
      </c>
      <c r="BB45" s="238">
        <v>0</v>
      </c>
      <c r="BC45" s="238">
        <v>773.75999999999988</v>
      </c>
      <c r="BD45" s="238">
        <v>52.31</v>
      </c>
      <c r="BE45" s="238">
        <v>0</v>
      </c>
      <c r="BF45" s="238">
        <v>3890.4049999999997</v>
      </c>
      <c r="BG45" s="238">
        <v>0</v>
      </c>
      <c r="BH45" s="238">
        <v>0</v>
      </c>
      <c r="BI45" s="238">
        <v>1500.52</v>
      </c>
      <c r="BJ45" s="238">
        <v>0</v>
      </c>
      <c r="BK45" s="238">
        <v>0</v>
      </c>
      <c r="BL45" s="238">
        <v>0</v>
      </c>
      <c r="BN45" s="172"/>
    </row>
    <row r="46" spans="1:66" ht="11.25" customHeight="1">
      <c r="A46" s="13"/>
      <c r="B46" s="201" t="s">
        <v>351</v>
      </c>
      <c r="C46" s="238">
        <v>74.67</v>
      </c>
      <c r="D46" s="238">
        <v>5919.1980000000003</v>
      </c>
      <c r="E46" s="238">
        <v>2055.6179999999999</v>
      </c>
      <c r="F46" s="238">
        <v>1517.8200000000002</v>
      </c>
      <c r="G46" s="238">
        <v>121.889</v>
      </c>
      <c r="H46" s="238">
        <v>0</v>
      </c>
      <c r="I46" s="238">
        <v>0</v>
      </c>
      <c r="J46" s="238">
        <v>0</v>
      </c>
      <c r="K46" s="238">
        <v>3491.15</v>
      </c>
      <c r="L46" s="238">
        <v>0</v>
      </c>
      <c r="M46" s="238">
        <v>0</v>
      </c>
      <c r="N46" s="13"/>
      <c r="O46" s="201" t="s">
        <v>351</v>
      </c>
      <c r="P46" s="238">
        <v>0</v>
      </c>
      <c r="Q46" s="238">
        <v>8976.3680000000004</v>
      </c>
      <c r="R46" s="238">
        <v>2684.78</v>
      </c>
      <c r="S46" s="238">
        <v>734.80899999999997</v>
      </c>
      <c r="T46" s="238">
        <v>18.399999999999999</v>
      </c>
      <c r="U46" s="238">
        <v>0</v>
      </c>
      <c r="V46" s="238">
        <v>11028.539000000001</v>
      </c>
      <c r="W46" s="238">
        <v>5691.2969999999996</v>
      </c>
      <c r="X46" s="238">
        <v>53516.989000000001</v>
      </c>
      <c r="Y46" s="238">
        <v>80</v>
      </c>
      <c r="Z46" s="238">
        <v>1243.8890000000001</v>
      </c>
      <c r="AA46" s="13"/>
      <c r="AB46" s="201" t="s">
        <v>351</v>
      </c>
      <c r="AC46" s="238">
        <v>416.06000000000006</v>
      </c>
      <c r="AD46" s="238">
        <v>20290.085999999999</v>
      </c>
      <c r="AE46" s="238">
        <v>100</v>
      </c>
      <c r="AF46" s="238">
        <v>618.24</v>
      </c>
      <c r="AG46" s="238">
        <v>216</v>
      </c>
      <c r="AH46" s="238">
        <v>0</v>
      </c>
      <c r="AI46" s="238">
        <v>0</v>
      </c>
      <c r="AJ46" s="238">
        <v>0</v>
      </c>
      <c r="AK46" s="238">
        <v>0</v>
      </c>
      <c r="AL46" s="238">
        <v>15.684000000000001</v>
      </c>
      <c r="AM46" s="13"/>
      <c r="AN46" s="201" t="s">
        <v>351</v>
      </c>
      <c r="AO46" s="238">
        <v>0</v>
      </c>
      <c r="AP46" s="238">
        <v>0</v>
      </c>
      <c r="AQ46" s="238">
        <v>172738.86300000001</v>
      </c>
      <c r="AR46" s="238">
        <v>37621.03</v>
      </c>
      <c r="AS46" s="238">
        <v>0</v>
      </c>
      <c r="AT46" s="238">
        <v>6327.6479999999992</v>
      </c>
      <c r="AU46" s="238">
        <v>8128.7800000000007</v>
      </c>
      <c r="AV46" s="238">
        <v>10850.118000000002</v>
      </c>
      <c r="AW46" s="238">
        <v>3397.8690000000001</v>
      </c>
      <c r="AX46" s="238">
        <v>0</v>
      </c>
      <c r="AY46" s="238">
        <v>597.54</v>
      </c>
      <c r="AZ46" s="13"/>
      <c r="BA46" s="201" t="s">
        <v>351</v>
      </c>
      <c r="BB46" s="238">
        <v>0</v>
      </c>
      <c r="BC46" s="238">
        <v>954.95</v>
      </c>
      <c r="BD46" s="238">
        <v>71.989999999999995</v>
      </c>
      <c r="BE46" s="238">
        <v>0</v>
      </c>
      <c r="BF46" s="238">
        <v>4169.8729999999996</v>
      </c>
      <c r="BG46" s="238">
        <v>0</v>
      </c>
      <c r="BH46" s="238">
        <v>0</v>
      </c>
      <c r="BI46" s="238">
        <v>1351.17</v>
      </c>
      <c r="BJ46" s="238">
        <v>0</v>
      </c>
      <c r="BK46" s="238">
        <v>0</v>
      </c>
      <c r="BL46" s="238">
        <v>0</v>
      </c>
      <c r="BN46" s="172"/>
    </row>
    <row r="47" spans="1:66" ht="11.25" customHeight="1">
      <c r="A47" s="13" t="s">
        <v>38</v>
      </c>
      <c r="B47" s="201" t="s">
        <v>345</v>
      </c>
      <c r="C47" s="238">
        <v>9432</v>
      </c>
      <c r="D47" s="238">
        <v>27072</v>
      </c>
      <c r="E47" s="238">
        <v>11557</v>
      </c>
      <c r="F47" s="238">
        <v>374043</v>
      </c>
      <c r="G47" s="238">
        <v>316</v>
      </c>
      <c r="H47" s="238">
        <v>0</v>
      </c>
      <c r="I47" s="238">
        <v>0</v>
      </c>
      <c r="J47" s="238">
        <v>0</v>
      </c>
      <c r="K47" s="238">
        <v>0</v>
      </c>
      <c r="L47" s="238">
        <v>6508</v>
      </c>
      <c r="M47" s="238">
        <v>6178.7000000000007</v>
      </c>
      <c r="N47" s="13" t="s">
        <v>38</v>
      </c>
      <c r="O47" s="201" t="s">
        <v>345</v>
      </c>
      <c r="P47" s="238">
        <v>504</v>
      </c>
      <c r="Q47" s="238">
        <v>0</v>
      </c>
      <c r="R47" s="238">
        <v>626</v>
      </c>
      <c r="S47" s="238">
        <v>521</v>
      </c>
      <c r="T47" s="238">
        <v>37</v>
      </c>
      <c r="U47" s="238">
        <v>2588</v>
      </c>
      <c r="V47" s="238">
        <v>600</v>
      </c>
      <c r="W47" s="238">
        <v>6692</v>
      </c>
      <c r="X47" s="238">
        <v>253551</v>
      </c>
      <c r="Y47" s="238">
        <v>240665</v>
      </c>
      <c r="Z47" s="238">
        <v>335</v>
      </c>
      <c r="AA47" s="13" t="s">
        <v>38</v>
      </c>
      <c r="AB47" s="201" t="s">
        <v>345</v>
      </c>
      <c r="AC47" s="238">
        <v>0</v>
      </c>
      <c r="AD47" s="238">
        <v>471</v>
      </c>
      <c r="AE47" s="238">
        <v>112481</v>
      </c>
      <c r="AF47" s="238">
        <v>1821</v>
      </c>
      <c r="AG47" s="238">
        <v>0</v>
      </c>
      <c r="AH47" s="238">
        <v>0</v>
      </c>
      <c r="AI47" s="238">
        <v>18827</v>
      </c>
      <c r="AJ47" s="238">
        <v>0</v>
      </c>
      <c r="AK47" s="238">
        <v>0</v>
      </c>
      <c r="AL47" s="238">
        <v>0</v>
      </c>
      <c r="AM47" s="13" t="s">
        <v>38</v>
      </c>
      <c r="AN47" s="201" t="s">
        <v>345</v>
      </c>
      <c r="AO47" s="238">
        <v>0</v>
      </c>
      <c r="AP47" s="238">
        <v>0</v>
      </c>
      <c r="AQ47" s="238">
        <v>18822</v>
      </c>
      <c r="AR47" s="238">
        <v>6115</v>
      </c>
      <c r="AS47" s="238">
        <v>8731</v>
      </c>
      <c r="AT47" s="238">
        <v>2279</v>
      </c>
      <c r="AU47" s="238">
        <v>947</v>
      </c>
      <c r="AV47" s="238">
        <v>4925</v>
      </c>
      <c r="AW47" s="238">
        <v>1365</v>
      </c>
      <c r="AX47" s="238">
        <v>2345</v>
      </c>
      <c r="AY47" s="238">
        <v>2634</v>
      </c>
      <c r="AZ47" s="13" t="s">
        <v>38</v>
      </c>
      <c r="BA47" s="201" t="s">
        <v>345</v>
      </c>
      <c r="BB47" s="238">
        <v>0</v>
      </c>
      <c r="BC47" s="238">
        <v>347</v>
      </c>
      <c r="BD47" s="238">
        <v>2984</v>
      </c>
      <c r="BE47" s="238">
        <v>313466.04499999993</v>
      </c>
      <c r="BF47" s="238">
        <v>3446</v>
      </c>
      <c r="BG47" s="238">
        <v>0</v>
      </c>
      <c r="BH47" s="238">
        <v>0</v>
      </c>
      <c r="BI47" s="238">
        <v>0</v>
      </c>
      <c r="BJ47" s="238">
        <v>0</v>
      </c>
      <c r="BK47" s="238">
        <v>0</v>
      </c>
      <c r="BL47" s="238">
        <v>1496</v>
      </c>
      <c r="BN47" s="172"/>
    </row>
    <row r="48" spans="1:66" ht="11.25" customHeight="1">
      <c r="A48" s="13"/>
      <c r="B48" s="201" t="s">
        <v>351</v>
      </c>
      <c r="C48" s="238">
        <v>7995</v>
      </c>
      <c r="D48" s="238">
        <v>31630</v>
      </c>
      <c r="E48" s="238">
        <v>9576</v>
      </c>
      <c r="F48" s="238">
        <v>440535</v>
      </c>
      <c r="G48" s="238">
        <v>324</v>
      </c>
      <c r="H48" s="238">
        <v>0</v>
      </c>
      <c r="I48" s="238">
        <v>0</v>
      </c>
      <c r="J48" s="238">
        <v>0</v>
      </c>
      <c r="K48" s="238">
        <v>0</v>
      </c>
      <c r="L48" s="238">
        <v>6103</v>
      </c>
      <c r="M48" s="238">
        <v>5750</v>
      </c>
      <c r="N48" s="13"/>
      <c r="O48" s="201" t="s">
        <v>351</v>
      </c>
      <c r="P48" s="238">
        <v>1024</v>
      </c>
      <c r="Q48" s="238">
        <v>195</v>
      </c>
      <c r="R48" s="238">
        <v>775</v>
      </c>
      <c r="S48" s="238">
        <v>443</v>
      </c>
      <c r="T48" s="238">
        <v>10</v>
      </c>
      <c r="U48" s="238">
        <v>2575</v>
      </c>
      <c r="V48" s="238">
        <v>870</v>
      </c>
      <c r="W48" s="238">
        <v>7309</v>
      </c>
      <c r="X48" s="238">
        <v>235693</v>
      </c>
      <c r="Y48" s="238">
        <v>216869</v>
      </c>
      <c r="Z48" s="238">
        <v>954</v>
      </c>
      <c r="AA48" s="13"/>
      <c r="AB48" s="201" t="s">
        <v>351</v>
      </c>
      <c r="AC48" s="238">
        <v>0</v>
      </c>
      <c r="AD48" s="238">
        <v>504</v>
      </c>
      <c r="AE48" s="238">
        <v>112609</v>
      </c>
      <c r="AF48" s="238">
        <v>1745</v>
      </c>
      <c r="AG48" s="238">
        <v>0</v>
      </c>
      <c r="AH48" s="238">
        <v>0</v>
      </c>
      <c r="AI48" s="238">
        <v>23519</v>
      </c>
      <c r="AJ48" s="238">
        <v>0</v>
      </c>
      <c r="AK48" s="238">
        <v>0</v>
      </c>
      <c r="AL48" s="238">
        <v>0</v>
      </c>
      <c r="AM48" s="13"/>
      <c r="AN48" s="201" t="s">
        <v>351</v>
      </c>
      <c r="AO48" s="238">
        <v>0</v>
      </c>
      <c r="AP48" s="238">
        <v>0</v>
      </c>
      <c r="AQ48" s="238">
        <v>20195</v>
      </c>
      <c r="AR48" s="238">
        <v>2956</v>
      </c>
      <c r="AS48" s="238">
        <v>5397</v>
      </c>
      <c r="AT48" s="238">
        <v>684</v>
      </c>
      <c r="AU48" s="238">
        <v>632</v>
      </c>
      <c r="AV48" s="238">
        <v>4828</v>
      </c>
      <c r="AW48" s="238">
        <v>1472</v>
      </c>
      <c r="AX48" s="238">
        <v>1435</v>
      </c>
      <c r="AY48" s="238">
        <v>2393</v>
      </c>
      <c r="AZ48" s="13"/>
      <c r="BA48" s="201" t="s">
        <v>351</v>
      </c>
      <c r="BB48" s="238">
        <v>0</v>
      </c>
      <c r="BC48" s="238">
        <v>499</v>
      </c>
      <c r="BD48" s="238">
        <v>1542</v>
      </c>
      <c r="BE48" s="238">
        <v>231447.78800000006</v>
      </c>
      <c r="BF48" s="238">
        <v>3651</v>
      </c>
      <c r="BG48" s="238">
        <v>0</v>
      </c>
      <c r="BH48" s="238">
        <v>0</v>
      </c>
      <c r="BI48" s="238">
        <v>0</v>
      </c>
      <c r="BJ48" s="238">
        <v>0</v>
      </c>
      <c r="BK48" s="238">
        <v>0</v>
      </c>
      <c r="BL48" s="238">
        <v>2345</v>
      </c>
      <c r="BN48" s="172"/>
    </row>
    <row r="49" spans="1:68" ht="11.25" customHeight="1">
      <c r="A49" s="13" t="s">
        <v>39</v>
      </c>
      <c r="B49" s="201" t="s">
        <v>345</v>
      </c>
      <c r="C49" s="238">
        <v>1906.81</v>
      </c>
      <c r="D49" s="238">
        <v>4476.5</v>
      </c>
      <c r="E49" s="238">
        <v>6633.7499999999991</v>
      </c>
      <c r="F49" s="238">
        <v>153.80000000000001</v>
      </c>
      <c r="G49" s="238">
        <v>29357.699999999997</v>
      </c>
      <c r="H49" s="238">
        <v>39618.129999999997</v>
      </c>
      <c r="I49" s="238">
        <v>0</v>
      </c>
      <c r="J49" s="238">
        <v>0</v>
      </c>
      <c r="K49" s="238">
        <v>0</v>
      </c>
      <c r="L49" s="238">
        <v>0</v>
      </c>
      <c r="M49" s="238">
        <v>0</v>
      </c>
      <c r="N49" s="13" t="s">
        <v>39</v>
      </c>
      <c r="O49" s="201" t="s">
        <v>345</v>
      </c>
      <c r="P49" s="238">
        <v>0</v>
      </c>
      <c r="Q49" s="238">
        <v>1120.1999999999998</v>
      </c>
      <c r="R49" s="238">
        <v>0</v>
      </c>
      <c r="S49" s="238">
        <v>153.5</v>
      </c>
      <c r="T49" s="238">
        <v>0</v>
      </c>
      <c r="U49" s="238">
        <v>6541.2</v>
      </c>
      <c r="V49" s="238">
        <v>0</v>
      </c>
      <c r="W49" s="238">
        <v>2203</v>
      </c>
      <c r="X49" s="238">
        <v>7756</v>
      </c>
      <c r="Y49" s="238">
        <v>0</v>
      </c>
      <c r="Z49" s="238">
        <v>3182</v>
      </c>
      <c r="AA49" s="13" t="s">
        <v>39</v>
      </c>
      <c r="AB49" s="201" t="s">
        <v>345</v>
      </c>
      <c r="AC49" s="238">
        <v>96</v>
      </c>
      <c r="AD49" s="238">
        <v>667</v>
      </c>
      <c r="AE49" s="238">
        <v>57.5</v>
      </c>
      <c r="AF49" s="238">
        <v>27350.6</v>
      </c>
      <c r="AG49" s="238">
        <v>7851.5</v>
      </c>
      <c r="AH49" s="238">
        <v>0</v>
      </c>
      <c r="AI49" s="238">
        <v>0</v>
      </c>
      <c r="AJ49" s="238">
        <v>0</v>
      </c>
      <c r="AK49" s="238">
        <v>494.5</v>
      </c>
      <c r="AL49" s="238">
        <v>0</v>
      </c>
      <c r="AM49" s="13" t="s">
        <v>39</v>
      </c>
      <c r="AN49" s="201" t="s">
        <v>345</v>
      </c>
      <c r="AO49" s="238">
        <v>0</v>
      </c>
      <c r="AP49" s="238">
        <v>0</v>
      </c>
      <c r="AQ49" s="238">
        <v>822044</v>
      </c>
      <c r="AR49" s="238">
        <v>29643</v>
      </c>
      <c r="AS49" s="238">
        <v>2768.2</v>
      </c>
      <c r="AT49" s="238">
        <v>29853.72</v>
      </c>
      <c r="AU49" s="238">
        <v>18806.5</v>
      </c>
      <c r="AV49" s="238">
        <v>8105.1</v>
      </c>
      <c r="AW49" s="238">
        <v>675</v>
      </c>
      <c r="AX49" s="238">
        <v>0</v>
      </c>
      <c r="AY49" s="238">
        <v>684.9</v>
      </c>
      <c r="AZ49" s="13" t="s">
        <v>39</v>
      </c>
      <c r="BA49" s="201" t="s">
        <v>345</v>
      </c>
      <c r="BB49" s="238">
        <v>0</v>
      </c>
      <c r="BC49" s="238">
        <v>12861.119999999999</v>
      </c>
      <c r="BD49" s="238">
        <v>1088.3499999999999</v>
      </c>
      <c r="BE49" s="238">
        <v>0</v>
      </c>
      <c r="BF49" s="238">
        <v>1471568</v>
      </c>
      <c r="BG49" s="238">
        <v>0</v>
      </c>
      <c r="BH49" s="238">
        <v>374896.27</v>
      </c>
      <c r="BI49" s="238">
        <v>2176713</v>
      </c>
      <c r="BJ49" s="238">
        <v>0</v>
      </c>
      <c r="BK49" s="238">
        <v>17</v>
      </c>
      <c r="BL49" s="238">
        <v>0</v>
      </c>
      <c r="BN49" s="172"/>
    </row>
    <row r="50" spans="1:68" ht="11.25" customHeight="1">
      <c r="A50" s="13"/>
      <c r="B50" s="201" t="s">
        <v>351</v>
      </c>
      <c r="C50" s="238">
        <v>1720.54</v>
      </c>
      <c r="D50" s="238">
        <v>4309.2</v>
      </c>
      <c r="E50" s="238">
        <v>6494.75</v>
      </c>
      <c r="F50" s="238">
        <v>146.60000000000002</v>
      </c>
      <c r="G50" s="238">
        <v>30268.234999999997</v>
      </c>
      <c r="H50" s="238">
        <v>41336.709000000003</v>
      </c>
      <c r="I50" s="238">
        <v>0</v>
      </c>
      <c r="J50" s="238">
        <v>0</v>
      </c>
      <c r="K50" s="238">
        <v>0</v>
      </c>
      <c r="L50" s="238">
        <v>0</v>
      </c>
      <c r="M50" s="238">
        <v>0</v>
      </c>
      <c r="N50" s="13"/>
      <c r="O50" s="201" t="s">
        <v>351</v>
      </c>
      <c r="P50" s="238">
        <v>0</v>
      </c>
      <c r="Q50" s="238">
        <v>1108.7</v>
      </c>
      <c r="R50" s="238">
        <v>0</v>
      </c>
      <c r="S50" s="238">
        <v>155.9</v>
      </c>
      <c r="T50" s="238">
        <v>0</v>
      </c>
      <c r="U50" s="238">
        <v>6086.4000000000005</v>
      </c>
      <c r="V50" s="238">
        <v>105.8</v>
      </c>
      <c r="W50" s="238">
        <v>2210</v>
      </c>
      <c r="X50" s="238">
        <v>7775.7</v>
      </c>
      <c r="Y50" s="238">
        <v>0</v>
      </c>
      <c r="Z50" s="238">
        <v>3187.1</v>
      </c>
      <c r="AA50" s="13"/>
      <c r="AB50" s="201" t="s">
        <v>351</v>
      </c>
      <c r="AC50" s="238">
        <v>109</v>
      </c>
      <c r="AD50" s="238">
        <v>682.1</v>
      </c>
      <c r="AE50" s="238">
        <v>57.1</v>
      </c>
      <c r="AF50" s="238">
        <v>28024.5</v>
      </c>
      <c r="AG50" s="238">
        <v>7931.2</v>
      </c>
      <c r="AH50" s="238">
        <v>0</v>
      </c>
      <c r="AI50" s="238">
        <v>0</v>
      </c>
      <c r="AJ50" s="238">
        <v>0</v>
      </c>
      <c r="AK50" s="238">
        <v>491.3</v>
      </c>
      <c r="AL50" s="238">
        <v>0</v>
      </c>
      <c r="AM50" s="13"/>
      <c r="AN50" s="201" t="s">
        <v>351</v>
      </c>
      <c r="AO50" s="238">
        <v>0</v>
      </c>
      <c r="AP50" s="238">
        <v>0</v>
      </c>
      <c r="AQ50" s="238">
        <v>939813.3</v>
      </c>
      <c r="AR50" s="238">
        <v>36294.800000000003</v>
      </c>
      <c r="AS50" s="238">
        <v>2211.6</v>
      </c>
      <c r="AT50" s="238">
        <v>30250.13</v>
      </c>
      <c r="AU50" s="238">
        <v>19629.339999999997</v>
      </c>
      <c r="AV50" s="238">
        <v>8316</v>
      </c>
      <c r="AW50" s="238">
        <v>681.1</v>
      </c>
      <c r="AX50" s="238">
        <v>0</v>
      </c>
      <c r="AY50" s="238">
        <v>659.03</v>
      </c>
      <c r="AZ50" s="13"/>
      <c r="BA50" s="201" t="s">
        <v>351</v>
      </c>
      <c r="BB50" s="238">
        <v>0</v>
      </c>
      <c r="BC50" s="238">
        <v>12853.169999999998</v>
      </c>
      <c r="BD50" s="238">
        <v>1042.78</v>
      </c>
      <c r="BE50" s="238">
        <v>0</v>
      </c>
      <c r="BF50" s="238">
        <v>1486209.2</v>
      </c>
      <c r="BG50" s="238">
        <v>0</v>
      </c>
      <c r="BH50" s="238">
        <v>323784.8</v>
      </c>
      <c r="BI50" s="238">
        <v>2378106.39</v>
      </c>
      <c r="BJ50" s="238">
        <v>0</v>
      </c>
      <c r="BK50" s="238">
        <v>18</v>
      </c>
      <c r="BL50" s="238">
        <v>0</v>
      </c>
      <c r="BN50" s="172"/>
    </row>
    <row r="51" spans="1:68" ht="11.25" customHeight="1">
      <c r="A51" s="13" t="s">
        <v>70</v>
      </c>
      <c r="B51" s="201" t="s">
        <v>345</v>
      </c>
      <c r="C51" s="238">
        <v>0</v>
      </c>
      <c r="D51" s="238">
        <v>118639.739</v>
      </c>
      <c r="E51" s="238">
        <v>0</v>
      </c>
      <c r="F51" s="238">
        <v>601682.30999999994</v>
      </c>
      <c r="G51" s="238">
        <v>0</v>
      </c>
      <c r="H51" s="238">
        <v>0</v>
      </c>
      <c r="I51" s="238">
        <v>0</v>
      </c>
      <c r="J51" s="238">
        <v>0</v>
      </c>
      <c r="K51" s="238">
        <v>0</v>
      </c>
      <c r="L51" s="238">
        <v>0</v>
      </c>
      <c r="M51" s="238">
        <v>0</v>
      </c>
      <c r="N51" s="13" t="s">
        <v>70</v>
      </c>
      <c r="O51" s="201" t="s">
        <v>345</v>
      </c>
      <c r="P51" s="238">
        <v>1728</v>
      </c>
      <c r="Q51" s="238">
        <v>0</v>
      </c>
      <c r="R51" s="238">
        <v>0</v>
      </c>
      <c r="S51" s="238">
        <v>0</v>
      </c>
      <c r="T51" s="238">
        <v>0</v>
      </c>
      <c r="U51" s="238">
        <v>0</v>
      </c>
      <c r="V51" s="238">
        <v>0</v>
      </c>
      <c r="W51" s="238">
        <v>156.75000000000003</v>
      </c>
      <c r="X51" s="238">
        <v>287364.25</v>
      </c>
      <c r="Y51" s="238">
        <v>266.39999999999998</v>
      </c>
      <c r="Z51" s="238">
        <v>20183.8</v>
      </c>
      <c r="AA51" s="13" t="s">
        <v>70</v>
      </c>
      <c r="AB51" s="201" t="s">
        <v>345</v>
      </c>
      <c r="AC51" s="238">
        <v>10941</v>
      </c>
      <c r="AD51" s="238">
        <v>0</v>
      </c>
      <c r="AE51" s="238">
        <v>3633.62</v>
      </c>
      <c r="AF51" s="238">
        <v>59032.9</v>
      </c>
      <c r="AG51" s="238">
        <v>386</v>
      </c>
      <c r="AH51" s="238">
        <v>0</v>
      </c>
      <c r="AI51" s="238">
        <v>685.5</v>
      </c>
      <c r="AJ51" s="238">
        <v>0</v>
      </c>
      <c r="AK51" s="238">
        <v>0</v>
      </c>
      <c r="AL51" s="238">
        <v>0</v>
      </c>
      <c r="AM51" s="13" t="s">
        <v>70</v>
      </c>
      <c r="AN51" s="201" t="s">
        <v>345</v>
      </c>
      <c r="AO51" s="238">
        <v>0</v>
      </c>
      <c r="AP51" s="238">
        <v>260895.84999999998</v>
      </c>
      <c r="AQ51" s="238">
        <v>0</v>
      </c>
      <c r="AR51" s="238">
        <v>64714.5</v>
      </c>
      <c r="AS51" s="238">
        <v>0</v>
      </c>
      <c r="AT51" s="238">
        <v>0</v>
      </c>
      <c r="AU51" s="238">
        <v>0</v>
      </c>
      <c r="AV51" s="238">
        <v>99621.8</v>
      </c>
      <c r="AW51" s="238">
        <v>45760.200000000004</v>
      </c>
      <c r="AX51" s="238">
        <v>0</v>
      </c>
      <c r="AY51" s="238">
        <v>1531.42</v>
      </c>
      <c r="AZ51" s="13" t="s">
        <v>70</v>
      </c>
      <c r="BA51" s="201" t="s">
        <v>345</v>
      </c>
      <c r="BB51" s="238">
        <v>0</v>
      </c>
      <c r="BC51" s="238">
        <v>0</v>
      </c>
      <c r="BD51" s="238">
        <v>0</v>
      </c>
      <c r="BE51" s="238">
        <v>0</v>
      </c>
      <c r="BF51" s="238">
        <v>0</v>
      </c>
      <c r="BG51" s="238">
        <v>0</v>
      </c>
      <c r="BH51" s="238">
        <v>0</v>
      </c>
      <c r="BI51" s="238">
        <v>0</v>
      </c>
      <c r="BJ51" s="238">
        <v>0</v>
      </c>
      <c r="BK51" s="238">
        <v>0</v>
      </c>
      <c r="BL51" s="238">
        <v>0</v>
      </c>
      <c r="BN51" s="172"/>
    </row>
    <row r="52" spans="1:68" ht="11.25" customHeight="1">
      <c r="A52" s="13"/>
      <c r="B52" s="201" t="s">
        <v>351</v>
      </c>
      <c r="C52" s="238">
        <v>0</v>
      </c>
      <c r="D52" s="238">
        <v>128116</v>
      </c>
      <c r="E52" s="238">
        <v>0</v>
      </c>
      <c r="F52" s="238">
        <v>570892.228</v>
      </c>
      <c r="G52" s="238">
        <v>0</v>
      </c>
      <c r="H52" s="238">
        <v>0</v>
      </c>
      <c r="I52" s="238">
        <v>0</v>
      </c>
      <c r="J52" s="238">
        <v>0</v>
      </c>
      <c r="K52" s="238">
        <v>144.5</v>
      </c>
      <c r="L52" s="238">
        <v>0</v>
      </c>
      <c r="M52" s="238">
        <v>0</v>
      </c>
      <c r="N52" s="13"/>
      <c r="O52" s="201" t="s">
        <v>351</v>
      </c>
      <c r="P52" s="238">
        <v>1810.65</v>
      </c>
      <c r="Q52" s="238">
        <v>0</v>
      </c>
      <c r="R52" s="238">
        <v>0</v>
      </c>
      <c r="S52" s="238">
        <v>0</v>
      </c>
      <c r="T52" s="238">
        <v>0</v>
      </c>
      <c r="U52" s="238">
        <v>0</v>
      </c>
      <c r="V52" s="238">
        <v>0</v>
      </c>
      <c r="W52" s="238">
        <v>226.8</v>
      </c>
      <c r="X52" s="238">
        <v>274049</v>
      </c>
      <c r="Y52" s="238">
        <v>63.550000000000004</v>
      </c>
      <c r="Z52" s="238">
        <v>16849.3</v>
      </c>
      <c r="AA52" s="13"/>
      <c r="AB52" s="201" t="s">
        <v>351</v>
      </c>
      <c r="AC52" s="238">
        <v>9638.7999999999993</v>
      </c>
      <c r="AD52" s="238">
        <v>0</v>
      </c>
      <c r="AE52" s="238">
        <v>3023.05</v>
      </c>
      <c r="AF52" s="238">
        <v>44387</v>
      </c>
      <c r="AG52" s="238">
        <v>368</v>
      </c>
      <c r="AH52" s="238">
        <v>0</v>
      </c>
      <c r="AI52" s="238">
        <v>680</v>
      </c>
      <c r="AJ52" s="238">
        <v>0</v>
      </c>
      <c r="AK52" s="238">
        <v>0</v>
      </c>
      <c r="AL52" s="238">
        <v>0</v>
      </c>
      <c r="AM52" s="13"/>
      <c r="AN52" s="201" t="s">
        <v>351</v>
      </c>
      <c r="AO52" s="238">
        <v>0</v>
      </c>
      <c r="AP52" s="238">
        <v>262827.67</v>
      </c>
      <c r="AQ52" s="238">
        <v>0</v>
      </c>
      <c r="AR52" s="238">
        <v>85376.85</v>
      </c>
      <c r="AS52" s="238">
        <v>0</v>
      </c>
      <c r="AT52" s="238">
        <v>0</v>
      </c>
      <c r="AU52" s="238">
        <v>0</v>
      </c>
      <c r="AV52" s="238">
        <v>85597.7</v>
      </c>
      <c r="AW52" s="238">
        <v>41672.699999999997</v>
      </c>
      <c r="AX52" s="238">
        <v>0</v>
      </c>
      <c r="AY52" s="238">
        <v>1613.8330000000001</v>
      </c>
      <c r="AZ52" s="13"/>
      <c r="BA52" s="201" t="s">
        <v>351</v>
      </c>
      <c r="BB52" s="238">
        <v>0</v>
      </c>
      <c r="BC52" s="238">
        <v>0</v>
      </c>
      <c r="BD52" s="238">
        <v>0</v>
      </c>
      <c r="BE52" s="238">
        <v>0</v>
      </c>
      <c r="BF52" s="238">
        <v>0</v>
      </c>
      <c r="BG52" s="238">
        <v>0</v>
      </c>
      <c r="BH52" s="238">
        <v>0</v>
      </c>
      <c r="BI52" s="238">
        <v>0</v>
      </c>
      <c r="BJ52" s="238">
        <v>0</v>
      </c>
      <c r="BK52" s="238">
        <v>0</v>
      </c>
      <c r="BL52" s="238">
        <v>0</v>
      </c>
      <c r="BN52" s="172"/>
    </row>
    <row r="53" spans="1:68" ht="11.25" customHeight="1">
      <c r="A53" s="13" t="s">
        <v>68</v>
      </c>
      <c r="B53" s="201" t="s">
        <v>345</v>
      </c>
      <c r="C53" s="238">
        <v>0</v>
      </c>
      <c r="D53" s="238">
        <v>0</v>
      </c>
      <c r="E53" s="238">
        <v>1803</v>
      </c>
      <c r="F53" s="238">
        <v>0</v>
      </c>
      <c r="G53" s="238">
        <v>0</v>
      </c>
      <c r="H53" s="238">
        <v>618</v>
      </c>
      <c r="I53" s="238">
        <v>0</v>
      </c>
      <c r="J53" s="238">
        <v>0</v>
      </c>
      <c r="K53" s="238">
        <v>8945</v>
      </c>
      <c r="L53" s="238">
        <v>0</v>
      </c>
      <c r="M53" s="238">
        <v>863</v>
      </c>
      <c r="N53" s="13" t="s">
        <v>68</v>
      </c>
      <c r="O53" s="201" t="s">
        <v>345</v>
      </c>
      <c r="P53" s="238">
        <v>5028</v>
      </c>
      <c r="Q53" s="238">
        <v>7733</v>
      </c>
      <c r="R53" s="238">
        <v>92</v>
      </c>
      <c r="S53" s="238">
        <v>0</v>
      </c>
      <c r="T53" s="238">
        <v>43</v>
      </c>
      <c r="U53" s="238">
        <v>8221</v>
      </c>
      <c r="V53" s="238">
        <v>1658</v>
      </c>
      <c r="W53" s="238">
        <v>287</v>
      </c>
      <c r="X53" s="238">
        <v>26</v>
      </c>
      <c r="Y53" s="238">
        <v>0</v>
      </c>
      <c r="Z53" s="238">
        <v>0</v>
      </c>
      <c r="AA53" s="13" t="s">
        <v>68</v>
      </c>
      <c r="AB53" s="201" t="s">
        <v>345</v>
      </c>
      <c r="AC53" s="238">
        <v>0</v>
      </c>
      <c r="AD53" s="238">
        <v>0</v>
      </c>
      <c r="AE53" s="238">
        <v>0</v>
      </c>
      <c r="AF53" s="238">
        <v>7440</v>
      </c>
      <c r="AG53" s="238">
        <v>0</v>
      </c>
      <c r="AH53" s="238">
        <v>0</v>
      </c>
      <c r="AI53" s="238">
        <v>6817</v>
      </c>
      <c r="AJ53" s="238">
        <v>2051</v>
      </c>
      <c r="AK53" s="238">
        <v>471</v>
      </c>
      <c r="AL53" s="238">
        <v>1397</v>
      </c>
      <c r="AM53" s="13" t="s">
        <v>68</v>
      </c>
      <c r="AN53" s="201" t="s">
        <v>345</v>
      </c>
      <c r="AO53" s="238">
        <v>122731</v>
      </c>
      <c r="AP53" s="238">
        <v>0</v>
      </c>
      <c r="AQ53" s="238">
        <v>6308</v>
      </c>
      <c r="AR53" s="238">
        <v>0</v>
      </c>
      <c r="AS53" s="238">
        <v>2745</v>
      </c>
      <c r="AT53" s="238">
        <v>0</v>
      </c>
      <c r="AU53" s="238">
        <v>0</v>
      </c>
      <c r="AV53" s="238">
        <v>0</v>
      </c>
      <c r="AW53" s="238">
        <v>0</v>
      </c>
      <c r="AX53" s="238">
        <v>74</v>
      </c>
      <c r="AY53" s="238">
        <v>0</v>
      </c>
      <c r="AZ53" s="13" t="s">
        <v>68</v>
      </c>
      <c r="BA53" s="201" t="s">
        <v>345</v>
      </c>
      <c r="BB53" s="238">
        <v>0</v>
      </c>
      <c r="BC53" s="238">
        <v>0</v>
      </c>
      <c r="BD53" s="238">
        <v>0</v>
      </c>
      <c r="BE53" s="238">
        <v>0</v>
      </c>
      <c r="BF53" s="238">
        <v>180814</v>
      </c>
      <c r="BG53" s="238">
        <v>85578</v>
      </c>
      <c r="BH53" s="238">
        <v>0</v>
      </c>
      <c r="BI53" s="238">
        <v>0</v>
      </c>
      <c r="BJ53" s="238">
        <v>0</v>
      </c>
      <c r="BK53" s="238">
        <v>4852</v>
      </c>
      <c r="BL53" s="238">
        <v>0</v>
      </c>
      <c r="BN53" s="172"/>
    </row>
    <row r="54" spans="1:68" ht="11.25" customHeight="1">
      <c r="A54" s="13"/>
      <c r="B54" s="201" t="s">
        <v>351</v>
      </c>
      <c r="C54" s="238">
        <v>0</v>
      </c>
      <c r="D54" s="238">
        <v>0</v>
      </c>
      <c r="E54" s="238">
        <v>1910</v>
      </c>
      <c r="F54" s="238">
        <v>0</v>
      </c>
      <c r="G54" s="238">
        <v>0</v>
      </c>
      <c r="H54" s="238">
        <v>579</v>
      </c>
      <c r="I54" s="238">
        <v>0</v>
      </c>
      <c r="J54" s="238">
        <v>0</v>
      </c>
      <c r="K54" s="238">
        <v>12013</v>
      </c>
      <c r="L54" s="238">
        <v>0</v>
      </c>
      <c r="M54" s="238">
        <v>1437</v>
      </c>
      <c r="N54" s="13"/>
      <c r="O54" s="201" t="s">
        <v>351</v>
      </c>
      <c r="P54" s="238">
        <v>6461</v>
      </c>
      <c r="Q54" s="238">
        <v>6912</v>
      </c>
      <c r="R54" s="238">
        <v>152</v>
      </c>
      <c r="S54" s="238">
        <v>0</v>
      </c>
      <c r="T54" s="238">
        <v>9</v>
      </c>
      <c r="U54" s="238">
        <v>9389</v>
      </c>
      <c r="V54" s="238">
        <v>1742</v>
      </c>
      <c r="W54" s="238">
        <v>341</v>
      </c>
      <c r="X54" s="238">
        <v>25</v>
      </c>
      <c r="Y54" s="238">
        <v>0</v>
      </c>
      <c r="Z54" s="238">
        <v>0</v>
      </c>
      <c r="AA54" s="13"/>
      <c r="AB54" s="201" t="s">
        <v>351</v>
      </c>
      <c r="AC54" s="238">
        <v>0</v>
      </c>
      <c r="AD54" s="238">
        <v>0</v>
      </c>
      <c r="AE54" s="238">
        <v>0</v>
      </c>
      <c r="AF54" s="238">
        <v>16811</v>
      </c>
      <c r="AG54" s="238">
        <v>0</v>
      </c>
      <c r="AH54" s="238">
        <v>0</v>
      </c>
      <c r="AI54" s="238">
        <v>6005</v>
      </c>
      <c r="AJ54" s="238">
        <v>2002</v>
      </c>
      <c r="AK54" s="238">
        <v>495</v>
      </c>
      <c r="AL54" s="238">
        <v>1411</v>
      </c>
      <c r="AM54" s="13"/>
      <c r="AN54" s="201" t="s">
        <v>351</v>
      </c>
      <c r="AO54" s="238">
        <v>105473</v>
      </c>
      <c r="AP54" s="238">
        <v>0</v>
      </c>
      <c r="AQ54" s="238">
        <v>8575</v>
      </c>
      <c r="AR54" s="238">
        <v>0</v>
      </c>
      <c r="AS54" s="238">
        <v>2915</v>
      </c>
      <c r="AT54" s="238">
        <v>0</v>
      </c>
      <c r="AU54" s="238">
        <v>0</v>
      </c>
      <c r="AV54" s="238">
        <v>0</v>
      </c>
      <c r="AW54" s="238">
        <v>0</v>
      </c>
      <c r="AX54" s="238">
        <v>111</v>
      </c>
      <c r="AY54" s="238">
        <v>0</v>
      </c>
      <c r="AZ54" s="13"/>
      <c r="BA54" s="201" t="s">
        <v>351</v>
      </c>
      <c r="BB54" s="238">
        <v>0</v>
      </c>
      <c r="BC54" s="238">
        <v>0</v>
      </c>
      <c r="BD54" s="238">
        <v>0</v>
      </c>
      <c r="BE54" s="238">
        <v>0</v>
      </c>
      <c r="BF54" s="238">
        <v>190920</v>
      </c>
      <c r="BG54" s="238">
        <v>68547</v>
      </c>
      <c r="BH54" s="238">
        <v>0</v>
      </c>
      <c r="BI54" s="238">
        <v>0</v>
      </c>
      <c r="BJ54" s="238">
        <v>0</v>
      </c>
      <c r="BK54" s="238">
        <v>5113</v>
      </c>
      <c r="BL54" s="238">
        <v>0</v>
      </c>
      <c r="BN54" s="172"/>
    </row>
    <row r="55" spans="1:68" ht="11.25" customHeight="1">
      <c r="A55" s="13" t="s">
        <v>69</v>
      </c>
      <c r="B55" s="201" t="s">
        <v>345</v>
      </c>
      <c r="C55" s="238">
        <v>0</v>
      </c>
      <c r="D55" s="238">
        <v>622.91200000000003</v>
      </c>
      <c r="E55" s="238">
        <v>0</v>
      </c>
      <c r="F55" s="238">
        <v>54496.637000000002</v>
      </c>
      <c r="G55" s="238">
        <v>0</v>
      </c>
      <c r="H55" s="238">
        <v>0</v>
      </c>
      <c r="I55" s="238">
        <v>0</v>
      </c>
      <c r="J55" s="238">
        <v>0</v>
      </c>
      <c r="K55" s="238">
        <v>13.794</v>
      </c>
      <c r="L55" s="238">
        <v>0</v>
      </c>
      <c r="M55" s="238">
        <v>49.759999999999991</v>
      </c>
      <c r="N55" s="13" t="s">
        <v>69</v>
      </c>
      <c r="O55" s="201" t="s">
        <v>345</v>
      </c>
      <c r="P55" s="238">
        <v>22.849999999999998</v>
      </c>
      <c r="Q55" s="238">
        <v>34.71</v>
      </c>
      <c r="R55" s="238">
        <v>0</v>
      </c>
      <c r="S55" s="238">
        <v>0</v>
      </c>
      <c r="T55" s="238">
        <v>0</v>
      </c>
      <c r="U55" s="238">
        <v>0</v>
      </c>
      <c r="V55" s="238">
        <v>1662.4579999999999</v>
      </c>
      <c r="W55" s="238">
        <v>0</v>
      </c>
      <c r="X55" s="238">
        <v>94749.801000000007</v>
      </c>
      <c r="Y55" s="238">
        <v>406.53199999999998</v>
      </c>
      <c r="Z55" s="238">
        <v>1242.7850000000001</v>
      </c>
      <c r="AA55" s="13" t="s">
        <v>69</v>
      </c>
      <c r="AB55" s="201" t="s">
        <v>345</v>
      </c>
      <c r="AC55" s="238">
        <v>0</v>
      </c>
      <c r="AD55" s="238">
        <v>0</v>
      </c>
      <c r="AE55" s="238">
        <v>35616.419000000002</v>
      </c>
      <c r="AF55" s="238">
        <v>315.95</v>
      </c>
      <c r="AG55" s="238">
        <v>10.5</v>
      </c>
      <c r="AH55" s="238">
        <v>22</v>
      </c>
      <c r="AI55" s="238">
        <v>12</v>
      </c>
      <c r="AJ55" s="238">
        <v>0</v>
      </c>
      <c r="AK55" s="238">
        <v>0</v>
      </c>
      <c r="AL55" s="238">
        <v>0</v>
      </c>
      <c r="AM55" s="13" t="s">
        <v>69</v>
      </c>
      <c r="AN55" s="201" t="s">
        <v>345</v>
      </c>
      <c r="AO55" s="238">
        <v>0</v>
      </c>
      <c r="AP55" s="238">
        <v>0</v>
      </c>
      <c r="AQ55" s="238">
        <v>0</v>
      </c>
      <c r="AR55" s="238">
        <v>2106.1410000000005</v>
      </c>
      <c r="AS55" s="238">
        <v>10.154999999999999</v>
      </c>
      <c r="AT55" s="238">
        <v>0</v>
      </c>
      <c r="AU55" s="238">
        <v>0</v>
      </c>
      <c r="AV55" s="238">
        <v>0</v>
      </c>
      <c r="AW55" s="238">
        <v>514.84800000000007</v>
      </c>
      <c r="AX55" s="238">
        <v>0</v>
      </c>
      <c r="AY55" s="238">
        <v>0</v>
      </c>
      <c r="AZ55" s="13" t="s">
        <v>69</v>
      </c>
      <c r="BA55" s="201" t="s">
        <v>345</v>
      </c>
      <c r="BB55" s="238">
        <v>0</v>
      </c>
      <c r="BC55" s="238">
        <v>0</v>
      </c>
      <c r="BD55" s="238">
        <v>0</v>
      </c>
      <c r="BE55" s="238">
        <v>0</v>
      </c>
      <c r="BF55" s="238">
        <v>0</v>
      </c>
      <c r="BG55" s="238">
        <v>0</v>
      </c>
      <c r="BH55" s="238">
        <v>0</v>
      </c>
      <c r="BI55" s="238">
        <v>0</v>
      </c>
      <c r="BJ55" s="238">
        <v>0</v>
      </c>
      <c r="BK55" s="238">
        <v>0</v>
      </c>
      <c r="BL55" s="238">
        <v>0</v>
      </c>
      <c r="BN55" s="436"/>
      <c r="BO55" s="97"/>
      <c r="BP55" s="97"/>
    </row>
    <row r="56" spans="1:68" ht="11.25" customHeight="1">
      <c r="A56" s="13"/>
      <c r="B56" s="201" t="s">
        <v>351</v>
      </c>
      <c r="C56" s="238">
        <v>0</v>
      </c>
      <c r="D56" s="238">
        <v>1523.08</v>
      </c>
      <c r="E56" s="238">
        <v>0</v>
      </c>
      <c r="F56" s="238">
        <v>70314.237999999998</v>
      </c>
      <c r="G56" s="238">
        <v>0</v>
      </c>
      <c r="H56" s="238">
        <v>0</v>
      </c>
      <c r="I56" s="238">
        <v>0</v>
      </c>
      <c r="J56" s="238">
        <v>0</v>
      </c>
      <c r="K56" s="238">
        <v>0</v>
      </c>
      <c r="L56" s="238">
        <v>0</v>
      </c>
      <c r="M56" s="238">
        <v>43.04</v>
      </c>
      <c r="N56" s="13"/>
      <c r="O56" s="201" t="s">
        <v>351</v>
      </c>
      <c r="P56" s="238">
        <v>46.9</v>
      </c>
      <c r="Q56" s="238">
        <v>107.069</v>
      </c>
      <c r="R56" s="238">
        <v>0</v>
      </c>
      <c r="S56" s="238">
        <v>0</v>
      </c>
      <c r="T56" s="238">
        <v>0</v>
      </c>
      <c r="U56" s="238">
        <v>0</v>
      </c>
      <c r="V56" s="238">
        <v>1376.3420000000001</v>
      </c>
      <c r="W56" s="238">
        <v>0</v>
      </c>
      <c r="X56" s="238">
        <v>86985.748000000007</v>
      </c>
      <c r="Y56" s="238">
        <v>348.89800000000002</v>
      </c>
      <c r="Z56" s="238">
        <v>1244.348</v>
      </c>
      <c r="AA56" s="13"/>
      <c r="AB56" s="201" t="s">
        <v>351</v>
      </c>
      <c r="AC56" s="238">
        <v>0</v>
      </c>
      <c r="AD56" s="238">
        <v>0</v>
      </c>
      <c r="AE56" s="238">
        <v>44210.125</v>
      </c>
      <c r="AF56" s="238">
        <v>395.24800000000005</v>
      </c>
      <c r="AG56" s="238">
        <v>17</v>
      </c>
      <c r="AH56" s="238">
        <v>46</v>
      </c>
      <c r="AI56" s="238">
        <v>0</v>
      </c>
      <c r="AJ56" s="238">
        <v>0</v>
      </c>
      <c r="AK56" s="238">
        <v>0</v>
      </c>
      <c r="AL56" s="238">
        <v>0</v>
      </c>
      <c r="AM56" s="13"/>
      <c r="AN56" s="201" t="s">
        <v>351</v>
      </c>
      <c r="AO56" s="238">
        <v>0</v>
      </c>
      <c r="AP56" s="238">
        <v>0</v>
      </c>
      <c r="AQ56" s="238">
        <v>0</v>
      </c>
      <c r="AR56" s="238">
        <v>3536.6299999999997</v>
      </c>
      <c r="AS56" s="238">
        <v>3.4299999999999997</v>
      </c>
      <c r="AT56" s="238">
        <v>0</v>
      </c>
      <c r="AU56" s="238">
        <v>0</v>
      </c>
      <c r="AV56" s="238">
        <v>0</v>
      </c>
      <c r="AW56" s="238">
        <v>523.97399999999993</v>
      </c>
      <c r="AX56" s="238">
        <v>0</v>
      </c>
      <c r="AY56" s="238">
        <v>0.8</v>
      </c>
      <c r="AZ56" s="13"/>
      <c r="BA56" s="201" t="s">
        <v>351</v>
      </c>
      <c r="BB56" s="238">
        <v>0</v>
      </c>
      <c r="BC56" s="238">
        <v>0</v>
      </c>
      <c r="BD56" s="238">
        <v>0</v>
      </c>
      <c r="BE56" s="238">
        <v>0</v>
      </c>
      <c r="BF56" s="238">
        <v>0</v>
      </c>
      <c r="BG56" s="238">
        <v>0</v>
      </c>
      <c r="BH56" s="238">
        <v>0</v>
      </c>
      <c r="BI56" s="238">
        <v>0</v>
      </c>
      <c r="BJ56" s="238">
        <v>0</v>
      </c>
      <c r="BK56" s="238">
        <v>0</v>
      </c>
      <c r="BL56" s="238">
        <v>0</v>
      </c>
      <c r="BN56" s="436"/>
      <c r="BO56" s="97"/>
      <c r="BP56" s="97"/>
    </row>
    <row r="57" spans="1:68" ht="11.25" customHeight="1">
      <c r="A57" s="13" t="s">
        <v>71</v>
      </c>
      <c r="B57" s="201" t="s">
        <v>345</v>
      </c>
      <c r="C57" s="238">
        <v>0</v>
      </c>
      <c r="D57" s="238">
        <v>14339.853999999999</v>
      </c>
      <c r="E57" s="238">
        <v>0</v>
      </c>
      <c r="F57" s="238">
        <v>43838.600999999995</v>
      </c>
      <c r="G57" s="238">
        <v>0</v>
      </c>
      <c r="H57" s="238">
        <v>0</v>
      </c>
      <c r="I57" s="238">
        <v>0</v>
      </c>
      <c r="J57" s="238">
        <v>0</v>
      </c>
      <c r="K57" s="238">
        <v>0</v>
      </c>
      <c r="L57" s="238">
        <v>0</v>
      </c>
      <c r="M57" s="238">
        <v>0</v>
      </c>
      <c r="N57" s="13" t="s">
        <v>71</v>
      </c>
      <c r="O57" s="201" t="s">
        <v>345</v>
      </c>
      <c r="P57" s="238">
        <v>61.31</v>
      </c>
      <c r="Q57" s="238">
        <v>0</v>
      </c>
      <c r="R57" s="238">
        <v>0</v>
      </c>
      <c r="S57" s="238">
        <v>0</v>
      </c>
      <c r="T57" s="238">
        <v>0</v>
      </c>
      <c r="U57" s="238">
        <v>0</v>
      </c>
      <c r="V57" s="238">
        <v>0</v>
      </c>
      <c r="W57" s="238">
        <v>2384.2859999999996</v>
      </c>
      <c r="X57" s="238">
        <v>195761.26</v>
      </c>
      <c r="Y57" s="238">
        <v>403.67999999999995</v>
      </c>
      <c r="Z57" s="238">
        <v>34302.525999999998</v>
      </c>
      <c r="AA57" s="13" t="s">
        <v>71</v>
      </c>
      <c r="AB57" s="201" t="s">
        <v>345</v>
      </c>
      <c r="AC57" s="238">
        <v>5400.3290000000006</v>
      </c>
      <c r="AD57" s="238">
        <v>1104.877</v>
      </c>
      <c r="AE57" s="238">
        <v>10335.294000000002</v>
      </c>
      <c r="AF57" s="238">
        <v>11453.875999999998</v>
      </c>
      <c r="AG57" s="238">
        <v>5471.9349999999995</v>
      </c>
      <c r="AH57" s="238">
        <v>3588.4980000000005</v>
      </c>
      <c r="AI57" s="238">
        <v>0</v>
      </c>
      <c r="AJ57" s="238">
        <v>0</v>
      </c>
      <c r="AK57" s="238">
        <v>0</v>
      </c>
      <c r="AL57" s="238">
        <v>0</v>
      </c>
      <c r="AM57" s="13" t="s">
        <v>71</v>
      </c>
      <c r="AN57" s="201" t="s">
        <v>345</v>
      </c>
      <c r="AO57" s="238">
        <v>0</v>
      </c>
      <c r="AP57" s="238">
        <v>196807.185</v>
      </c>
      <c r="AQ57" s="238">
        <v>0</v>
      </c>
      <c r="AR57" s="238">
        <v>75581.766000000003</v>
      </c>
      <c r="AS57" s="238">
        <v>267.02000000000004</v>
      </c>
      <c r="AT57" s="238">
        <v>0</v>
      </c>
      <c r="AU57" s="238">
        <v>0</v>
      </c>
      <c r="AV57" s="238">
        <v>10161.279999999999</v>
      </c>
      <c r="AW57" s="238">
        <v>16913.417999999998</v>
      </c>
      <c r="AX57" s="238">
        <v>0</v>
      </c>
      <c r="AY57" s="238">
        <v>325.82900000000001</v>
      </c>
      <c r="AZ57" s="13" t="s">
        <v>71</v>
      </c>
      <c r="BA57" s="201" t="s">
        <v>345</v>
      </c>
      <c r="BB57" s="238">
        <v>0</v>
      </c>
      <c r="BC57" s="238">
        <v>0</v>
      </c>
      <c r="BD57" s="238">
        <v>0</v>
      </c>
      <c r="BE57" s="238">
        <v>0</v>
      </c>
      <c r="BF57" s="238">
        <v>0</v>
      </c>
      <c r="BG57" s="238">
        <v>0</v>
      </c>
      <c r="BH57" s="238">
        <v>0</v>
      </c>
      <c r="BI57" s="238">
        <v>0</v>
      </c>
      <c r="BJ57" s="238">
        <v>0</v>
      </c>
      <c r="BK57" s="238">
        <v>0</v>
      </c>
      <c r="BL57" s="238">
        <v>0</v>
      </c>
      <c r="BN57" s="436"/>
      <c r="BO57" s="97"/>
      <c r="BP57" s="97"/>
    </row>
    <row r="58" spans="1:68" ht="11.25" customHeight="1">
      <c r="A58" s="14"/>
      <c r="B58" s="200" t="s">
        <v>351</v>
      </c>
      <c r="C58" s="239">
        <v>0</v>
      </c>
      <c r="D58" s="239">
        <v>11223.995999999999</v>
      </c>
      <c r="E58" s="239">
        <v>0</v>
      </c>
      <c r="F58" s="239">
        <v>45674.558000000005</v>
      </c>
      <c r="G58" s="239">
        <v>0</v>
      </c>
      <c r="H58" s="239">
        <v>0</v>
      </c>
      <c r="I58" s="239">
        <v>0</v>
      </c>
      <c r="J58" s="239">
        <v>0</v>
      </c>
      <c r="K58" s="239">
        <v>0</v>
      </c>
      <c r="L58" s="239">
        <v>0</v>
      </c>
      <c r="M58" s="239">
        <v>0</v>
      </c>
      <c r="N58" s="14"/>
      <c r="O58" s="200" t="s">
        <v>351</v>
      </c>
      <c r="P58" s="239">
        <v>120.21000000000001</v>
      </c>
      <c r="Q58" s="239">
        <v>76.38</v>
      </c>
      <c r="R58" s="239">
        <v>0</v>
      </c>
      <c r="S58" s="239">
        <v>0</v>
      </c>
      <c r="T58" s="239">
        <v>0</v>
      </c>
      <c r="U58" s="239">
        <v>0</v>
      </c>
      <c r="V58" s="239">
        <v>0</v>
      </c>
      <c r="W58" s="239">
        <v>2509.4680000000003</v>
      </c>
      <c r="X58" s="239">
        <v>220052.571</v>
      </c>
      <c r="Y58" s="239">
        <v>580.54000000000008</v>
      </c>
      <c r="Z58" s="239">
        <v>41466.563999999998</v>
      </c>
      <c r="AA58" s="14"/>
      <c r="AB58" s="200" t="s">
        <v>351</v>
      </c>
      <c r="AC58" s="239">
        <v>7360.6920000000009</v>
      </c>
      <c r="AD58" s="239">
        <v>1388.8480000000002</v>
      </c>
      <c r="AE58" s="239">
        <v>12546.976000000002</v>
      </c>
      <c r="AF58" s="239">
        <v>12607.956</v>
      </c>
      <c r="AG58" s="239">
        <v>6909.3159999999989</v>
      </c>
      <c r="AH58" s="239">
        <v>4153.9589999999998</v>
      </c>
      <c r="AI58" s="239">
        <v>0</v>
      </c>
      <c r="AJ58" s="239">
        <v>0</v>
      </c>
      <c r="AK58" s="239">
        <v>0</v>
      </c>
      <c r="AL58" s="239">
        <v>0</v>
      </c>
      <c r="AM58" s="14"/>
      <c r="AN58" s="200" t="s">
        <v>351</v>
      </c>
      <c r="AO58" s="239">
        <v>0</v>
      </c>
      <c r="AP58" s="239">
        <v>318892.34900000005</v>
      </c>
      <c r="AQ58" s="239">
        <v>0</v>
      </c>
      <c r="AR58" s="239">
        <v>80378.228999999992</v>
      </c>
      <c r="AS58" s="239">
        <v>254.59</v>
      </c>
      <c r="AT58" s="239">
        <v>0</v>
      </c>
      <c r="AU58" s="239">
        <v>0</v>
      </c>
      <c r="AV58" s="239">
        <v>16937.733000000004</v>
      </c>
      <c r="AW58" s="239">
        <v>15591.434000000001</v>
      </c>
      <c r="AX58" s="239">
        <v>0</v>
      </c>
      <c r="AY58" s="239">
        <v>520.48900000000003</v>
      </c>
      <c r="AZ58" s="14"/>
      <c r="BA58" s="200" t="s">
        <v>351</v>
      </c>
      <c r="BB58" s="239">
        <v>0</v>
      </c>
      <c r="BC58" s="239">
        <v>0</v>
      </c>
      <c r="BD58" s="239">
        <v>0</v>
      </c>
      <c r="BE58" s="239">
        <v>0</v>
      </c>
      <c r="BF58" s="239">
        <v>0</v>
      </c>
      <c r="BG58" s="239">
        <v>0</v>
      </c>
      <c r="BH58" s="239">
        <v>0</v>
      </c>
      <c r="BI58" s="239">
        <v>0</v>
      </c>
      <c r="BJ58" s="239">
        <v>0</v>
      </c>
      <c r="BK58" s="239">
        <v>0</v>
      </c>
      <c r="BL58" s="239">
        <v>0</v>
      </c>
      <c r="BN58" s="436"/>
      <c r="BO58" s="97"/>
      <c r="BP58" s="97"/>
    </row>
    <row r="59" spans="1:68" ht="9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77" t="s">
        <v>5</v>
      </c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94" t="s">
        <v>150</v>
      </c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94" t="s">
        <v>150</v>
      </c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94" t="s">
        <v>150</v>
      </c>
      <c r="AZ59" s="179" t="s">
        <v>94</v>
      </c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88"/>
      <c r="BN59" s="182"/>
      <c r="BO59" s="97"/>
      <c r="BP59" s="97"/>
    </row>
    <row r="60" spans="1:68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79" t="s">
        <v>101</v>
      </c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88"/>
      <c r="BN60" s="97"/>
      <c r="BO60" s="97"/>
      <c r="BP60" s="97"/>
    </row>
    <row r="61" spans="1:68" ht="9" customHeight="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251" t="s">
        <v>355</v>
      </c>
      <c r="BA61" s="251"/>
      <c r="BB61" s="188"/>
      <c r="BC61" s="188"/>
      <c r="BD61" s="188"/>
      <c r="BE61" s="188"/>
      <c r="BF61" s="188"/>
      <c r="BG61" s="188"/>
      <c r="BH61" s="188"/>
      <c r="BI61" s="251"/>
      <c r="BJ61" s="251"/>
      <c r="BK61" s="251"/>
      <c r="BL61" s="251"/>
      <c r="BM61" s="251"/>
      <c r="BN61" s="97"/>
      <c r="BO61" s="97"/>
      <c r="BP61" s="97"/>
    </row>
    <row r="62" spans="1:68" ht="12.7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88"/>
      <c r="BK62" s="188"/>
      <c r="BL62" s="188"/>
      <c r="BM62" s="188"/>
      <c r="BN62" s="97"/>
      <c r="BO62" s="97"/>
      <c r="BP62" s="97"/>
    </row>
    <row r="63" spans="1:68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88"/>
      <c r="BK63" s="188"/>
      <c r="BL63" s="188"/>
      <c r="BM63" s="188"/>
      <c r="BN63" s="97"/>
      <c r="BO63" s="97"/>
      <c r="BP63" s="97"/>
    </row>
    <row r="64" spans="1:68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97"/>
      <c r="BO64" s="97"/>
      <c r="BP64" s="97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Q121"/>
  <sheetViews>
    <sheetView showGridLines="0" zoomScale="145" zoomScaleNormal="145" workbookViewId="0">
      <selection activeCell="K121" sqref="K121"/>
    </sheetView>
  </sheetViews>
  <sheetFormatPr baseColWidth="10" defaultColWidth="10.7109375" defaultRowHeight="17.25" customHeight="1"/>
  <cols>
    <col min="1" max="1" width="11.42578125" style="204" customWidth="1"/>
    <col min="2" max="2" width="5.85546875" style="204" customWidth="1"/>
    <col min="3" max="3" width="6.85546875" style="204" customWidth="1"/>
    <col min="4" max="6" width="6.7109375" style="204" customWidth="1"/>
    <col min="7" max="7" width="7.5703125" style="204" customWidth="1"/>
    <col min="8" max="8" width="7.7109375" style="204" customWidth="1"/>
    <col min="9" max="12" width="6.7109375" style="204" customWidth="1"/>
    <col min="13" max="13" width="7.85546875" style="204" customWidth="1"/>
    <col min="14" max="14" width="6.7109375" style="204" customWidth="1"/>
    <col min="15" max="15" width="7.7109375" style="204" customWidth="1"/>
    <col min="16" max="16" width="7.42578125" style="204" customWidth="1"/>
    <col min="17" max="16384" width="10.7109375" style="204"/>
  </cols>
  <sheetData>
    <row r="1" spans="1:16" ht="16.350000000000001" customHeight="1">
      <c r="A1" s="92" t="s">
        <v>463</v>
      </c>
      <c r="B1" s="218"/>
      <c r="C1" s="219"/>
      <c r="D1" s="44"/>
    </row>
    <row r="2" spans="1:16" ht="12" customHeight="1">
      <c r="A2" s="302" t="s">
        <v>464</v>
      </c>
      <c r="B2" s="24"/>
      <c r="C2" s="93"/>
    </row>
    <row r="3" spans="1:16" ht="3.95" customHeight="1">
      <c r="A3" s="94"/>
      <c r="C3" s="93"/>
    </row>
    <row r="4" spans="1:16" ht="15.95" customHeight="1">
      <c r="A4" s="432" t="s">
        <v>57</v>
      </c>
      <c r="B4" s="433" t="s">
        <v>92</v>
      </c>
      <c r="C4" s="427" t="s">
        <v>509</v>
      </c>
      <c r="D4" s="412" t="s">
        <v>172</v>
      </c>
      <c r="E4" s="412" t="s">
        <v>173</v>
      </c>
      <c r="F4" s="412" t="s">
        <v>174</v>
      </c>
      <c r="G4" s="412" t="s">
        <v>175</v>
      </c>
      <c r="H4" s="412" t="s">
        <v>176</v>
      </c>
      <c r="I4" s="412" t="s">
        <v>177</v>
      </c>
      <c r="J4" s="412" t="s">
        <v>178</v>
      </c>
      <c r="K4" s="412" t="s">
        <v>293</v>
      </c>
      <c r="L4" s="412" t="s">
        <v>294</v>
      </c>
      <c r="M4" s="412" t="s">
        <v>295</v>
      </c>
      <c r="N4" s="412" t="s">
        <v>170</v>
      </c>
      <c r="O4" s="412" t="s">
        <v>171</v>
      </c>
      <c r="P4" s="432" t="s">
        <v>248</v>
      </c>
    </row>
    <row r="5" spans="1:16" ht="12" customHeight="1">
      <c r="A5" s="94" t="s">
        <v>253</v>
      </c>
      <c r="B5" s="95">
        <v>2020</v>
      </c>
      <c r="C5" s="437">
        <v>163728.59400000001</v>
      </c>
      <c r="D5" s="247">
        <v>19</v>
      </c>
      <c r="E5" s="247">
        <v>72.5</v>
      </c>
      <c r="F5" s="247">
        <v>157.28</v>
      </c>
      <c r="G5" s="247">
        <v>1276.2</v>
      </c>
      <c r="H5" s="247">
        <v>6715.7300000000005</v>
      </c>
      <c r="I5" s="247">
        <v>42880.118000000002</v>
      </c>
      <c r="J5" s="247">
        <v>67397.752999999997</v>
      </c>
      <c r="K5" s="247">
        <v>45210.012999999999</v>
      </c>
      <c r="L5" s="247">
        <v>10748.730999999998</v>
      </c>
      <c r="M5" s="247">
        <v>4376.1670000000004</v>
      </c>
      <c r="N5" s="247">
        <v>8277.0709999999999</v>
      </c>
      <c r="O5" s="247">
        <v>720.61999999999989</v>
      </c>
      <c r="P5" s="240">
        <v>187851.18299999999</v>
      </c>
    </row>
    <row r="6" spans="1:16" ht="12" customHeight="1">
      <c r="B6" s="95">
        <v>2021</v>
      </c>
      <c r="C6" s="438">
        <v>168034.18799999999</v>
      </c>
      <c r="D6" s="247">
        <v>3</v>
      </c>
      <c r="E6" s="247">
        <v>35</v>
      </c>
      <c r="F6" s="247">
        <v>124.19000000000001</v>
      </c>
      <c r="G6" s="247">
        <v>767.56</v>
      </c>
      <c r="H6" s="247">
        <v>5071.9799999999996</v>
      </c>
      <c r="I6" s="247">
        <v>34162.255000000005</v>
      </c>
      <c r="J6" s="247">
        <v>81833.303</v>
      </c>
      <c r="K6" s="247">
        <v>46036.9</v>
      </c>
      <c r="L6" s="247"/>
      <c r="M6" s="247"/>
      <c r="N6" s="247"/>
      <c r="O6" s="247"/>
      <c r="P6" s="240"/>
    </row>
    <row r="7" spans="1:16" ht="12" customHeight="1">
      <c r="A7" s="94" t="s">
        <v>225</v>
      </c>
      <c r="B7" s="95">
        <v>2020</v>
      </c>
      <c r="C7" s="438">
        <v>789668.43200000003</v>
      </c>
      <c r="D7" s="247">
        <v>107868.73400000001</v>
      </c>
      <c r="E7" s="247">
        <v>121156.648</v>
      </c>
      <c r="F7" s="247">
        <v>71781.168999999994</v>
      </c>
      <c r="G7" s="247">
        <v>65830.487999999983</v>
      </c>
      <c r="H7" s="247">
        <v>91815.258000000002</v>
      </c>
      <c r="I7" s="247">
        <v>120202.02100000004</v>
      </c>
      <c r="J7" s="247">
        <v>116454.337</v>
      </c>
      <c r="K7" s="247">
        <v>94559.776999999987</v>
      </c>
      <c r="L7" s="247">
        <v>64409.265999999996</v>
      </c>
      <c r="M7" s="247">
        <v>70543.76999999999</v>
      </c>
      <c r="N7" s="247">
        <v>109639.308</v>
      </c>
      <c r="O7" s="247">
        <v>93247.228000000003</v>
      </c>
      <c r="P7" s="240">
        <v>1127508.004</v>
      </c>
    </row>
    <row r="8" spans="1:16" ht="12" customHeight="1">
      <c r="B8" s="95">
        <v>2021</v>
      </c>
      <c r="C8" s="438">
        <v>898714.93599999999</v>
      </c>
      <c r="D8" s="247">
        <v>94755.57799999998</v>
      </c>
      <c r="E8" s="247">
        <v>118919.69900000001</v>
      </c>
      <c r="F8" s="247">
        <v>72607.092999999979</v>
      </c>
      <c r="G8" s="247">
        <v>61752.597999999991</v>
      </c>
      <c r="H8" s="247">
        <v>86955.657999999996</v>
      </c>
      <c r="I8" s="247">
        <v>176810.75099999999</v>
      </c>
      <c r="J8" s="247">
        <v>160723.04800000001</v>
      </c>
      <c r="K8" s="247">
        <v>126190.51099999998</v>
      </c>
      <c r="L8" s="247"/>
      <c r="M8" s="247"/>
      <c r="N8" s="247"/>
      <c r="O8" s="247"/>
      <c r="P8" s="240"/>
    </row>
    <row r="9" spans="1:16" ht="12" customHeight="1">
      <c r="A9" s="94" t="s">
        <v>193</v>
      </c>
      <c r="B9" s="95">
        <v>2020</v>
      </c>
      <c r="C9" s="438">
        <v>314545.89999999991</v>
      </c>
      <c r="D9" s="247">
        <v>117.85000000000001</v>
      </c>
      <c r="E9" s="247">
        <v>740.18200000000002</v>
      </c>
      <c r="F9" s="247">
        <v>1890.7969999999998</v>
      </c>
      <c r="G9" s="247">
        <v>26862.524999999998</v>
      </c>
      <c r="H9" s="247">
        <v>101278.77799999999</v>
      </c>
      <c r="I9" s="247">
        <v>98961.593999999997</v>
      </c>
      <c r="J9" s="247">
        <v>65165.078999999998</v>
      </c>
      <c r="K9" s="247">
        <v>19529.094999999994</v>
      </c>
      <c r="L9" s="247">
        <v>4856.4780000000001</v>
      </c>
      <c r="M9" s="247">
        <v>454.44599999999997</v>
      </c>
      <c r="N9" s="247">
        <v>150.774</v>
      </c>
      <c r="O9" s="247">
        <v>326.55200000000008</v>
      </c>
      <c r="P9" s="240">
        <v>320334.14999999991</v>
      </c>
    </row>
    <row r="10" spans="1:16" ht="12" customHeight="1">
      <c r="B10" s="95">
        <v>2021</v>
      </c>
      <c r="C10" s="438">
        <v>303347.402</v>
      </c>
      <c r="D10" s="247">
        <v>179.31999999999996</v>
      </c>
      <c r="E10" s="247">
        <v>465.5</v>
      </c>
      <c r="F10" s="247">
        <v>913.04899999999986</v>
      </c>
      <c r="G10" s="247">
        <v>26622.837</v>
      </c>
      <c r="H10" s="247">
        <v>83454.758999999991</v>
      </c>
      <c r="I10" s="247">
        <v>110521.54100000001</v>
      </c>
      <c r="J10" s="247">
        <v>62063.338000000011</v>
      </c>
      <c r="K10" s="247">
        <v>19127.058000000005</v>
      </c>
      <c r="L10" s="247"/>
      <c r="M10" s="247"/>
      <c r="N10" s="247"/>
      <c r="O10" s="247"/>
      <c r="P10" s="240"/>
    </row>
    <row r="11" spans="1:16" ht="12" customHeight="1">
      <c r="A11" s="94" t="s">
        <v>277</v>
      </c>
      <c r="B11" s="95">
        <v>2020</v>
      </c>
      <c r="C11" s="438">
        <v>2724072.9569999999</v>
      </c>
      <c r="D11" s="247">
        <v>215015.538</v>
      </c>
      <c r="E11" s="247">
        <v>193728.43</v>
      </c>
      <c r="F11" s="247">
        <v>307380.68900000001</v>
      </c>
      <c r="G11" s="247">
        <v>360610.60700000002</v>
      </c>
      <c r="H11" s="247">
        <v>627635.40799999994</v>
      </c>
      <c r="I11" s="247">
        <v>623371.51600000006</v>
      </c>
      <c r="J11" s="247">
        <v>251522.579</v>
      </c>
      <c r="K11" s="247">
        <v>144808.19</v>
      </c>
      <c r="L11" s="247">
        <v>143375.818</v>
      </c>
      <c r="M11" s="247">
        <v>153211.03699999998</v>
      </c>
      <c r="N11" s="247">
        <v>155846.179</v>
      </c>
      <c r="O11" s="247">
        <v>260130.98499999999</v>
      </c>
      <c r="P11" s="240">
        <v>3436636.9759999998</v>
      </c>
    </row>
    <row r="12" spans="1:16" ht="12" customHeight="1">
      <c r="B12" s="95">
        <v>2021</v>
      </c>
      <c r="C12" s="438">
        <v>2699913.7569999998</v>
      </c>
      <c r="D12" s="247">
        <v>218897.78599999996</v>
      </c>
      <c r="E12" s="247">
        <v>183718.37899999999</v>
      </c>
      <c r="F12" s="247">
        <v>264226.28899999999</v>
      </c>
      <c r="G12" s="247">
        <v>248345.30599999998</v>
      </c>
      <c r="H12" s="247">
        <v>427598.80399999995</v>
      </c>
      <c r="I12" s="247">
        <v>818990.83799999987</v>
      </c>
      <c r="J12" s="247">
        <v>394593.49900000007</v>
      </c>
      <c r="K12" s="247">
        <v>143542.856</v>
      </c>
      <c r="L12" s="247"/>
      <c r="M12" s="247"/>
      <c r="N12" s="247"/>
      <c r="O12" s="247"/>
      <c r="P12" s="240"/>
    </row>
    <row r="13" spans="1:16" ht="12" customHeight="1">
      <c r="A13" s="94" t="s">
        <v>149</v>
      </c>
      <c r="B13" s="95">
        <v>2020</v>
      </c>
      <c r="C13" s="438">
        <v>196297.62</v>
      </c>
      <c r="D13" s="247">
        <v>20.23</v>
      </c>
      <c r="E13" s="247">
        <v>50.6</v>
      </c>
      <c r="F13" s="247">
        <v>167.28</v>
      </c>
      <c r="G13" s="247">
        <v>13369.03</v>
      </c>
      <c r="H13" s="247">
        <v>31124.015999999996</v>
      </c>
      <c r="I13" s="247">
        <v>53913.915999999997</v>
      </c>
      <c r="J13" s="247">
        <v>65092.269000000008</v>
      </c>
      <c r="K13" s="247">
        <v>32560.279000000006</v>
      </c>
      <c r="L13" s="247">
        <v>6022.5289999999995</v>
      </c>
      <c r="M13" s="247">
        <v>305.46600000000001</v>
      </c>
      <c r="N13" s="247">
        <v>83.03</v>
      </c>
      <c r="O13" s="247">
        <v>32.1</v>
      </c>
      <c r="P13" s="240">
        <v>202740.745</v>
      </c>
    </row>
    <row r="14" spans="1:16" ht="12" customHeight="1">
      <c r="B14" s="95">
        <v>2021</v>
      </c>
      <c r="C14" s="438">
        <v>209392.264</v>
      </c>
      <c r="D14" s="247">
        <v>59.033999999999999</v>
      </c>
      <c r="E14" s="247">
        <v>64.22</v>
      </c>
      <c r="F14" s="247">
        <v>1103.56</v>
      </c>
      <c r="G14" s="247">
        <v>12912.141000000001</v>
      </c>
      <c r="H14" s="247">
        <v>27305.665000000001</v>
      </c>
      <c r="I14" s="247">
        <v>46598.835000000006</v>
      </c>
      <c r="J14" s="247">
        <v>81375.500999999989</v>
      </c>
      <c r="K14" s="247">
        <v>39973.307999999997</v>
      </c>
      <c r="L14" s="247"/>
      <c r="M14" s="247"/>
      <c r="N14" s="247"/>
      <c r="O14" s="247"/>
      <c r="P14" s="240"/>
    </row>
    <row r="15" spans="1:16" ht="12" customHeight="1">
      <c r="A15" s="94" t="s">
        <v>62</v>
      </c>
      <c r="B15" s="95">
        <v>2020</v>
      </c>
      <c r="C15" s="438">
        <v>94396.714999999997</v>
      </c>
      <c r="D15" s="247">
        <v>863.47</v>
      </c>
      <c r="E15" s="247">
        <v>2556.5</v>
      </c>
      <c r="F15" s="247">
        <v>7448.9000000000005</v>
      </c>
      <c r="G15" s="247">
        <v>35885.589999999997</v>
      </c>
      <c r="H15" s="247">
        <v>27780.046999999999</v>
      </c>
      <c r="I15" s="247">
        <v>13602.83</v>
      </c>
      <c r="J15" s="247">
        <v>4525.1690000000008</v>
      </c>
      <c r="K15" s="247">
        <v>1734.2089999999998</v>
      </c>
      <c r="L15" s="247">
        <v>1891.7499999999998</v>
      </c>
      <c r="M15" s="247">
        <v>1282.75</v>
      </c>
      <c r="N15" s="247">
        <v>1250.5299999999997</v>
      </c>
      <c r="O15" s="247">
        <v>1293.3900000000003</v>
      </c>
      <c r="P15" s="240">
        <v>100115.13499999999</v>
      </c>
    </row>
    <row r="16" spans="1:16" ht="12" customHeight="1">
      <c r="B16" s="95">
        <v>2021</v>
      </c>
      <c r="C16" s="438">
        <v>100745.637</v>
      </c>
      <c r="D16" s="247">
        <v>1821.885</v>
      </c>
      <c r="E16" s="247">
        <v>1563.0989999999999</v>
      </c>
      <c r="F16" s="247">
        <v>3096.38</v>
      </c>
      <c r="G16" s="247">
        <v>31621.898000000001</v>
      </c>
      <c r="H16" s="247">
        <v>29497.495999999999</v>
      </c>
      <c r="I16" s="247">
        <v>23832.080000000002</v>
      </c>
      <c r="J16" s="247">
        <v>8261.6</v>
      </c>
      <c r="K16" s="247">
        <v>1051.1989999999998</v>
      </c>
      <c r="L16" s="247"/>
      <c r="M16" s="247"/>
      <c r="N16" s="247"/>
      <c r="O16" s="247"/>
      <c r="P16" s="240"/>
    </row>
    <row r="17" spans="1:16" ht="12" customHeight="1">
      <c r="A17" s="94" t="s">
        <v>279</v>
      </c>
      <c r="B17" s="95">
        <v>2020</v>
      </c>
      <c r="C17" s="438">
        <v>239467.95899999997</v>
      </c>
      <c r="D17" s="247">
        <v>27332.5</v>
      </c>
      <c r="E17" s="247">
        <v>36320.57</v>
      </c>
      <c r="F17" s="247">
        <v>32928.800000000003</v>
      </c>
      <c r="G17" s="247">
        <v>32169.67</v>
      </c>
      <c r="H17" s="247">
        <v>28231.718999999997</v>
      </c>
      <c r="I17" s="247">
        <v>30205.18</v>
      </c>
      <c r="J17" s="247">
        <v>26057.22</v>
      </c>
      <c r="K17" s="247">
        <v>26222.300000000003</v>
      </c>
      <c r="L17" s="247">
        <v>32081.05</v>
      </c>
      <c r="M17" s="247">
        <v>33631</v>
      </c>
      <c r="N17" s="247">
        <v>34424.699999999997</v>
      </c>
      <c r="O17" s="247">
        <v>30927.4</v>
      </c>
      <c r="P17" s="240">
        <v>370532.109</v>
      </c>
    </row>
    <row r="18" spans="1:16" ht="12" customHeight="1">
      <c r="B18" s="95">
        <v>2021</v>
      </c>
      <c r="C18" s="438">
        <v>224459.19</v>
      </c>
      <c r="D18" s="247">
        <v>25706.199999999997</v>
      </c>
      <c r="E18" s="247">
        <v>33039.1</v>
      </c>
      <c r="F18" s="247">
        <v>30810.299999999996</v>
      </c>
      <c r="G18" s="247">
        <v>28262.62</v>
      </c>
      <c r="H18" s="247">
        <v>21462.300000000003</v>
      </c>
      <c r="I18" s="247">
        <v>22669.450000000004</v>
      </c>
      <c r="J18" s="247">
        <v>29584.1</v>
      </c>
      <c r="K18" s="247">
        <v>32925.119999999995</v>
      </c>
      <c r="L18" s="247"/>
      <c r="M18" s="247"/>
      <c r="N18" s="247"/>
      <c r="O18" s="247"/>
      <c r="P18" s="240"/>
    </row>
    <row r="19" spans="1:16" ht="12" customHeight="1">
      <c r="A19" s="94" t="s">
        <v>288</v>
      </c>
      <c r="B19" s="95">
        <v>2020</v>
      </c>
      <c r="C19" s="438">
        <v>26727.460000000003</v>
      </c>
      <c r="D19" s="247">
        <v>4169.7</v>
      </c>
      <c r="E19" s="247">
        <v>3528.4</v>
      </c>
      <c r="F19" s="247">
        <v>6827.3</v>
      </c>
      <c r="G19" s="247">
        <v>2120.4</v>
      </c>
      <c r="H19" s="247">
        <v>1818.8</v>
      </c>
      <c r="I19" s="247">
        <v>1673.8</v>
      </c>
      <c r="J19" s="247">
        <v>2303.4</v>
      </c>
      <c r="K19" s="247">
        <v>4285.66</v>
      </c>
      <c r="L19" s="247">
        <v>9388.48</v>
      </c>
      <c r="M19" s="247">
        <v>19244.66</v>
      </c>
      <c r="N19" s="247">
        <v>15807.218999999999</v>
      </c>
      <c r="O19" s="247">
        <v>10928</v>
      </c>
      <c r="P19" s="240">
        <v>82095.819000000003</v>
      </c>
    </row>
    <row r="20" spans="1:16" ht="12" customHeight="1">
      <c r="B20" s="95">
        <v>2021</v>
      </c>
      <c r="C20" s="438">
        <v>35371.662000000004</v>
      </c>
      <c r="D20" s="247">
        <v>5730.1620000000003</v>
      </c>
      <c r="E20" s="247">
        <v>5175.1000000000004</v>
      </c>
      <c r="F20" s="247">
        <v>5808.9</v>
      </c>
      <c r="G20" s="247">
        <v>3824.4</v>
      </c>
      <c r="H20" s="247">
        <v>2999.7999999999997</v>
      </c>
      <c r="I20" s="247">
        <v>2834.7</v>
      </c>
      <c r="J20" s="247">
        <v>3126.9</v>
      </c>
      <c r="K20" s="247">
        <v>5871.7000000000007</v>
      </c>
      <c r="L20" s="247"/>
      <c r="M20" s="247"/>
      <c r="N20" s="247"/>
      <c r="O20" s="247"/>
      <c r="P20" s="240"/>
    </row>
    <row r="21" spans="1:16" ht="12" customHeight="1">
      <c r="A21" s="94" t="s">
        <v>211</v>
      </c>
      <c r="B21" s="95">
        <v>2020</v>
      </c>
      <c r="C21" s="438">
        <v>32827.803</v>
      </c>
      <c r="D21" s="247">
        <v>4865.6260000000002</v>
      </c>
      <c r="E21" s="247">
        <v>4061.7820000000002</v>
      </c>
      <c r="F21" s="247">
        <v>4523.6099999999997</v>
      </c>
      <c r="G21" s="247">
        <v>4288.4799999999996</v>
      </c>
      <c r="H21" s="247">
        <v>3238.76</v>
      </c>
      <c r="I21" s="247">
        <v>4019.88</v>
      </c>
      <c r="J21" s="247">
        <v>4589.9150000000009</v>
      </c>
      <c r="K21" s="247">
        <v>3239.75</v>
      </c>
      <c r="L21" s="247">
        <v>3331.33</v>
      </c>
      <c r="M21" s="247">
        <v>2365.6799999999998</v>
      </c>
      <c r="N21" s="247">
        <v>1856.5499999999997</v>
      </c>
      <c r="O21" s="247">
        <v>2975.6500000000005</v>
      </c>
      <c r="P21" s="240">
        <v>43357.013000000006</v>
      </c>
    </row>
    <row r="22" spans="1:16" ht="12" customHeight="1">
      <c r="B22" s="95">
        <v>2021</v>
      </c>
      <c r="C22" s="438">
        <v>36902.245999999999</v>
      </c>
      <c r="D22" s="247">
        <v>6483.35</v>
      </c>
      <c r="E22" s="247">
        <v>5760.79</v>
      </c>
      <c r="F22" s="247">
        <v>5009.13</v>
      </c>
      <c r="G22" s="247">
        <v>5179.5200000000004</v>
      </c>
      <c r="H22" s="247">
        <v>3527.5450000000001</v>
      </c>
      <c r="I22" s="247">
        <v>3701.366</v>
      </c>
      <c r="J22" s="247">
        <v>3845.8429999999998</v>
      </c>
      <c r="K22" s="247">
        <v>3394.7019999999998</v>
      </c>
      <c r="L22" s="247"/>
      <c r="M22" s="247"/>
      <c r="N22" s="247"/>
      <c r="O22" s="247"/>
      <c r="P22" s="240"/>
    </row>
    <row r="23" spans="1:16" ht="12" customHeight="1">
      <c r="A23" s="94" t="s">
        <v>265</v>
      </c>
      <c r="B23" s="95">
        <v>2020</v>
      </c>
      <c r="C23" s="438">
        <v>11420</v>
      </c>
      <c r="D23" s="247">
        <v>2543</v>
      </c>
      <c r="E23" s="247">
        <v>2281</v>
      </c>
      <c r="F23" s="247">
        <v>840</v>
      </c>
      <c r="G23" s="247">
        <v>173</v>
      </c>
      <c r="H23" s="247">
        <v>205</v>
      </c>
      <c r="I23" s="247">
        <v>946</v>
      </c>
      <c r="J23" s="247">
        <v>1592</v>
      </c>
      <c r="K23" s="247">
        <v>2840</v>
      </c>
      <c r="L23" s="247">
        <v>5118</v>
      </c>
      <c r="M23" s="247">
        <v>6150</v>
      </c>
      <c r="N23" s="247">
        <v>9812</v>
      </c>
      <c r="O23" s="247">
        <v>6475</v>
      </c>
      <c r="P23" s="240">
        <v>38975</v>
      </c>
    </row>
    <row r="24" spans="1:16" ht="12" customHeight="1">
      <c r="B24" s="95">
        <v>2021</v>
      </c>
      <c r="C24" s="438">
        <v>13808.68</v>
      </c>
      <c r="D24" s="247">
        <v>4128</v>
      </c>
      <c r="E24" s="247">
        <v>2697.68</v>
      </c>
      <c r="F24" s="247">
        <v>1000</v>
      </c>
      <c r="G24" s="247">
        <v>180</v>
      </c>
      <c r="H24" s="247">
        <v>350</v>
      </c>
      <c r="I24" s="247">
        <v>1230</v>
      </c>
      <c r="J24" s="247">
        <v>2023</v>
      </c>
      <c r="K24" s="247">
        <v>2200</v>
      </c>
      <c r="L24" s="247"/>
      <c r="M24" s="247"/>
      <c r="N24" s="247"/>
      <c r="O24" s="247"/>
      <c r="P24" s="240"/>
    </row>
    <row r="25" spans="1:16" ht="12" customHeight="1">
      <c r="A25" s="94" t="s">
        <v>212</v>
      </c>
      <c r="B25" s="95">
        <v>2020</v>
      </c>
      <c r="C25" s="438">
        <v>26216.690000000002</v>
      </c>
      <c r="D25" s="247">
        <v>1745.2400000000002</v>
      </c>
      <c r="E25" s="247">
        <v>5591.2500000000009</v>
      </c>
      <c r="F25" s="247">
        <v>2262.4</v>
      </c>
      <c r="G25" s="247">
        <v>6919</v>
      </c>
      <c r="H25" s="247">
        <v>5036.8000000000011</v>
      </c>
      <c r="I25" s="247">
        <v>1250.3</v>
      </c>
      <c r="J25" s="247">
        <v>1828.5</v>
      </c>
      <c r="K25" s="247">
        <v>1583.2000000000003</v>
      </c>
      <c r="L25" s="247">
        <v>7985</v>
      </c>
      <c r="M25" s="247">
        <v>11588.699999999999</v>
      </c>
      <c r="N25" s="247">
        <v>7160</v>
      </c>
      <c r="O25" s="247">
        <v>876.07</v>
      </c>
      <c r="P25" s="240">
        <v>53826.46</v>
      </c>
    </row>
    <row r="26" spans="1:16" ht="12" customHeight="1">
      <c r="B26" s="95">
        <v>2021</v>
      </c>
      <c r="C26" s="438">
        <v>25183.449000000001</v>
      </c>
      <c r="D26" s="247">
        <v>1991.84</v>
      </c>
      <c r="E26" s="247">
        <v>5675.6</v>
      </c>
      <c r="F26" s="247">
        <v>2595.1000000000004</v>
      </c>
      <c r="G26" s="247">
        <v>5491.7089999999998</v>
      </c>
      <c r="H26" s="247">
        <v>4256.8500000000004</v>
      </c>
      <c r="I26" s="247">
        <v>1440.5</v>
      </c>
      <c r="J26" s="247">
        <v>2006.25</v>
      </c>
      <c r="K26" s="247">
        <v>1725.6</v>
      </c>
      <c r="L26" s="247"/>
      <c r="M26" s="247"/>
      <c r="N26" s="247"/>
      <c r="O26" s="247"/>
      <c r="P26" s="240"/>
    </row>
    <row r="27" spans="1:16" ht="12" customHeight="1">
      <c r="A27" s="94" t="s">
        <v>147</v>
      </c>
      <c r="B27" s="95">
        <v>2020</v>
      </c>
      <c r="C27" s="438">
        <v>120770.31999999999</v>
      </c>
      <c r="D27" s="247">
        <v>33359.350000000006</v>
      </c>
      <c r="E27" s="247">
        <v>17838.706999999999</v>
      </c>
      <c r="F27" s="247">
        <v>18104.758999999998</v>
      </c>
      <c r="G27" s="247">
        <v>10886.319</v>
      </c>
      <c r="H27" s="247">
        <v>10911.71</v>
      </c>
      <c r="I27" s="247">
        <v>7861.119999999999</v>
      </c>
      <c r="J27" s="247">
        <v>9166.9700000000012</v>
      </c>
      <c r="K27" s="247">
        <v>12641.385</v>
      </c>
      <c r="L27" s="247">
        <v>12138.746999999999</v>
      </c>
      <c r="M27" s="247">
        <v>15525.468000000001</v>
      </c>
      <c r="N27" s="247">
        <v>32778.81</v>
      </c>
      <c r="O27" s="247">
        <v>22912.489000000001</v>
      </c>
      <c r="P27" s="240">
        <v>204125.83399999997</v>
      </c>
    </row>
    <row r="28" spans="1:16" ht="12" customHeight="1">
      <c r="B28" s="95">
        <v>2021</v>
      </c>
      <c r="C28" s="438">
        <v>145359.18099999998</v>
      </c>
      <c r="D28" s="247">
        <v>38976.362000000001</v>
      </c>
      <c r="E28" s="247">
        <v>20807.689000000002</v>
      </c>
      <c r="F28" s="247">
        <v>20639.520000000004</v>
      </c>
      <c r="G28" s="247">
        <v>15083.608</v>
      </c>
      <c r="H28" s="247">
        <v>12731.288</v>
      </c>
      <c r="I28" s="247">
        <v>12924.662</v>
      </c>
      <c r="J28" s="247">
        <v>12597.611000000001</v>
      </c>
      <c r="K28" s="247">
        <v>11598.441000000001</v>
      </c>
      <c r="L28" s="247"/>
      <c r="M28" s="247"/>
      <c r="N28" s="247"/>
      <c r="O28" s="247"/>
      <c r="P28" s="240"/>
    </row>
    <row r="29" spans="1:16" ht="12" customHeight="1">
      <c r="A29" s="94" t="s">
        <v>263</v>
      </c>
      <c r="B29" s="95">
        <v>2020</v>
      </c>
      <c r="C29" s="438">
        <v>127698.56299999999</v>
      </c>
      <c r="D29" s="247">
        <v>15376.66</v>
      </c>
      <c r="E29" s="247">
        <v>19987.39</v>
      </c>
      <c r="F29" s="247">
        <v>21218.708999999999</v>
      </c>
      <c r="G29" s="247">
        <v>19448.427</v>
      </c>
      <c r="H29" s="247">
        <v>19041.510000000002</v>
      </c>
      <c r="I29" s="247">
        <v>9049.4779999999992</v>
      </c>
      <c r="J29" s="247">
        <v>11435.944</v>
      </c>
      <c r="K29" s="247">
        <v>12140.445</v>
      </c>
      <c r="L29" s="247">
        <v>16094.65</v>
      </c>
      <c r="M29" s="247">
        <v>11288.972</v>
      </c>
      <c r="N29" s="247">
        <v>10539.944000000001</v>
      </c>
      <c r="O29" s="247">
        <v>12274.649999999998</v>
      </c>
      <c r="P29" s="240">
        <v>177896.77899999998</v>
      </c>
    </row>
    <row r="30" spans="1:16" ht="12" customHeight="1">
      <c r="B30" s="95">
        <v>2021</v>
      </c>
      <c r="C30" s="438">
        <v>153685.15700000001</v>
      </c>
      <c r="D30" s="247">
        <v>15444.949999999999</v>
      </c>
      <c r="E30" s="247">
        <v>22122.508999999998</v>
      </c>
      <c r="F30" s="247">
        <v>22115.758999999998</v>
      </c>
      <c r="G30" s="247">
        <v>21339.207999999999</v>
      </c>
      <c r="H30" s="247">
        <v>18589.999</v>
      </c>
      <c r="I30" s="247">
        <v>15018.050000000001</v>
      </c>
      <c r="J30" s="247">
        <v>23183.615000000002</v>
      </c>
      <c r="K30" s="247">
        <v>15871.066999999999</v>
      </c>
      <c r="L30" s="247"/>
      <c r="M30" s="247"/>
      <c r="N30" s="247"/>
      <c r="O30" s="247"/>
      <c r="P30" s="240"/>
    </row>
    <row r="31" spans="1:16" ht="12" customHeight="1">
      <c r="A31" s="94" t="s">
        <v>201</v>
      </c>
      <c r="B31" s="95">
        <v>2020</v>
      </c>
      <c r="C31" s="438">
        <v>105810.77599999998</v>
      </c>
      <c r="D31" s="247">
        <v>11310.938</v>
      </c>
      <c r="E31" s="247">
        <v>15388.093999999999</v>
      </c>
      <c r="F31" s="247">
        <v>16229.886999999999</v>
      </c>
      <c r="G31" s="247">
        <v>13785.217000000001</v>
      </c>
      <c r="H31" s="247">
        <v>12334.397000000001</v>
      </c>
      <c r="I31" s="247">
        <v>13420.160999999998</v>
      </c>
      <c r="J31" s="247">
        <v>11968.960999999999</v>
      </c>
      <c r="K31" s="247">
        <v>11373.120999999997</v>
      </c>
      <c r="L31" s="247">
        <v>8560.8060000000005</v>
      </c>
      <c r="M31" s="247">
        <v>7966.5060000000003</v>
      </c>
      <c r="N31" s="247">
        <v>6519.8219999999992</v>
      </c>
      <c r="O31" s="247">
        <v>6247.9489999999996</v>
      </c>
      <c r="P31" s="240">
        <v>135105.85899999997</v>
      </c>
    </row>
    <row r="32" spans="1:16" ht="12" customHeight="1">
      <c r="B32" s="95">
        <v>2021</v>
      </c>
      <c r="C32" s="438">
        <v>105712.06099999999</v>
      </c>
      <c r="D32" s="247">
        <v>11067.457999999999</v>
      </c>
      <c r="E32" s="247">
        <v>15112.375</v>
      </c>
      <c r="F32" s="247">
        <v>14710.449999999999</v>
      </c>
      <c r="G32" s="247">
        <v>13914.319</v>
      </c>
      <c r="H32" s="247">
        <v>12820.980000000001</v>
      </c>
      <c r="I32" s="247">
        <v>15233.956999999999</v>
      </c>
      <c r="J32" s="247">
        <v>12347.454</v>
      </c>
      <c r="K32" s="247">
        <v>10505.067999999999</v>
      </c>
      <c r="L32" s="247"/>
      <c r="M32" s="247"/>
      <c r="N32" s="247"/>
      <c r="O32" s="247"/>
      <c r="P32" s="240"/>
    </row>
    <row r="33" spans="1:16" ht="12" customHeight="1">
      <c r="A33" s="94" t="s">
        <v>262</v>
      </c>
      <c r="B33" s="95">
        <v>2020</v>
      </c>
      <c r="C33" s="438">
        <v>130474.995</v>
      </c>
      <c r="D33" s="247">
        <v>15248.68</v>
      </c>
      <c r="E33" s="247">
        <v>14983.169000000002</v>
      </c>
      <c r="F33" s="247">
        <v>16974.169999999998</v>
      </c>
      <c r="G33" s="247">
        <v>15664.078000000003</v>
      </c>
      <c r="H33" s="247">
        <v>17313.126000000004</v>
      </c>
      <c r="I33" s="247">
        <v>12894.9</v>
      </c>
      <c r="J33" s="247">
        <v>16119.512000000002</v>
      </c>
      <c r="K33" s="247">
        <v>21277.360000000001</v>
      </c>
      <c r="L33" s="247">
        <v>17436.75</v>
      </c>
      <c r="M33" s="247">
        <v>17084.938000000002</v>
      </c>
      <c r="N33" s="247">
        <v>15903.637999999999</v>
      </c>
      <c r="O33" s="247">
        <v>12920.819</v>
      </c>
      <c r="P33" s="240">
        <v>193821.13999999998</v>
      </c>
    </row>
    <row r="34" spans="1:16" ht="12" customHeight="1">
      <c r="B34" s="95">
        <v>2021</v>
      </c>
      <c r="C34" s="438">
        <v>128395.10400000002</v>
      </c>
      <c r="D34" s="247">
        <v>14851.068999999998</v>
      </c>
      <c r="E34" s="247">
        <v>15793.769999999999</v>
      </c>
      <c r="F34" s="247">
        <v>16655.370000000003</v>
      </c>
      <c r="G34" s="247">
        <v>16025.948</v>
      </c>
      <c r="H34" s="247">
        <v>14426.49</v>
      </c>
      <c r="I34" s="247">
        <v>12380.750000000002</v>
      </c>
      <c r="J34" s="247">
        <v>16035.507</v>
      </c>
      <c r="K34" s="247">
        <v>22226.200000000004</v>
      </c>
      <c r="L34" s="247"/>
      <c r="M34" s="247"/>
      <c r="N34" s="247"/>
      <c r="O34" s="247"/>
      <c r="P34" s="240"/>
    </row>
    <row r="35" spans="1:16" ht="12" customHeight="1">
      <c r="A35" s="94" t="s">
        <v>259</v>
      </c>
      <c r="B35" s="95">
        <v>2020</v>
      </c>
      <c r="C35" s="438">
        <v>25412.023000000001</v>
      </c>
      <c r="D35" s="247">
        <v>3451.03</v>
      </c>
      <c r="E35" s="247">
        <v>2060.63</v>
      </c>
      <c r="F35" s="247">
        <v>1452.0400000000002</v>
      </c>
      <c r="G35" s="247">
        <v>2064.3489999999997</v>
      </c>
      <c r="H35" s="247">
        <v>3541.25</v>
      </c>
      <c r="I35" s="247">
        <v>4328</v>
      </c>
      <c r="J35" s="247">
        <v>3155.47</v>
      </c>
      <c r="K35" s="247">
        <v>5359.253999999999</v>
      </c>
      <c r="L35" s="247">
        <v>8263.5600000000013</v>
      </c>
      <c r="M35" s="247">
        <v>10881.855</v>
      </c>
      <c r="N35" s="247">
        <v>29411.707999999999</v>
      </c>
      <c r="O35" s="247">
        <v>16643.194</v>
      </c>
      <c r="P35" s="240">
        <v>90612.34</v>
      </c>
    </row>
    <row r="36" spans="1:16" ht="12" customHeight="1">
      <c r="B36" s="95">
        <v>2021</v>
      </c>
      <c r="C36" s="438">
        <v>30501.775000000001</v>
      </c>
      <c r="D36" s="247">
        <v>3969.72</v>
      </c>
      <c r="E36" s="247">
        <v>2536.7699999999995</v>
      </c>
      <c r="F36" s="247">
        <v>1378.6299999999999</v>
      </c>
      <c r="G36" s="247">
        <v>2186.9490000000001</v>
      </c>
      <c r="H36" s="247">
        <v>3813.1180000000004</v>
      </c>
      <c r="I36" s="247">
        <v>4852.6900000000005</v>
      </c>
      <c r="J36" s="247">
        <v>6602.6</v>
      </c>
      <c r="K36" s="247">
        <v>5161.2980000000007</v>
      </c>
      <c r="L36" s="247"/>
      <c r="M36" s="247"/>
      <c r="N36" s="247"/>
      <c r="O36" s="247"/>
      <c r="P36" s="240"/>
    </row>
    <row r="37" spans="1:16" ht="12" customHeight="1">
      <c r="A37" s="94" t="s">
        <v>285</v>
      </c>
      <c r="B37" s="95">
        <v>2020</v>
      </c>
      <c r="C37" s="438">
        <v>382416.46300000005</v>
      </c>
      <c r="D37" s="247">
        <v>56917.304999999993</v>
      </c>
      <c r="E37" s="247">
        <v>36785.162000000004</v>
      </c>
      <c r="F37" s="247">
        <v>28180.229999999996</v>
      </c>
      <c r="G37" s="247">
        <v>43095.759999999995</v>
      </c>
      <c r="H37" s="247">
        <v>43173.770000000004</v>
      </c>
      <c r="I37" s="247">
        <v>40909.219000000005</v>
      </c>
      <c r="J37" s="247">
        <v>52324.262999999999</v>
      </c>
      <c r="K37" s="247">
        <v>81030.754000000001</v>
      </c>
      <c r="L37" s="247">
        <v>58687.275999999998</v>
      </c>
      <c r="M37" s="247">
        <v>45688.929999999993</v>
      </c>
      <c r="N37" s="247">
        <v>64832.728999999999</v>
      </c>
      <c r="O37" s="247">
        <v>53993.770000000004</v>
      </c>
      <c r="P37" s="240">
        <v>605619.16800000006</v>
      </c>
    </row>
    <row r="38" spans="1:16" ht="12" customHeight="1">
      <c r="B38" s="95">
        <v>2021</v>
      </c>
      <c r="C38" s="438">
        <v>422456.35599999997</v>
      </c>
      <c r="D38" s="247">
        <v>60080.76</v>
      </c>
      <c r="E38" s="247">
        <v>44817.619999999995</v>
      </c>
      <c r="F38" s="247">
        <v>30920.004999999997</v>
      </c>
      <c r="G38" s="247">
        <v>57675.128999999994</v>
      </c>
      <c r="H38" s="247">
        <v>39366.239999999998</v>
      </c>
      <c r="I38" s="247">
        <v>67944.924999999988</v>
      </c>
      <c r="J38" s="247">
        <v>71216.686999999991</v>
      </c>
      <c r="K38" s="247">
        <v>50434.990000000005</v>
      </c>
      <c r="L38" s="247"/>
      <c r="M38" s="247"/>
      <c r="N38" s="247"/>
      <c r="O38" s="247"/>
      <c r="P38" s="240"/>
    </row>
    <row r="39" spans="1:16" ht="12" customHeight="1">
      <c r="A39" s="94" t="s">
        <v>249</v>
      </c>
      <c r="B39" s="95">
        <v>2020</v>
      </c>
      <c r="C39" s="438">
        <v>313016.86100000003</v>
      </c>
      <c r="D39" s="247">
        <v>25760.137000000002</v>
      </c>
      <c r="E39" s="247">
        <v>41688.987999999998</v>
      </c>
      <c r="F39" s="247">
        <v>49466.769</v>
      </c>
      <c r="G39" s="247">
        <v>79510.224999999991</v>
      </c>
      <c r="H39" s="247">
        <v>67454.953000000009</v>
      </c>
      <c r="I39" s="247">
        <v>17720.841</v>
      </c>
      <c r="J39" s="247">
        <v>11121.74</v>
      </c>
      <c r="K39" s="247">
        <v>20293.208000000002</v>
      </c>
      <c r="L39" s="247">
        <v>33785.164999999994</v>
      </c>
      <c r="M39" s="247">
        <v>29040</v>
      </c>
      <c r="N39" s="247">
        <v>16048.69</v>
      </c>
      <c r="O39" s="247">
        <v>18373.364999999998</v>
      </c>
      <c r="P39" s="240">
        <v>410264.08100000001</v>
      </c>
    </row>
    <row r="40" spans="1:16" ht="12" customHeight="1">
      <c r="B40" s="95">
        <v>2021</v>
      </c>
      <c r="C40" s="439">
        <v>317361.07700000005</v>
      </c>
      <c r="D40" s="247">
        <v>32831.623999999996</v>
      </c>
      <c r="E40" s="247">
        <v>36451.851999999999</v>
      </c>
      <c r="F40" s="247">
        <v>55563.439999999995</v>
      </c>
      <c r="G40" s="247">
        <v>84483.500000000015</v>
      </c>
      <c r="H40" s="247">
        <v>53470.215000000004</v>
      </c>
      <c r="I40" s="247">
        <v>23794.858999999993</v>
      </c>
      <c r="J40" s="247">
        <v>12375.449000000001</v>
      </c>
      <c r="K40" s="247">
        <v>18390.137999999999</v>
      </c>
      <c r="L40" s="247"/>
      <c r="M40" s="247"/>
      <c r="N40" s="247"/>
      <c r="O40" s="247"/>
      <c r="P40" s="240"/>
    </row>
    <row r="41" spans="1:16" ht="12.75">
      <c r="A41" s="175"/>
      <c r="B41" s="105"/>
      <c r="C41" s="10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7" t="s">
        <v>150</v>
      </c>
    </row>
    <row r="42" spans="1:16" ht="12.75">
      <c r="A42" s="74" t="s">
        <v>312</v>
      </c>
      <c r="B42" s="107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</row>
    <row r="43" spans="1:16" ht="15.95" customHeight="1">
      <c r="A43" s="432" t="s">
        <v>57</v>
      </c>
      <c r="B43" s="433" t="s">
        <v>92</v>
      </c>
      <c r="C43" s="441" t="s">
        <v>439</v>
      </c>
      <c r="D43" s="412" t="s">
        <v>172</v>
      </c>
      <c r="E43" s="412" t="s">
        <v>173</v>
      </c>
      <c r="F43" s="412" t="s">
        <v>174</v>
      </c>
      <c r="G43" s="412" t="s">
        <v>175</v>
      </c>
      <c r="H43" s="412" t="s">
        <v>176</v>
      </c>
      <c r="I43" s="412" t="s">
        <v>177</v>
      </c>
      <c r="J43" s="412" t="s">
        <v>178</v>
      </c>
      <c r="K43" s="412" t="s">
        <v>293</v>
      </c>
      <c r="L43" s="412" t="s">
        <v>294</v>
      </c>
      <c r="M43" s="412" t="s">
        <v>295</v>
      </c>
      <c r="N43" s="412" t="s">
        <v>170</v>
      </c>
      <c r="O43" s="412" t="s">
        <v>171</v>
      </c>
      <c r="P43" s="432" t="s">
        <v>423</v>
      </c>
    </row>
    <row r="44" spans="1:16" ht="12" customHeight="1">
      <c r="A44" s="94" t="s">
        <v>255</v>
      </c>
      <c r="B44" s="95">
        <v>2020</v>
      </c>
      <c r="C44" s="438">
        <v>584500.31099999987</v>
      </c>
      <c r="D44" s="247">
        <v>18515.668000000001</v>
      </c>
      <c r="E44" s="247">
        <v>25145.956999999999</v>
      </c>
      <c r="F44" s="247">
        <v>54484.278000000006</v>
      </c>
      <c r="G44" s="247">
        <v>86550.420999999988</v>
      </c>
      <c r="H44" s="247">
        <v>172822.84899999999</v>
      </c>
      <c r="I44" s="247">
        <v>136016.57</v>
      </c>
      <c r="J44" s="247">
        <v>67704.808999999979</v>
      </c>
      <c r="K44" s="247">
        <v>23259.759000000002</v>
      </c>
      <c r="L44" s="247">
        <v>25432.675000000003</v>
      </c>
      <c r="M44" s="247">
        <v>16731.418999999998</v>
      </c>
      <c r="N44" s="247">
        <v>15220.539000000001</v>
      </c>
      <c r="O44" s="247">
        <v>18117.641000000003</v>
      </c>
      <c r="P44" s="240">
        <v>660002.58499999996</v>
      </c>
    </row>
    <row r="45" spans="1:16" ht="12" customHeight="1">
      <c r="B45" s="95">
        <v>2021</v>
      </c>
      <c r="C45" s="438">
        <v>649995.84500000009</v>
      </c>
      <c r="D45" s="247">
        <v>19929.138999999996</v>
      </c>
      <c r="E45" s="247">
        <v>24536.583999999999</v>
      </c>
      <c r="F45" s="247">
        <v>63815.746999999996</v>
      </c>
      <c r="G45" s="247">
        <v>110041.91800000002</v>
      </c>
      <c r="H45" s="247">
        <v>168755.63600000003</v>
      </c>
      <c r="I45" s="247">
        <v>148829.367</v>
      </c>
      <c r="J45" s="247">
        <v>81626.968999999997</v>
      </c>
      <c r="K45" s="247">
        <v>32460.484999999997</v>
      </c>
      <c r="L45" s="247"/>
      <c r="M45" s="247"/>
      <c r="N45" s="247"/>
      <c r="O45" s="247"/>
      <c r="P45" s="240"/>
    </row>
    <row r="46" spans="1:16" ht="12" customHeight="1">
      <c r="A46" s="94" t="s">
        <v>281</v>
      </c>
      <c r="B46" s="95">
        <v>2020</v>
      </c>
      <c r="C46" s="438">
        <v>1524464.3699999999</v>
      </c>
      <c r="D46" s="247">
        <v>198109.82199999999</v>
      </c>
      <c r="E46" s="247">
        <v>195849.99900000001</v>
      </c>
      <c r="F46" s="247">
        <v>191929.35199999998</v>
      </c>
      <c r="G46" s="247">
        <v>188815.84199999998</v>
      </c>
      <c r="H46" s="247">
        <v>191924.06199999998</v>
      </c>
      <c r="I46" s="247">
        <v>187130.535</v>
      </c>
      <c r="J46" s="247">
        <v>187256.13400000002</v>
      </c>
      <c r="K46" s="247">
        <v>183448.62399999998</v>
      </c>
      <c r="L46" s="247">
        <v>191069.038</v>
      </c>
      <c r="M46" s="247">
        <v>196060.86199999999</v>
      </c>
      <c r="N46" s="247">
        <v>200900.889</v>
      </c>
      <c r="O46" s="247">
        <v>202018.62999999998</v>
      </c>
      <c r="P46" s="240">
        <v>2314513.7889999999</v>
      </c>
    </row>
    <row r="47" spans="1:16" ht="12" customHeight="1">
      <c r="B47" s="95">
        <v>2021</v>
      </c>
      <c r="C47" s="438">
        <v>1516157.132</v>
      </c>
      <c r="D47" s="247">
        <v>194693.86700000003</v>
      </c>
      <c r="E47" s="247">
        <v>190752.65900000001</v>
      </c>
      <c r="F47" s="247">
        <v>188279.769</v>
      </c>
      <c r="G47" s="247">
        <v>191897.63400000002</v>
      </c>
      <c r="H47" s="247">
        <v>187839.31200000001</v>
      </c>
      <c r="I47" s="247">
        <v>190133.62700000001</v>
      </c>
      <c r="J47" s="247">
        <v>186974.54500000001</v>
      </c>
      <c r="K47" s="247">
        <v>185585.71899999998</v>
      </c>
      <c r="L47" s="247"/>
      <c r="M47" s="247"/>
      <c r="N47" s="247"/>
      <c r="O47" s="247"/>
      <c r="P47" s="240"/>
    </row>
    <row r="48" spans="1:16" ht="12" customHeight="1">
      <c r="A48" s="94" t="s">
        <v>251</v>
      </c>
      <c r="B48" s="95">
        <v>2020</v>
      </c>
      <c r="C48" s="438">
        <v>386389.23900000006</v>
      </c>
      <c r="D48" s="247">
        <v>184432.35199999998</v>
      </c>
      <c r="E48" s="247">
        <v>133085.40800000002</v>
      </c>
      <c r="F48" s="247">
        <v>52755.809000000001</v>
      </c>
      <c r="G48" s="247">
        <v>11066.9</v>
      </c>
      <c r="H48" s="247">
        <v>3072.7</v>
      </c>
      <c r="I48" s="247">
        <v>671.08</v>
      </c>
      <c r="J48" s="247">
        <v>674.8</v>
      </c>
      <c r="K48" s="247">
        <v>630.18999999999994</v>
      </c>
      <c r="L48" s="247">
        <v>2489.5190000000002</v>
      </c>
      <c r="M48" s="247">
        <v>11747.468000000001</v>
      </c>
      <c r="N48" s="247">
        <v>21700.379999999997</v>
      </c>
      <c r="O48" s="247">
        <v>91420.23000000001</v>
      </c>
      <c r="P48" s="240">
        <v>513746.83600000001</v>
      </c>
    </row>
    <row r="49" spans="1:16" ht="12" customHeight="1">
      <c r="B49" s="95">
        <v>2021</v>
      </c>
      <c r="C49" s="438">
        <v>353010.18400000007</v>
      </c>
      <c r="D49" s="247">
        <v>169507.856</v>
      </c>
      <c r="E49" s="247">
        <v>111970.37800000003</v>
      </c>
      <c r="F49" s="247">
        <v>58130.549999999996</v>
      </c>
      <c r="G49" s="247">
        <v>9163.1500000000015</v>
      </c>
      <c r="H49" s="247">
        <v>2786.2000000000003</v>
      </c>
      <c r="I49" s="247">
        <v>224.44</v>
      </c>
      <c r="J49" s="247">
        <v>611.63</v>
      </c>
      <c r="K49" s="247">
        <v>615.98</v>
      </c>
      <c r="L49" s="247"/>
      <c r="M49" s="247"/>
      <c r="N49" s="247"/>
      <c r="O49" s="247"/>
      <c r="P49" s="240"/>
    </row>
    <row r="50" spans="1:16" ht="12" customHeight="1">
      <c r="A50" s="94" t="s">
        <v>61</v>
      </c>
      <c r="B50" s="95">
        <v>2020</v>
      </c>
      <c r="C50" s="438">
        <v>122480.962</v>
      </c>
      <c r="D50" s="247">
        <v>14223.966</v>
      </c>
      <c r="E50" s="247">
        <v>16086.603999999999</v>
      </c>
      <c r="F50" s="247">
        <v>15864.282999999999</v>
      </c>
      <c r="G50" s="247">
        <v>14992.53</v>
      </c>
      <c r="H50" s="247">
        <v>16209.874</v>
      </c>
      <c r="I50" s="247">
        <v>15163.606</v>
      </c>
      <c r="J50" s="247">
        <v>15394.880999999999</v>
      </c>
      <c r="K50" s="247">
        <v>14545.218000000001</v>
      </c>
      <c r="L50" s="247">
        <v>15465.628000000001</v>
      </c>
      <c r="M50" s="247">
        <v>16387.707999999999</v>
      </c>
      <c r="N50" s="247">
        <v>15262.689999999999</v>
      </c>
      <c r="O50" s="247">
        <v>16910.89</v>
      </c>
      <c r="P50" s="240">
        <v>186507.87800000003</v>
      </c>
    </row>
    <row r="51" spans="1:16" ht="12" customHeight="1">
      <c r="B51" s="95">
        <v>2021</v>
      </c>
      <c r="C51" s="438">
        <v>127961.755</v>
      </c>
      <c r="D51" s="247">
        <v>15605.98</v>
      </c>
      <c r="E51" s="247">
        <v>16179.509</v>
      </c>
      <c r="F51" s="247">
        <v>16528.808000000001</v>
      </c>
      <c r="G51" s="247">
        <v>16221.764999999999</v>
      </c>
      <c r="H51" s="247">
        <v>16576.707999999999</v>
      </c>
      <c r="I51" s="247">
        <v>16783.147000000004</v>
      </c>
      <c r="J51" s="247">
        <v>15494.468999999999</v>
      </c>
      <c r="K51" s="247">
        <v>14571.368999999999</v>
      </c>
      <c r="L51" s="247"/>
      <c r="M51" s="247"/>
      <c r="N51" s="247"/>
      <c r="O51" s="247"/>
      <c r="P51" s="240"/>
    </row>
    <row r="52" spans="1:16" ht="12" customHeight="1">
      <c r="A52" s="94" t="s">
        <v>203</v>
      </c>
      <c r="B52" s="95">
        <v>2020</v>
      </c>
      <c r="C52" s="438">
        <v>369685.93</v>
      </c>
      <c r="D52" s="247">
        <v>53469.817999999999</v>
      </c>
      <c r="E52" s="247">
        <v>51349.799999999996</v>
      </c>
      <c r="F52" s="247">
        <v>49622.28</v>
      </c>
      <c r="G52" s="247">
        <v>45749.579999999994</v>
      </c>
      <c r="H52" s="247">
        <v>46130.224000000002</v>
      </c>
      <c r="I52" s="247">
        <v>42395.337999999996</v>
      </c>
      <c r="J52" s="247">
        <v>41021.97</v>
      </c>
      <c r="K52" s="247">
        <v>39946.92</v>
      </c>
      <c r="L52" s="247">
        <v>43179.859999999993</v>
      </c>
      <c r="M52" s="247">
        <v>47055.850000000006</v>
      </c>
      <c r="N52" s="247">
        <v>55784.54</v>
      </c>
      <c r="O52" s="247">
        <v>67322.608999999997</v>
      </c>
      <c r="P52" s="240">
        <v>583028.78899999999</v>
      </c>
    </row>
    <row r="53" spans="1:16" ht="12" customHeight="1">
      <c r="B53" s="95">
        <v>2021</v>
      </c>
      <c r="C53" s="438">
        <v>373842.88</v>
      </c>
      <c r="D53" s="247">
        <v>54096.79</v>
      </c>
      <c r="E53" s="247">
        <v>52840.200000000004</v>
      </c>
      <c r="F53" s="247">
        <v>51124.242000000006</v>
      </c>
      <c r="G53" s="247">
        <v>47069.938999999991</v>
      </c>
      <c r="H53" s="247">
        <v>46257.599999999999</v>
      </c>
      <c r="I53" s="247">
        <v>42090.458999999995</v>
      </c>
      <c r="J53" s="247">
        <v>40654.78</v>
      </c>
      <c r="K53" s="247">
        <v>39708.870000000003</v>
      </c>
      <c r="L53" s="247"/>
      <c r="M53" s="247"/>
      <c r="N53" s="247"/>
      <c r="O53" s="247"/>
      <c r="P53" s="240"/>
    </row>
    <row r="54" spans="1:16" ht="12" customHeight="1">
      <c r="A54" s="94" t="s">
        <v>121</v>
      </c>
      <c r="B54" s="95">
        <v>2020</v>
      </c>
      <c r="C54" s="438">
        <v>34570.769</v>
      </c>
      <c r="D54" s="247">
        <v>3218.7289999999998</v>
      </c>
      <c r="E54" s="247">
        <v>4324.8469999999998</v>
      </c>
      <c r="F54" s="247">
        <v>4466.2160000000003</v>
      </c>
      <c r="G54" s="247">
        <v>4821.2089999999989</v>
      </c>
      <c r="H54" s="247">
        <v>4820.3189999999995</v>
      </c>
      <c r="I54" s="247">
        <v>4574.1990000000005</v>
      </c>
      <c r="J54" s="247">
        <v>4132.6500000000005</v>
      </c>
      <c r="K54" s="247">
        <v>4212.6000000000004</v>
      </c>
      <c r="L54" s="247">
        <v>4840.3599999999997</v>
      </c>
      <c r="M54" s="247">
        <v>5122.0499999999993</v>
      </c>
      <c r="N54" s="247">
        <v>5224.1399999999994</v>
      </c>
      <c r="O54" s="247">
        <v>5208.3189999999995</v>
      </c>
      <c r="P54" s="240">
        <v>54965.638000000006</v>
      </c>
    </row>
    <row r="55" spans="1:16" ht="12" customHeight="1">
      <c r="B55" s="95">
        <v>2021</v>
      </c>
      <c r="C55" s="438">
        <v>39791.131999999998</v>
      </c>
      <c r="D55" s="247">
        <v>3821.8789999999999</v>
      </c>
      <c r="E55" s="247">
        <v>4128.665</v>
      </c>
      <c r="F55" s="247">
        <v>4762.4549999999999</v>
      </c>
      <c r="G55" s="247">
        <v>5290.7969999999996</v>
      </c>
      <c r="H55" s="247">
        <v>5475.5390000000007</v>
      </c>
      <c r="I55" s="247">
        <v>5396.2979999999998</v>
      </c>
      <c r="J55" s="247">
        <v>4870.93</v>
      </c>
      <c r="K55" s="247">
        <v>6044.5689999999995</v>
      </c>
      <c r="L55" s="247"/>
      <c r="M55" s="247"/>
      <c r="N55" s="247"/>
      <c r="O55" s="247"/>
      <c r="P55" s="240"/>
    </row>
    <row r="56" spans="1:16" ht="12" customHeight="1">
      <c r="A56" s="94" t="s">
        <v>141</v>
      </c>
      <c r="B56" s="95">
        <v>2020</v>
      </c>
      <c r="C56" s="438">
        <v>211308.83500000002</v>
      </c>
      <c r="D56" s="247">
        <v>25130.706000000002</v>
      </c>
      <c r="E56" s="247">
        <v>29253.931</v>
      </c>
      <c r="F56" s="247">
        <v>32315.684000000001</v>
      </c>
      <c r="G56" s="247">
        <v>31913.377999999997</v>
      </c>
      <c r="H56" s="247">
        <v>35314.800999999999</v>
      </c>
      <c r="I56" s="247">
        <v>27098.432000000001</v>
      </c>
      <c r="J56" s="247">
        <v>15446.179000000004</v>
      </c>
      <c r="K56" s="247">
        <v>14835.724000000002</v>
      </c>
      <c r="L56" s="247">
        <v>18974.893000000004</v>
      </c>
      <c r="M56" s="247">
        <v>21026.255000000008</v>
      </c>
      <c r="N56" s="247">
        <v>22475.967000000004</v>
      </c>
      <c r="O56" s="247">
        <v>30155.491999999995</v>
      </c>
      <c r="P56" s="240">
        <v>303941.44200000004</v>
      </c>
    </row>
    <row r="57" spans="1:16" ht="12" customHeight="1">
      <c r="B57" s="95">
        <v>2021</v>
      </c>
      <c r="C57" s="438">
        <v>226203.81399999998</v>
      </c>
      <c r="D57" s="247">
        <v>30282.201999999994</v>
      </c>
      <c r="E57" s="247">
        <v>33448.740000000005</v>
      </c>
      <c r="F57" s="247">
        <v>35671.275999999998</v>
      </c>
      <c r="G57" s="247">
        <v>32401.070999999996</v>
      </c>
      <c r="H57" s="247">
        <v>29491.034</v>
      </c>
      <c r="I57" s="247">
        <v>23404.778999999999</v>
      </c>
      <c r="J57" s="247">
        <v>23566.744999999988</v>
      </c>
      <c r="K57" s="247">
        <v>17937.967000000001</v>
      </c>
      <c r="L57" s="247"/>
      <c r="M57" s="247"/>
      <c r="N57" s="247"/>
      <c r="O57" s="247"/>
      <c r="P57" s="240"/>
    </row>
    <row r="58" spans="1:16" ht="12" customHeight="1">
      <c r="A58" s="94" t="s">
        <v>254</v>
      </c>
      <c r="B58" s="95">
        <v>2020</v>
      </c>
      <c r="C58" s="438">
        <v>410993.48800000001</v>
      </c>
      <c r="D58" s="247">
        <v>29219.118000000002</v>
      </c>
      <c r="E58" s="247">
        <v>31340.116000000002</v>
      </c>
      <c r="F58" s="247">
        <v>35735.820000000007</v>
      </c>
      <c r="G58" s="247">
        <v>41706.578000000001</v>
      </c>
      <c r="H58" s="247">
        <v>58889.887999999999</v>
      </c>
      <c r="I58" s="247">
        <v>65839.775999999998</v>
      </c>
      <c r="J58" s="247">
        <v>81477.574999999997</v>
      </c>
      <c r="K58" s="247">
        <v>66784.616999999984</v>
      </c>
      <c r="L58" s="247">
        <v>43063.419000000002</v>
      </c>
      <c r="M58" s="247">
        <v>35656.429999999993</v>
      </c>
      <c r="N58" s="247">
        <v>31417.02</v>
      </c>
      <c r="O58" s="247">
        <v>33687.478999999999</v>
      </c>
      <c r="P58" s="240">
        <v>554817.83600000001</v>
      </c>
    </row>
    <row r="59" spans="1:16" ht="12" customHeight="1">
      <c r="B59" s="95">
        <v>2021</v>
      </c>
      <c r="C59" s="438">
        <v>418893.82900000003</v>
      </c>
      <c r="D59" s="247">
        <v>28146.199999999997</v>
      </c>
      <c r="E59" s="247">
        <v>31628.038</v>
      </c>
      <c r="F59" s="247">
        <v>39331.345000000001</v>
      </c>
      <c r="G59" s="247">
        <v>37234.699000000008</v>
      </c>
      <c r="H59" s="247">
        <v>58275.4</v>
      </c>
      <c r="I59" s="247">
        <v>75423.909</v>
      </c>
      <c r="J59" s="247">
        <v>89474.29800000001</v>
      </c>
      <c r="K59" s="247">
        <v>59379.94</v>
      </c>
      <c r="L59" s="247"/>
      <c r="M59" s="247"/>
      <c r="N59" s="247"/>
      <c r="O59" s="247"/>
      <c r="P59" s="240"/>
    </row>
    <row r="60" spans="1:16" ht="12" customHeight="1">
      <c r="A60" s="94" t="s">
        <v>146</v>
      </c>
      <c r="B60" s="95">
        <v>2020</v>
      </c>
      <c r="C60" s="438">
        <v>411190.78599999996</v>
      </c>
      <c r="D60" s="247">
        <v>6419.9389999999994</v>
      </c>
      <c r="E60" s="247">
        <v>14222.219000000001</v>
      </c>
      <c r="F60" s="247">
        <v>31835.769</v>
      </c>
      <c r="G60" s="247">
        <v>54730.458999999995</v>
      </c>
      <c r="H60" s="247">
        <v>73995.697999999989</v>
      </c>
      <c r="I60" s="247">
        <v>80261.798999999999</v>
      </c>
      <c r="J60" s="247">
        <v>91796.522999999986</v>
      </c>
      <c r="K60" s="247">
        <v>57928.38</v>
      </c>
      <c r="L60" s="247">
        <v>46442.69</v>
      </c>
      <c r="M60" s="247">
        <v>26510.449999999997</v>
      </c>
      <c r="N60" s="247">
        <v>22718.089</v>
      </c>
      <c r="O60" s="247">
        <v>19298.048999999999</v>
      </c>
      <c r="P60" s="240">
        <v>526160.06400000001</v>
      </c>
    </row>
    <row r="61" spans="1:16" ht="12" customHeight="1">
      <c r="B61" s="95">
        <v>2021</v>
      </c>
      <c r="C61" s="438">
        <v>451779.65399999998</v>
      </c>
      <c r="D61" s="247">
        <v>5771.4390000000003</v>
      </c>
      <c r="E61" s="247">
        <v>21134.079999999998</v>
      </c>
      <c r="F61" s="247">
        <v>42723.53</v>
      </c>
      <c r="G61" s="247">
        <v>64754.78899999999</v>
      </c>
      <c r="H61" s="247">
        <v>78653.960000000006</v>
      </c>
      <c r="I61" s="247">
        <v>92802.659</v>
      </c>
      <c r="J61" s="247">
        <v>96065.027000000002</v>
      </c>
      <c r="K61" s="247">
        <v>49874.17</v>
      </c>
      <c r="L61" s="247"/>
      <c r="M61" s="247"/>
      <c r="N61" s="247"/>
      <c r="O61" s="247"/>
      <c r="P61" s="240"/>
    </row>
    <row r="62" spans="1:16" ht="12" customHeight="1">
      <c r="A62" s="94" t="s">
        <v>119</v>
      </c>
      <c r="B62" s="95">
        <v>2020</v>
      </c>
      <c r="C62" s="438">
        <v>74445.898000000001</v>
      </c>
      <c r="D62" s="247">
        <v>3001.87</v>
      </c>
      <c r="E62" s="247">
        <v>5327.5189999999993</v>
      </c>
      <c r="F62" s="247">
        <v>6864.2989999999991</v>
      </c>
      <c r="G62" s="247">
        <v>7041.4699999999993</v>
      </c>
      <c r="H62" s="247">
        <v>6281.9100000000008</v>
      </c>
      <c r="I62" s="247">
        <v>8807.630000000001</v>
      </c>
      <c r="J62" s="247">
        <v>25810.639999999999</v>
      </c>
      <c r="K62" s="247">
        <v>11310.560000000001</v>
      </c>
      <c r="L62" s="247">
        <v>5933.8190000000004</v>
      </c>
      <c r="M62" s="247">
        <v>2318.0500000000002</v>
      </c>
      <c r="N62" s="247">
        <v>2208.0700000000002</v>
      </c>
      <c r="O62" s="247">
        <v>3446.1090000000004</v>
      </c>
      <c r="P62" s="240">
        <v>88351.946000000011</v>
      </c>
    </row>
    <row r="63" spans="1:16" ht="12" customHeight="1">
      <c r="A63" s="195" t="s">
        <v>56</v>
      </c>
      <c r="B63" s="98">
        <v>2021</v>
      </c>
      <c r="C63" s="438">
        <v>74201.478999999992</v>
      </c>
      <c r="D63" s="247">
        <v>3204.29</v>
      </c>
      <c r="E63" s="247">
        <v>5467.78</v>
      </c>
      <c r="F63" s="247">
        <v>6764.8099999999995</v>
      </c>
      <c r="G63" s="247">
        <v>7321.28</v>
      </c>
      <c r="H63" s="247">
        <v>6362.9500000000007</v>
      </c>
      <c r="I63" s="247">
        <v>9437.2300000000014</v>
      </c>
      <c r="J63" s="247">
        <v>25536.958999999999</v>
      </c>
      <c r="K63" s="247">
        <v>10106.18</v>
      </c>
      <c r="L63" s="247"/>
      <c r="M63" s="247"/>
      <c r="N63" s="247"/>
      <c r="O63" s="247"/>
      <c r="P63" s="240"/>
    </row>
    <row r="64" spans="1:16" ht="12" customHeight="1">
      <c r="A64" s="195" t="s">
        <v>287</v>
      </c>
      <c r="B64" s="98">
        <v>2020</v>
      </c>
      <c r="C64" s="438">
        <v>363121.01299999998</v>
      </c>
      <c r="D64" s="247">
        <v>144562.9</v>
      </c>
      <c r="E64" s="247">
        <v>98518.572999999989</v>
      </c>
      <c r="F64" s="247">
        <v>68442.75</v>
      </c>
      <c r="G64" s="247">
        <v>17155.740000000002</v>
      </c>
      <c r="H64" s="247">
        <v>9770</v>
      </c>
      <c r="I64" s="247">
        <v>5705.05</v>
      </c>
      <c r="J64" s="247">
        <v>11451.5</v>
      </c>
      <c r="K64" s="247">
        <v>7514.5</v>
      </c>
      <c r="L64" s="247">
        <v>11997.8</v>
      </c>
      <c r="M64" s="247">
        <v>49600.299999999996</v>
      </c>
      <c r="N64" s="247">
        <v>113013.34</v>
      </c>
      <c r="O64" s="247">
        <v>195878.00900000002</v>
      </c>
      <c r="P64" s="240">
        <v>733610.46200000006</v>
      </c>
    </row>
    <row r="65" spans="1:16" ht="12" customHeight="1">
      <c r="A65" s="97"/>
      <c r="B65" s="98">
        <v>2021</v>
      </c>
      <c r="C65" s="438">
        <v>425059.44800000003</v>
      </c>
      <c r="D65" s="247">
        <v>186948.71</v>
      </c>
      <c r="E65" s="247">
        <v>108742.09</v>
      </c>
      <c r="F65" s="247">
        <v>75677.179000000004</v>
      </c>
      <c r="G65" s="247">
        <v>19549.069</v>
      </c>
      <c r="H65" s="247">
        <v>10769.9</v>
      </c>
      <c r="I65" s="247">
        <v>9606.9</v>
      </c>
      <c r="J65" s="247">
        <v>5904.5</v>
      </c>
      <c r="K65" s="247">
        <v>7861.0999999999995</v>
      </c>
      <c r="L65" s="247"/>
      <c r="M65" s="247"/>
      <c r="N65" s="247"/>
      <c r="O65" s="247"/>
      <c r="P65" s="240"/>
    </row>
    <row r="66" spans="1:16" ht="12" customHeight="1">
      <c r="A66" s="195" t="s">
        <v>258</v>
      </c>
      <c r="B66" s="98">
        <v>2020</v>
      </c>
      <c r="C66" s="438">
        <v>104037.80499999999</v>
      </c>
      <c r="D66" s="247">
        <v>14139.389999999998</v>
      </c>
      <c r="E66" s="247">
        <v>17524.678</v>
      </c>
      <c r="F66" s="247">
        <v>13114.15</v>
      </c>
      <c r="G66" s="247">
        <v>14360.379000000003</v>
      </c>
      <c r="H66" s="247">
        <v>14585.93</v>
      </c>
      <c r="I66" s="247">
        <v>12171.75</v>
      </c>
      <c r="J66" s="247">
        <v>9259.9689999999991</v>
      </c>
      <c r="K66" s="247">
        <v>8881.5590000000011</v>
      </c>
      <c r="L66" s="247">
        <v>9667.1200000000008</v>
      </c>
      <c r="M66" s="247">
        <v>8733.5</v>
      </c>
      <c r="N66" s="247">
        <v>8708.3000000000011</v>
      </c>
      <c r="O66" s="247">
        <v>8244.9</v>
      </c>
      <c r="P66" s="240">
        <v>139391.62499999997</v>
      </c>
    </row>
    <row r="67" spans="1:16" ht="12" customHeight="1">
      <c r="B67" s="95">
        <v>2021</v>
      </c>
      <c r="C67" s="438">
        <v>106742.16499999998</v>
      </c>
      <c r="D67" s="247">
        <v>14143.079</v>
      </c>
      <c r="E67" s="247">
        <v>17064.449999999997</v>
      </c>
      <c r="F67" s="247">
        <v>13128.599000000002</v>
      </c>
      <c r="G67" s="247">
        <v>14010.018</v>
      </c>
      <c r="H67" s="247">
        <v>13262.24</v>
      </c>
      <c r="I67" s="247">
        <v>13193.138999999999</v>
      </c>
      <c r="J67" s="247">
        <v>12001.71</v>
      </c>
      <c r="K67" s="247">
        <v>9938.93</v>
      </c>
      <c r="L67" s="247"/>
      <c r="M67" s="247"/>
      <c r="N67" s="247"/>
      <c r="O67" s="247"/>
      <c r="P67" s="240"/>
    </row>
    <row r="68" spans="1:16" ht="12" customHeight="1">
      <c r="A68" s="94" t="s">
        <v>87</v>
      </c>
      <c r="B68" s="95">
        <v>2020</v>
      </c>
      <c r="C68" s="438">
        <v>29827.142</v>
      </c>
      <c r="D68" s="247">
        <v>2739.799</v>
      </c>
      <c r="E68" s="247">
        <v>6104.1459999999997</v>
      </c>
      <c r="F68" s="247">
        <v>6555.4269999999997</v>
      </c>
      <c r="G68" s="247">
        <v>3091.04</v>
      </c>
      <c r="H68" s="247">
        <v>2399.7000000000003</v>
      </c>
      <c r="I68" s="247">
        <v>2664.03</v>
      </c>
      <c r="J68" s="247">
        <v>3038.3</v>
      </c>
      <c r="K68" s="247">
        <v>3234.7</v>
      </c>
      <c r="L68" s="247">
        <v>3254.1</v>
      </c>
      <c r="M68" s="247">
        <v>3094.45</v>
      </c>
      <c r="N68" s="247">
        <v>1893.1999999999998</v>
      </c>
      <c r="O68" s="247">
        <v>2614.85</v>
      </c>
      <c r="P68" s="240">
        <v>40683.741999999991</v>
      </c>
    </row>
    <row r="69" spans="1:16" ht="12" customHeight="1">
      <c r="B69" s="95">
        <v>2021</v>
      </c>
      <c r="C69" s="438">
        <v>30482.428999999993</v>
      </c>
      <c r="D69" s="247">
        <v>3612.9100000000003</v>
      </c>
      <c r="E69" s="247">
        <v>5622.1299999999992</v>
      </c>
      <c r="F69" s="247">
        <v>6953.2099999999991</v>
      </c>
      <c r="G69" s="247">
        <v>2518.0390000000002</v>
      </c>
      <c r="H69" s="247">
        <v>1896.4299999999998</v>
      </c>
      <c r="I69" s="247">
        <v>2848.5599999999995</v>
      </c>
      <c r="J69" s="247">
        <v>3580.3500000000004</v>
      </c>
      <c r="K69" s="247">
        <v>3450.8</v>
      </c>
      <c r="L69" s="247"/>
      <c r="M69" s="247"/>
      <c r="N69" s="247"/>
      <c r="O69" s="247"/>
      <c r="P69" s="240"/>
    </row>
    <row r="70" spans="1:16" ht="12" customHeight="1">
      <c r="A70" s="94" t="s">
        <v>83</v>
      </c>
      <c r="B70" s="95">
        <v>2020</v>
      </c>
      <c r="C70" s="438">
        <v>60309.093999999997</v>
      </c>
      <c r="D70" s="247">
        <v>7499.9080000000004</v>
      </c>
      <c r="E70" s="247">
        <v>17977.949000000001</v>
      </c>
      <c r="F70" s="247">
        <v>19780.699000000001</v>
      </c>
      <c r="G70" s="247">
        <v>10032.859</v>
      </c>
      <c r="H70" s="247">
        <v>2640.88</v>
      </c>
      <c r="I70" s="247">
        <v>1285.76</v>
      </c>
      <c r="J70" s="247">
        <v>685.529</v>
      </c>
      <c r="K70" s="247">
        <v>405.51</v>
      </c>
      <c r="L70" s="247">
        <v>339.85</v>
      </c>
      <c r="M70" s="247">
        <v>309.85000000000002</v>
      </c>
      <c r="N70" s="247">
        <v>383.48</v>
      </c>
      <c r="O70" s="247">
        <v>874.88</v>
      </c>
      <c r="P70" s="240">
        <v>62217.153999999995</v>
      </c>
    </row>
    <row r="71" spans="1:16" ht="12" customHeight="1">
      <c r="B71" s="95">
        <v>2021</v>
      </c>
      <c r="C71" s="438">
        <v>49435.142</v>
      </c>
      <c r="D71" s="247">
        <v>5768.6400000000012</v>
      </c>
      <c r="E71" s="247">
        <v>16989.22</v>
      </c>
      <c r="F71" s="247">
        <v>17403.248</v>
      </c>
      <c r="G71" s="247">
        <v>7060.549</v>
      </c>
      <c r="H71" s="247">
        <v>1119.306</v>
      </c>
      <c r="I71" s="247">
        <v>464.51900000000001</v>
      </c>
      <c r="J71" s="247">
        <v>433.33000000000004</v>
      </c>
      <c r="K71" s="247">
        <v>196.32999999999998</v>
      </c>
      <c r="L71" s="247"/>
      <c r="M71" s="247"/>
      <c r="N71" s="247"/>
      <c r="O71" s="247"/>
      <c r="P71" s="240"/>
    </row>
    <row r="72" spans="1:16" ht="12" customHeight="1">
      <c r="A72" s="94" t="s">
        <v>148</v>
      </c>
      <c r="B72" s="95">
        <v>2020</v>
      </c>
      <c r="C72" s="438">
        <v>174100.11999999997</v>
      </c>
      <c r="D72" s="247">
        <v>0</v>
      </c>
      <c r="E72" s="247">
        <v>0</v>
      </c>
      <c r="F72" s="247">
        <v>10151.65</v>
      </c>
      <c r="G72" s="247">
        <v>56656.67</v>
      </c>
      <c r="H72" s="247">
        <v>75224.86</v>
      </c>
      <c r="I72" s="247">
        <v>21699.550000000003</v>
      </c>
      <c r="J72" s="247">
        <v>10177.65</v>
      </c>
      <c r="K72" s="247">
        <v>189.74</v>
      </c>
      <c r="L72" s="247">
        <v>137.5</v>
      </c>
      <c r="M72" s="247">
        <v>0</v>
      </c>
      <c r="N72" s="247">
        <v>0</v>
      </c>
      <c r="O72" s="247">
        <v>0</v>
      </c>
      <c r="P72" s="240">
        <v>174237.61999999997</v>
      </c>
    </row>
    <row r="73" spans="1:16" ht="12" customHeight="1">
      <c r="B73" s="95">
        <v>2021</v>
      </c>
      <c r="C73" s="438">
        <v>135907.32700000002</v>
      </c>
      <c r="D73" s="247">
        <v>0</v>
      </c>
      <c r="E73" s="247">
        <v>2200</v>
      </c>
      <c r="F73" s="247">
        <v>8712.5</v>
      </c>
      <c r="G73" s="247">
        <v>33003.29</v>
      </c>
      <c r="H73" s="247">
        <v>58044.09</v>
      </c>
      <c r="I73" s="247">
        <v>32029.73</v>
      </c>
      <c r="J73" s="247">
        <v>1521.4669999999999</v>
      </c>
      <c r="K73" s="247">
        <v>396.25</v>
      </c>
      <c r="L73" s="247"/>
      <c r="M73" s="247"/>
      <c r="N73" s="247"/>
      <c r="O73" s="247"/>
      <c r="P73" s="240"/>
    </row>
    <row r="74" spans="1:16" ht="12" customHeight="1">
      <c r="A74" s="94" t="s">
        <v>298</v>
      </c>
      <c r="B74" s="95">
        <v>2020</v>
      </c>
      <c r="C74" s="438">
        <v>556226.03499999992</v>
      </c>
      <c r="D74" s="247">
        <v>81042.070000000007</v>
      </c>
      <c r="E74" s="247">
        <v>72818.81</v>
      </c>
      <c r="F74" s="247">
        <v>72661.440000000002</v>
      </c>
      <c r="G74" s="247">
        <v>60458.184999999998</v>
      </c>
      <c r="H74" s="247">
        <v>66656.84</v>
      </c>
      <c r="I74" s="247">
        <v>55096.82</v>
      </c>
      <c r="J74" s="247">
        <v>65442.789999999994</v>
      </c>
      <c r="K74" s="247">
        <v>82049.079999999987</v>
      </c>
      <c r="L74" s="247">
        <v>88468.858999999997</v>
      </c>
      <c r="M74" s="247">
        <v>92936.85</v>
      </c>
      <c r="N74" s="247">
        <v>84569.76999999999</v>
      </c>
      <c r="O74" s="247">
        <v>76279.22</v>
      </c>
      <c r="P74" s="240">
        <v>898480.73399999982</v>
      </c>
    </row>
    <row r="75" spans="1:16" ht="12" customHeight="1">
      <c r="B75" s="95">
        <v>2021</v>
      </c>
      <c r="C75" s="438">
        <v>682069.01900000009</v>
      </c>
      <c r="D75" s="247">
        <v>84285.150000000009</v>
      </c>
      <c r="E75" s="247">
        <v>80418.759000000005</v>
      </c>
      <c r="F75" s="247">
        <v>91846.040000000008</v>
      </c>
      <c r="G75" s="247">
        <v>88740.52</v>
      </c>
      <c r="H75" s="247">
        <v>89281.19</v>
      </c>
      <c r="I75" s="247">
        <v>85220.31</v>
      </c>
      <c r="J75" s="247">
        <v>82473.42</v>
      </c>
      <c r="K75" s="247">
        <v>79803.63</v>
      </c>
      <c r="L75" s="247"/>
      <c r="M75" s="247"/>
      <c r="N75" s="247"/>
      <c r="O75" s="247"/>
      <c r="P75" s="240"/>
    </row>
    <row r="76" spans="1:16" ht="12" customHeight="1">
      <c r="A76" s="94" t="s">
        <v>278</v>
      </c>
      <c r="B76" s="95">
        <v>2020</v>
      </c>
      <c r="C76" s="438">
        <v>4464099.023</v>
      </c>
      <c r="D76" s="247">
        <v>258760.17800000004</v>
      </c>
      <c r="E76" s="247">
        <v>320799.96499999997</v>
      </c>
      <c r="F76" s="247">
        <v>556130.51</v>
      </c>
      <c r="G76" s="247">
        <v>1172568.3500000001</v>
      </c>
      <c r="H76" s="247">
        <v>1179859.4920000001</v>
      </c>
      <c r="I76" s="247">
        <v>624540.02500000002</v>
      </c>
      <c r="J76" s="247">
        <v>205732.60200000001</v>
      </c>
      <c r="K76" s="247">
        <v>145707.90100000001</v>
      </c>
      <c r="L76" s="247">
        <v>203409.83500000002</v>
      </c>
      <c r="M76" s="247">
        <v>243153.72499999998</v>
      </c>
      <c r="N76" s="247">
        <v>265583.37799999997</v>
      </c>
      <c r="O76" s="247">
        <v>290794.96299999999</v>
      </c>
      <c r="P76" s="240">
        <v>5467040.9239999987</v>
      </c>
    </row>
    <row r="77" spans="1:16" ht="12" customHeight="1">
      <c r="B77" s="95">
        <v>2021</v>
      </c>
      <c r="C77" s="438">
        <v>4639127.7630000003</v>
      </c>
      <c r="D77" s="247">
        <v>327005.114</v>
      </c>
      <c r="E77" s="247">
        <v>329934.26</v>
      </c>
      <c r="F77" s="247">
        <v>487571.88899999997</v>
      </c>
      <c r="G77" s="247">
        <v>1101699.9550000001</v>
      </c>
      <c r="H77" s="247">
        <v>1292053.7449999999</v>
      </c>
      <c r="I77" s="247">
        <v>665153.60099999979</v>
      </c>
      <c r="J77" s="247">
        <v>267038.51</v>
      </c>
      <c r="K77" s="247">
        <v>168670.68900000001</v>
      </c>
      <c r="L77" s="247"/>
      <c r="M77" s="247"/>
      <c r="N77" s="247"/>
      <c r="O77" s="247"/>
      <c r="P77" s="240"/>
    </row>
    <row r="78" spans="1:16" ht="12" customHeight="1">
      <c r="A78" s="94" t="s">
        <v>284</v>
      </c>
      <c r="B78" s="95">
        <v>2020</v>
      </c>
      <c r="C78" s="438">
        <v>870528.35699999996</v>
      </c>
      <c r="D78" s="247">
        <v>107760.00899999999</v>
      </c>
      <c r="E78" s="247">
        <v>102404.269</v>
      </c>
      <c r="F78" s="247">
        <v>104759.16899999999</v>
      </c>
      <c r="G78" s="247">
        <v>101545.20899999999</v>
      </c>
      <c r="H78" s="247">
        <v>119398.768</v>
      </c>
      <c r="I78" s="247">
        <v>110421.47799999999</v>
      </c>
      <c r="J78" s="247">
        <v>108663.504</v>
      </c>
      <c r="K78" s="247">
        <v>115575.95099999999</v>
      </c>
      <c r="L78" s="247">
        <v>110450.49</v>
      </c>
      <c r="M78" s="247">
        <v>121401.92799999999</v>
      </c>
      <c r="N78" s="247">
        <v>127811.355</v>
      </c>
      <c r="O78" s="247">
        <v>122295.58500000001</v>
      </c>
      <c r="P78" s="240">
        <v>1352487.7149999999</v>
      </c>
    </row>
    <row r="79" spans="1:16" ht="12" customHeight="1">
      <c r="A79" s="97"/>
      <c r="B79" s="98">
        <v>2021</v>
      </c>
      <c r="C79" s="439">
        <v>829982.98899999983</v>
      </c>
      <c r="D79" s="247">
        <v>99227.178999999989</v>
      </c>
      <c r="E79" s="247">
        <v>100269.039</v>
      </c>
      <c r="F79" s="247">
        <v>101993.519</v>
      </c>
      <c r="G79" s="247">
        <v>96148.629000000001</v>
      </c>
      <c r="H79" s="247">
        <v>116170.79</v>
      </c>
      <c r="I79" s="247">
        <v>114845.511</v>
      </c>
      <c r="J79" s="247">
        <v>101615.436</v>
      </c>
      <c r="K79" s="247">
        <v>99712.885999999999</v>
      </c>
      <c r="L79" s="247"/>
      <c r="M79" s="247"/>
      <c r="N79" s="247"/>
      <c r="O79" s="247"/>
      <c r="P79" s="242"/>
    </row>
    <row r="80" spans="1:16" ht="12.75">
      <c r="A80" s="175"/>
      <c r="B80" s="105"/>
      <c r="C80" s="10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7" t="s">
        <v>150</v>
      </c>
    </row>
    <row r="81" spans="1:16" ht="14.1" customHeight="1">
      <c r="A81" s="74" t="s">
        <v>312</v>
      </c>
      <c r="B81" s="107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</row>
    <row r="82" spans="1:16" ht="15.95" customHeight="1">
      <c r="A82" s="432" t="s">
        <v>57</v>
      </c>
      <c r="B82" s="433" t="s">
        <v>92</v>
      </c>
      <c r="C82" s="441" t="s">
        <v>439</v>
      </c>
      <c r="D82" s="412" t="s">
        <v>172</v>
      </c>
      <c r="E82" s="412" t="s">
        <v>173</v>
      </c>
      <c r="F82" s="412" t="s">
        <v>174</v>
      </c>
      <c r="G82" s="412" t="s">
        <v>175</v>
      </c>
      <c r="H82" s="412" t="s">
        <v>176</v>
      </c>
      <c r="I82" s="412" t="s">
        <v>177</v>
      </c>
      <c r="J82" s="412" t="s">
        <v>178</v>
      </c>
      <c r="K82" s="412" t="s">
        <v>293</v>
      </c>
      <c r="L82" s="412" t="s">
        <v>294</v>
      </c>
      <c r="M82" s="412" t="s">
        <v>295</v>
      </c>
      <c r="N82" s="412" t="s">
        <v>170</v>
      </c>
      <c r="O82" s="412" t="s">
        <v>171</v>
      </c>
      <c r="P82" s="432" t="s">
        <v>423</v>
      </c>
    </row>
    <row r="83" spans="1:16" ht="12" customHeight="1">
      <c r="A83" s="94" t="s">
        <v>202</v>
      </c>
      <c r="B83" s="95">
        <v>2020</v>
      </c>
      <c r="C83" s="438">
        <v>163127.22400000002</v>
      </c>
      <c r="D83" s="247">
        <v>20471.730000000003</v>
      </c>
      <c r="E83" s="247">
        <v>19216.34</v>
      </c>
      <c r="F83" s="247">
        <v>20803.916999999998</v>
      </c>
      <c r="G83" s="247">
        <v>22171.328999999994</v>
      </c>
      <c r="H83" s="247">
        <v>23222.549999999996</v>
      </c>
      <c r="I83" s="247">
        <v>21548.47</v>
      </c>
      <c r="J83" s="247">
        <v>20888.064000000002</v>
      </c>
      <c r="K83" s="247">
        <v>14804.823999999999</v>
      </c>
      <c r="L83" s="247">
        <v>16840.834999999999</v>
      </c>
      <c r="M83" s="247">
        <v>22360.152999999998</v>
      </c>
      <c r="N83" s="247">
        <v>27162.722000000002</v>
      </c>
      <c r="O83" s="247">
        <v>13843.125</v>
      </c>
      <c r="P83" s="240">
        <v>243334.05900000001</v>
      </c>
    </row>
    <row r="84" spans="1:16" ht="12" customHeight="1">
      <c r="B84" s="95">
        <v>2021</v>
      </c>
      <c r="C84" s="438">
        <v>119335.03600000001</v>
      </c>
      <c r="D84" s="247">
        <v>18565.2</v>
      </c>
      <c r="E84" s="247">
        <v>13127.157999999999</v>
      </c>
      <c r="F84" s="247">
        <v>14868.840000000002</v>
      </c>
      <c r="G84" s="247">
        <v>14838.02</v>
      </c>
      <c r="H84" s="247">
        <v>11499.172999999999</v>
      </c>
      <c r="I84" s="247">
        <v>15348.255000000001</v>
      </c>
      <c r="J84" s="247">
        <v>14899.748999999998</v>
      </c>
      <c r="K84" s="247">
        <v>16188.641</v>
      </c>
      <c r="L84" s="247"/>
      <c r="M84" s="247"/>
      <c r="N84" s="247"/>
      <c r="O84" s="247"/>
      <c r="P84" s="240"/>
    </row>
    <row r="85" spans="1:16" ht="12" customHeight="1">
      <c r="A85" s="94" t="s">
        <v>264</v>
      </c>
      <c r="B85" s="95">
        <v>2020</v>
      </c>
      <c r="C85" s="438">
        <v>98204.84</v>
      </c>
      <c r="D85" s="247">
        <v>0</v>
      </c>
      <c r="E85" s="247">
        <v>82.2</v>
      </c>
      <c r="F85" s="247">
        <v>743.7</v>
      </c>
      <c r="G85" s="247">
        <v>24899.988000000005</v>
      </c>
      <c r="H85" s="247">
        <v>43689.921999999999</v>
      </c>
      <c r="I85" s="247">
        <v>21214.76</v>
      </c>
      <c r="J85" s="247">
        <v>6444.42</v>
      </c>
      <c r="K85" s="247">
        <v>1129.8499999999999</v>
      </c>
      <c r="L85" s="247">
        <v>222.15</v>
      </c>
      <c r="M85" s="247">
        <v>0</v>
      </c>
      <c r="N85" s="247">
        <v>0</v>
      </c>
      <c r="O85" s="247">
        <v>0</v>
      </c>
      <c r="P85" s="240">
        <v>98426.989999999991</v>
      </c>
    </row>
    <row r="86" spans="1:16" ht="12" customHeight="1">
      <c r="B86" s="95">
        <v>2021</v>
      </c>
      <c r="C86" s="438">
        <v>100738.26700000002</v>
      </c>
      <c r="D86" s="247">
        <v>9.5</v>
      </c>
      <c r="E86" s="247">
        <v>47.75</v>
      </c>
      <c r="F86" s="247">
        <v>628.04999999999995</v>
      </c>
      <c r="G86" s="247">
        <v>24918.815000000002</v>
      </c>
      <c r="H86" s="247">
        <v>42837.472999999998</v>
      </c>
      <c r="I86" s="247">
        <v>22586.419000000002</v>
      </c>
      <c r="J86" s="247">
        <v>7357.96</v>
      </c>
      <c r="K86" s="247">
        <v>2352.3000000000002</v>
      </c>
      <c r="L86" s="247"/>
      <c r="M86" s="247"/>
      <c r="N86" s="247"/>
      <c r="O86" s="247"/>
      <c r="P86" s="240"/>
    </row>
    <row r="87" spans="1:16" ht="12" customHeight="1">
      <c r="A87" s="94" t="s">
        <v>297</v>
      </c>
      <c r="B87" s="95">
        <v>2020</v>
      </c>
      <c r="C87" s="438">
        <v>176091.24</v>
      </c>
      <c r="D87" s="247">
        <v>1432.3</v>
      </c>
      <c r="E87" s="247">
        <v>3100.9</v>
      </c>
      <c r="F87" s="247">
        <v>10103.08</v>
      </c>
      <c r="G87" s="247">
        <v>33073</v>
      </c>
      <c r="H87" s="247">
        <v>67468.789000000004</v>
      </c>
      <c r="I87" s="247">
        <v>44202.640999999996</v>
      </c>
      <c r="J87" s="247">
        <v>13991.03</v>
      </c>
      <c r="K87" s="247">
        <v>2719.5</v>
      </c>
      <c r="L87" s="247">
        <v>751.34999999999991</v>
      </c>
      <c r="M87" s="247">
        <v>500</v>
      </c>
      <c r="N87" s="247">
        <v>1131.95</v>
      </c>
      <c r="O87" s="247">
        <v>1726.4</v>
      </c>
      <c r="P87" s="240">
        <v>180200.94</v>
      </c>
    </row>
    <row r="88" spans="1:16" ht="12" customHeight="1">
      <c r="A88" s="97"/>
      <c r="B88" s="98">
        <v>2021</v>
      </c>
      <c r="C88" s="438">
        <v>182495.81700000004</v>
      </c>
      <c r="D88" s="247">
        <v>1432.9090000000001</v>
      </c>
      <c r="E88" s="247">
        <v>3925.5</v>
      </c>
      <c r="F88" s="247">
        <v>10614.53</v>
      </c>
      <c r="G88" s="247">
        <v>30861.314999999999</v>
      </c>
      <c r="H88" s="247">
        <v>60435.164000000004</v>
      </c>
      <c r="I88" s="247">
        <v>49667.95</v>
      </c>
      <c r="J88" s="247">
        <v>18759.580000000002</v>
      </c>
      <c r="K88" s="247">
        <v>6798.8690000000006</v>
      </c>
      <c r="L88" s="247"/>
      <c r="M88" s="247"/>
      <c r="N88" s="247"/>
      <c r="O88" s="247"/>
      <c r="P88" s="240"/>
    </row>
    <row r="89" spans="1:16" ht="12" customHeight="1">
      <c r="A89" s="94" t="s">
        <v>84</v>
      </c>
      <c r="B89" s="95">
        <v>2020</v>
      </c>
      <c r="C89" s="438">
        <v>362052.48499999999</v>
      </c>
      <c r="D89" s="247">
        <v>535.29999999999995</v>
      </c>
      <c r="E89" s="247">
        <v>7776.85</v>
      </c>
      <c r="F89" s="247">
        <v>26569.836000000003</v>
      </c>
      <c r="G89" s="247">
        <v>63034.885000000002</v>
      </c>
      <c r="H89" s="247">
        <v>86216.84599999999</v>
      </c>
      <c r="I89" s="247">
        <v>89537.682000000001</v>
      </c>
      <c r="J89" s="247">
        <v>59068.631999999998</v>
      </c>
      <c r="K89" s="247">
        <v>29312.453999999998</v>
      </c>
      <c r="L89" s="247">
        <v>10575.06</v>
      </c>
      <c r="M89" s="247">
        <v>3060.0390000000002</v>
      </c>
      <c r="N89" s="247">
        <v>591</v>
      </c>
      <c r="O89" s="247">
        <v>446.29999999999995</v>
      </c>
      <c r="P89" s="240">
        <v>376724.88399999996</v>
      </c>
    </row>
    <row r="90" spans="1:16" ht="12" customHeight="1">
      <c r="B90" s="95">
        <v>2021</v>
      </c>
      <c r="C90" s="438">
        <v>364239.76999999996</v>
      </c>
      <c r="D90" s="247">
        <v>874.5</v>
      </c>
      <c r="E90" s="247">
        <v>8437.0629999999983</v>
      </c>
      <c r="F90" s="247">
        <v>20431.613999999998</v>
      </c>
      <c r="G90" s="247">
        <v>55397.565999999984</v>
      </c>
      <c r="H90" s="247">
        <v>84833.362000000008</v>
      </c>
      <c r="I90" s="247">
        <v>90759.794000000009</v>
      </c>
      <c r="J90" s="247">
        <v>69138.566999999995</v>
      </c>
      <c r="K90" s="247">
        <v>34367.304000000004</v>
      </c>
      <c r="L90" s="247"/>
      <c r="M90" s="247"/>
      <c r="N90" s="247"/>
      <c r="O90" s="247"/>
      <c r="P90" s="240"/>
    </row>
    <row r="91" spans="1:16" ht="12" customHeight="1">
      <c r="A91" s="94" t="s">
        <v>252</v>
      </c>
      <c r="B91" s="95">
        <v>2020</v>
      </c>
      <c r="C91" s="438">
        <v>117848.202</v>
      </c>
      <c r="D91" s="247">
        <v>10408.768</v>
      </c>
      <c r="E91" s="247">
        <v>11365.271000000001</v>
      </c>
      <c r="F91" s="247">
        <v>12099.448000000002</v>
      </c>
      <c r="G91" s="247">
        <v>15463.487999999999</v>
      </c>
      <c r="H91" s="247">
        <v>18503.215</v>
      </c>
      <c r="I91" s="247">
        <v>19986.623999999996</v>
      </c>
      <c r="J91" s="247">
        <v>16720.280999999995</v>
      </c>
      <c r="K91" s="247">
        <v>13301.107</v>
      </c>
      <c r="L91" s="247">
        <v>11365.343000000001</v>
      </c>
      <c r="M91" s="247">
        <v>10665.599</v>
      </c>
      <c r="N91" s="247">
        <v>9940.0449999999983</v>
      </c>
      <c r="O91" s="247">
        <v>10469.44</v>
      </c>
      <c r="P91" s="240">
        <v>160288.62900000002</v>
      </c>
    </row>
    <row r="92" spans="1:16" ht="12" customHeight="1">
      <c r="B92" s="95">
        <v>2021</v>
      </c>
      <c r="C92" s="438">
        <v>114639.348</v>
      </c>
      <c r="D92" s="247">
        <v>9004.8350000000009</v>
      </c>
      <c r="E92" s="247">
        <v>10419.571</v>
      </c>
      <c r="F92" s="247">
        <v>11718.077999999998</v>
      </c>
      <c r="G92" s="247">
        <v>13783.227999999999</v>
      </c>
      <c r="H92" s="247">
        <v>18556.353999999999</v>
      </c>
      <c r="I92" s="247">
        <v>19983.683999999997</v>
      </c>
      <c r="J92" s="247">
        <v>17178.687999999998</v>
      </c>
      <c r="K92" s="247">
        <v>13994.91</v>
      </c>
      <c r="L92" s="247"/>
      <c r="M92" s="247"/>
      <c r="N92" s="247"/>
      <c r="O92" s="247"/>
      <c r="P92" s="240"/>
    </row>
    <row r="93" spans="1:16" ht="12" customHeight="1">
      <c r="A93" s="94" t="s">
        <v>46</v>
      </c>
      <c r="B93" s="95">
        <v>2020</v>
      </c>
      <c r="C93" s="438">
        <v>28386.050000000003</v>
      </c>
      <c r="D93" s="247">
        <v>4643.96</v>
      </c>
      <c r="E93" s="247">
        <v>3615.85</v>
      </c>
      <c r="F93" s="247">
        <v>2650.75</v>
      </c>
      <c r="G93" s="247">
        <v>2542.6400000000003</v>
      </c>
      <c r="H93" s="247">
        <v>3510.8500000000004</v>
      </c>
      <c r="I93" s="247">
        <v>4144.2</v>
      </c>
      <c r="J93" s="247">
        <v>3169.8</v>
      </c>
      <c r="K93" s="247">
        <v>4108</v>
      </c>
      <c r="L93" s="247">
        <v>3306.76</v>
      </c>
      <c r="M93" s="247">
        <v>2943.6</v>
      </c>
      <c r="N93" s="247">
        <v>4264.8999999999996</v>
      </c>
      <c r="O93" s="247">
        <v>3570</v>
      </c>
      <c r="P93" s="240">
        <v>42471.310000000005</v>
      </c>
    </row>
    <row r="94" spans="1:16" ht="12" customHeight="1">
      <c r="B94" s="95">
        <v>2021</v>
      </c>
      <c r="C94" s="438">
        <v>25094.957000000002</v>
      </c>
      <c r="D94" s="247">
        <v>3170</v>
      </c>
      <c r="E94" s="247">
        <v>4623.2340000000004</v>
      </c>
      <c r="F94" s="247">
        <v>2052.837</v>
      </c>
      <c r="G94" s="247">
        <v>2781.933</v>
      </c>
      <c r="H94" s="247">
        <v>3111.59</v>
      </c>
      <c r="I94" s="247">
        <v>2842.5740000000001</v>
      </c>
      <c r="J94" s="247">
        <v>3688.2799999999997</v>
      </c>
      <c r="K94" s="247">
        <v>2824.509</v>
      </c>
      <c r="L94" s="247"/>
      <c r="M94" s="247"/>
      <c r="N94" s="247"/>
      <c r="O94" s="247"/>
      <c r="P94" s="241"/>
    </row>
    <row r="95" spans="1:16" ht="12" customHeight="1">
      <c r="A95" s="94" t="s">
        <v>250</v>
      </c>
      <c r="B95" s="95">
        <v>2020</v>
      </c>
      <c r="C95" s="438">
        <v>70750.437000000005</v>
      </c>
      <c r="D95" s="247">
        <v>2430.7199999999998</v>
      </c>
      <c r="E95" s="247">
        <v>1744.1499999999996</v>
      </c>
      <c r="F95" s="247">
        <v>2613.3489999999997</v>
      </c>
      <c r="G95" s="247">
        <v>4261.4679999999998</v>
      </c>
      <c r="H95" s="247">
        <v>12485.344999999999</v>
      </c>
      <c r="I95" s="247">
        <v>16831.864000000005</v>
      </c>
      <c r="J95" s="247">
        <v>16206.448999999997</v>
      </c>
      <c r="K95" s="247">
        <v>14177.092000000001</v>
      </c>
      <c r="L95" s="247">
        <v>7322.8919999999998</v>
      </c>
      <c r="M95" s="247">
        <v>5560.387999999999</v>
      </c>
      <c r="N95" s="247">
        <v>2595.8290000000002</v>
      </c>
      <c r="O95" s="247">
        <v>1612.9890000000003</v>
      </c>
      <c r="P95" s="240">
        <v>87842.535000000003</v>
      </c>
    </row>
    <row r="96" spans="1:16" ht="12" customHeight="1">
      <c r="A96" s="97"/>
      <c r="B96" s="98">
        <v>2021</v>
      </c>
      <c r="C96" s="438">
        <v>70879.107999999993</v>
      </c>
      <c r="D96" s="247">
        <v>2346.1089999999999</v>
      </c>
      <c r="E96" s="247">
        <v>2666.6990000000001</v>
      </c>
      <c r="F96" s="247">
        <v>3139.5750000000003</v>
      </c>
      <c r="G96" s="247">
        <v>5003.7699999999995</v>
      </c>
      <c r="H96" s="247">
        <v>10592.393999999998</v>
      </c>
      <c r="I96" s="247">
        <v>20419.054</v>
      </c>
      <c r="J96" s="247">
        <v>15615.757999999996</v>
      </c>
      <c r="K96" s="247">
        <v>11095.749000000002</v>
      </c>
      <c r="L96" s="247"/>
      <c r="M96" s="247"/>
      <c r="N96" s="247"/>
      <c r="O96" s="247"/>
      <c r="P96" s="240"/>
    </row>
    <row r="97" spans="1:16" ht="12" customHeight="1">
      <c r="A97" s="94" t="s">
        <v>120</v>
      </c>
      <c r="B97" s="95">
        <v>2020</v>
      </c>
      <c r="C97" s="438">
        <v>588.04</v>
      </c>
      <c r="D97" s="247">
        <v>62.349999999999994</v>
      </c>
      <c r="E97" s="247">
        <v>131.94999999999999</v>
      </c>
      <c r="F97" s="247">
        <v>25</v>
      </c>
      <c r="G97" s="247">
        <v>60.25</v>
      </c>
      <c r="H97" s="247">
        <v>27.3</v>
      </c>
      <c r="I97" s="247">
        <v>0</v>
      </c>
      <c r="J97" s="247">
        <v>47.000000000000007</v>
      </c>
      <c r="K97" s="247">
        <v>234.19</v>
      </c>
      <c r="L97" s="247">
        <v>492.8490000000001</v>
      </c>
      <c r="M97" s="247">
        <v>5016.3289999999997</v>
      </c>
      <c r="N97" s="247">
        <v>3124.12</v>
      </c>
      <c r="O97" s="247">
        <v>278.94</v>
      </c>
      <c r="P97" s="240">
        <v>9500.2780000000002</v>
      </c>
    </row>
    <row r="98" spans="1:16" ht="12" customHeight="1">
      <c r="B98" s="95">
        <v>2021</v>
      </c>
      <c r="C98" s="438">
        <v>642.22399999999993</v>
      </c>
      <c r="D98" s="247">
        <v>81</v>
      </c>
      <c r="E98" s="247">
        <v>62.32</v>
      </c>
      <c r="F98" s="247">
        <v>77.009999999999991</v>
      </c>
      <c r="G98" s="247">
        <v>30.42</v>
      </c>
      <c r="H98" s="247">
        <v>10.6</v>
      </c>
      <c r="I98" s="247">
        <v>15.2</v>
      </c>
      <c r="J98" s="247">
        <v>166.928</v>
      </c>
      <c r="K98" s="247">
        <v>198.74599999999998</v>
      </c>
      <c r="L98" s="247"/>
      <c r="M98" s="247"/>
      <c r="N98" s="247"/>
      <c r="O98" s="247"/>
      <c r="P98" s="240"/>
    </row>
    <row r="99" spans="1:16" ht="12" customHeight="1">
      <c r="A99" s="94" t="s">
        <v>260</v>
      </c>
      <c r="B99" s="95">
        <v>2020</v>
      </c>
      <c r="C99" s="438">
        <v>82050.112999999998</v>
      </c>
      <c r="D99" s="247">
        <v>7</v>
      </c>
      <c r="E99" s="247">
        <v>0</v>
      </c>
      <c r="F99" s="247">
        <v>167.2</v>
      </c>
      <c r="G99" s="247">
        <v>12595.473999999998</v>
      </c>
      <c r="H99" s="247">
        <v>19508.826999999997</v>
      </c>
      <c r="I99" s="247">
        <v>27850.410000000003</v>
      </c>
      <c r="J99" s="247">
        <v>16979.644999999997</v>
      </c>
      <c r="K99" s="247">
        <v>4941.5569999999998</v>
      </c>
      <c r="L99" s="247">
        <v>374.02899999999994</v>
      </c>
      <c r="M99" s="247">
        <v>34.338999999999992</v>
      </c>
      <c r="N99" s="247">
        <v>34.22</v>
      </c>
      <c r="O99" s="247">
        <v>31.849999999999998</v>
      </c>
      <c r="P99" s="240">
        <v>82524.551000000007</v>
      </c>
    </row>
    <row r="100" spans="1:16" ht="12" customHeight="1">
      <c r="B100" s="95">
        <v>2021</v>
      </c>
      <c r="C100" s="438">
        <v>84825.525999999998</v>
      </c>
      <c r="D100" s="247">
        <v>52</v>
      </c>
      <c r="E100" s="247">
        <v>47</v>
      </c>
      <c r="F100" s="247">
        <v>141.6</v>
      </c>
      <c r="G100" s="247">
        <v>12599.359999999997</v>
      </c>
      <c r="H100" s="247">
        <v>16102.608</v>
      </c>
      <c r="I100" s="247">
        <v>27217.933000000001</v>
      </c>
      <c r="J100" s="247">
        <v>22041.134999999998</v>
      </c>
      <c r="K100" s="247">
        <v>6623.89</v>
      </c>
      <c r="L100" s="247"/>
      <c r="M100" s="247"/>
      <c r="N100" s="247"/>
      <c r="O100" s="247"/>
      <c r="P100" s="240"/>
    </row>
    <row r="101" spans="1:16" ht="12" customHeight="1">
      <c r="A101" s="94" t="s">
        <v>261</v>
      </c>
      <c r="B101" s="95">
        <v>2020</v>
      </c>
      <c r="C101" s="438">
        <v>39639.868000000002</v>
      </c>
      <c r="D101" s="247">
        <v>2.95</v>
      </c>
      <c r="E101" s="247">
        <v>23.15</v>
      </c>
      <c r="F101" s="247">
        <v>162.85</v>
      </c>
      <c r="G101" s="247">
        <v>1775.6899999999998</v>
      </c>
      <c r="H101" s="247">
        <v>6973.53</v>
      </c>
      <c r="I101" s="247">
        <v>11817.923999999999</v>
      </c>
      <c r="J101" s="247">
        <v>10861.495000000001</v>
      </c>
      <c r="K101" s="247">
        <v>8022.2789999999986</v>
      </c>
      <c r="L101" s="247">
        <v>4230.49</v>
      </c>
      <c r="M101" s="247">
        <v>3101.87</v>
      </c>
      <c r="N101" s="247">
        <v>1614.3580000000002</v>
      </c>
      <c r="O101" s="247">
        <v>59.97</v>
      </c>
      <c r="P101" s="240">
        <v>48646.556000000004</v>
      </c>
    </row>
    <row r="102" spans="1:16" ht="12" customHeight="1">
      <c r="B102" s="95">
        <v>2021</v>
      </c>
      <c r="C102" s="438">
        <v>41592.329000000005</v>
      </c>
      <c r="D102" s="247">
        <v>29.5</v>
      </c>
      <c r="E102" s="247">
        <v>374</v>
      </c>
      <c r="F102" s="247">
        <v>155.75</v>
      </c>
      <c r="G102" s="247">
        <v>1462.98</v>
      </c>
      <c r="H102" s="247">
        <v>7867.2800000000007</v>
      </c>
      <c r="I102" s="247">
        <v>12210.080000000002</v>
      </c>
      <c r="J102" s="247">
        <v>11497.159000000001</v>
      </c>
      <c r="K102" s="247">
        <v>7995.58</v>
      </c>
      <c r="L102" s="247"/>
      <c r="M102" s="247"/>
      <c r="N102" s="247"/>
      <c r="O102" s="247"/>
      <c r="P102" s="240"/>
    </row>
    <row r="103" spans="1:16" ht="12" customHeight="1">
      <c r="A103" s="94" t="s">
        <v>85</v>
      </c>
      <c r="B103" s="95">
        <v>2020</v>
      </c>
      <c r="C103" s="438">
        <v>6478878.966</v>
      </c>
      <c r="D103" s="247">
        <v>839439.69</v>
      </c>
      <c r="E103" s="247">
        <v>752577.38800000004</v>
      </c>
      <c r="F103" s="247">
        <v>637266.88699999999</v>
      </c>
      <c r="G103" s="247">
        <v>719264.02299999993</v>
      </c>
      <c r="H103" s="247">
        <v>915353.46000000008</v>
      </c>
      <c r="I103" s="247">
        <v>927495.30500000017</v>
      </c>
      <c r="J103" s="247">
        <v>834344.04300000006</v>
      </c>
      <c r="K103" s="247">
        <v>853138.16999999993</v>
      </c>
      <c r="L103" s="247">
        <v>945559.21900000004</v>
      </c>
      <c r="M103" s="247">
        <v>1064068.581</v>
      </c>
      <c r="N103" s="247">
        <v>957564.71</v>
      </c>
      <c r="O103" s="247">
        <v>1022728.8544619308</v>
      </c>
      <c r="P103" s="240">
        <v>10468800.33046193</v>
      </c>
    </row>
    <row r="104" spans="1:16" ht="12" customHeight="1">
      <c r="A104" s="97"/>
      <c r="B104" s="98">
        <v>2021</v>
      </c>
      <c r="C104" s="438">
        <v>6021413.4652284868</v>
      </c>
      <c r="D104" s="247">
        <v>772440.49100000004</v>
      </c>
      <c r="E104" s="247">
        <v>887496.20200000005</v>
      </c>
      <c r="F104" s="247">
        <v>693278.31499999994</v>
      </c>
      <c r="G104" s="247">
        <v>565258.87100000004</v>
      </c>
      <c r="H104" s="247">
        <v>636647.43822848832</v>
      </c>
      <c r="I104" s="247">
        <v>740645.50600000005</v>
      </c>
      <c r="J104" s="247">
        <v>848629.85</v>
      </c>
      <c r="K104" s="247">
        <v>877016.7919999999</v>
      </c>
      <c r="L104" s="247"/>
      <c r="M104" s="247"/>
      <c r="N104" s="247"/>
      <c r="O104" s="247"/>
      <c r="P104" s="240"/>
    </row>
    <row r="105" spans="1:16" ht="12" customHeight="1">
      <c r="A105" s="94" t="s">
        <v>280</v>
      </c>
      <c r="B105" s="95">
        <v>2020</v>
      </c>
      <c r="C105" s="438">
        <v>5262252.0660000006</v>
      </c>
      <c r="D105" s="247">
        <v>507928.78899999999</v>
      </c>
      <c r="E105" s="247">
        <v>616049.12599999993</v>
      </c>
      <c r="F105" s="247">
        <v>868963.1050000001</v>
      </c>
      <c r="G105" s="247">
        <v>1014319.7430000001</v>
      </c>
      <c r="H105" s="247">
        <v>833512.66200000001</v>
      </c>
      <c r="I105" s="247">
        <v>557840.32700000005</v>
      </c>
      <c r="J105" s="247">
        <v>427513.60500000004</v>
      </c>
      <c r="K105" s="247">
        <v>436124.70900000003</v>
      </c>
      <c r="L105" s="247">
        <v>447109.24500000005</v>
      </c>
      <c r="M105" s="247">
        <v>457884.51900000003</v>
      </c>
      <c r="N105" s="247">
        <v>458506.68000000011</v>
      </c>
      <c r="O105" s="247">
        <v>530090.72199999995</v>
      </c>
      <c r="P105" s="240">
        <v>7155843.2320000008</v>
      </c>
    </row>
    <row r="106" spans="1:16" ht="12" customHeight="1">
      <c r="A106" s="97"/>
      <c r="B106" s="98">
        <v>2021</v>
      </c>
      <c r="C106" s="438">
        <v>5285542.801</v>
      </c>
      <c r="D106" s="247">
        <v>515440.28700000001</v>
      </c>
      <c r="E106" s="247">
        <v>619364.81299999997</v>
      </c>
      <c r="F106" s="247">
        <v>882535.57199999993</v>
      </c>
      <c r="G106" s="247">
        <v>1019409.665</v>
      </c>
      <c r="H106" s="247">
        <v>842785.26299999992</v>
      </c>
      <c r="I106" s="247">
        <v>516933.22099999996</v>
      </c>
      <c r="J106" s="247">
        <v>445407.8110000001</v>
      </c>
      <c r="K106" s="247">
        <v>443666.16899999999</v>
      </c>
      <c r="L106" s="247"/>
      <c r="M106" s="247"/>
      <c r="N106" s="247"/>
      <c r="O106" s="247"/>
      <c r="P106" s="241"/>
    </row>
    <row r="107" spans="1:16" ht="12" customHeight="1">
      <c r="A107" s="94" t="s">
        <v>47</v>
      </c>
      <c r="B107" s="95">
        <v>2020</v>
      </c>
      <c r="C107" s="438">
        <v>1217845.986</v>
      </c>
      <c r="D107" s="247">
        <v>139702.51200000002</v>
      </c>
      <c r="E107" s="247">
        <v>143891.85500000001</v>
      </c>
      <c r="F107" s="247">
        <v>151455.959</v>
      </c>
      <c r="G107" s="247">
        <v>162246.04500000001</v>
      </c>
      <c r="H107" s="247">
        <v>152093.47900000002</v>
      </c>
      <c r="I107" s="247">
        <v>150281.12</v>
      </c>
      <c r="J107" s="247">
        <v>148895.51</v>
      </c>
      <c r="K107" s="247">
        <v>169279.50599999996</v>
      </c>
      <c r="L107" s="247">
        <v>157791.26299999998</v>
      </c>
      <c r="M107" s="247">
        <v>156500.52699999997</v>
      </c>
      <c r="N107" s="247">
        <v>151498.42500000002</v>
      </c>
      <c r="O107" s="247">
        <v>145182.788</v>
      </c>
      <c r="P107" s="240">
        <v>1828818.9890000001</v>
      </c>
    </row>
    <row r="108" spans="1:16" ht="12" customHeight="1">
      <c r="B108" s="95">
        <v>2021</v>
      </c>
      <c r="C108" s="438">
        <v>1318480.037</v>
      </c>
      <c r="D108" s="247">
        <v>165664.91399999996</v>
      </c>
      <c r="E108" s="247">
        <v>154897.799</v>
      </c>
      <c r="F108" s="247">
        <v>154434.11200000002</v>
      </c>
      <c r="G108" s="247">
        <v>169844.46100000001</v>
      </c>
      <c r="H108" s="247">
        <v>172912.06200000001</v>
      </c>
      <c r="I108" s="247">
        <v>153715.51799999998</v>
      </c>
      <c r="J108" s="247">
        <v>169751.22</v>
      </c>
      <c r="K108" s="247">
        <v>177259.951</v>
      </c>
      <c r="L108" s="247"/>
      <c r="M108" s="247"/>
      <c r="N108" s="247"/>
      <c r="O108" s="247"/>
      <c r="P108" s="240"/>
    </row>
    <row r="109" spans="1:16" ht="12" customHeight="1">
      <c r="A109" s="94" t="s">
        <v>48</v>
      </c>
      <c r="B109" s="95">
        <v>2020</v>
      </c>
      <c r="C109" s="438">
        <v>414551.34899999999</v>
      </c>
      <c r="D109" s="247">
        <v>2214.239</v>
      </c>
      <c r="E109" s="247">
        <v>4607.5290000000005</v>
      </c>
      <c r="F109" s="247">
        <v>13645.8</v>
      </c>
      <c r="G109" s="247">
        <v>206829.92</v>
      </c>
      <c r="H109" s="247">
        <v>175841.26499999998</v>
      </c>
      <c r="I109" s="247">
        <v>5852.4780000000001</v>
      </c>
      <c r="J109" s="247">
        <v>3135.7690000000002</v>
      </c>
      <c r="K109" s="247">
        <v>2424.3490000000002</v>
      </c>
      <c r="L109" s="247">
        <v>2038.8789999999999</v>
      </c>
      <c r="M109" s="247">
        <v>1389.019</v>
      </c>
      <c r="N109" s="247">
        <v>1738.48</v>
      </c>
      <c r="O109" s="247">
        <v>1792.047</v>
      </c>
      <c r="P109" s="240">
        <v>421509.77399999998</v>
      </c>
    </row>
    <row r="110" spans="1:16" ht="12" customHeight="1">
      <c r="B110" s="95">
        <v>2021</v>
      </c>
      <c r="C110" s="438">
        <v>379120.467</v>
      </c>
      <c r="D110" s="247">
        <v>2413.8200000000002</v>
      </c>
      <c r="E110" s="247">
        <v>5032.5689999999995</v>
      </c>
      <c r="F110" s="247">
        <v>12620.95</v>
      </c>
      <c r="G110" s="247">
        <v>183005.21899999998</v>
      </c>
      <c r="H110" s="247">
        <v>157922.81899999999</v>
      </c>
      <c r="I110" s="247">
        <v>9596.344000000001</v>
      </c>
      <c r="J110" s="247">
        <v>5807.52</v>
      </c>
      <c r="K110" s="247">
        <v>2721.2260000000001</v>
      </c>
      <c r="L110" s="247"/>
      <c r="M110" s="247"/>
      <c r="N110" s="247"/>
      <c r="O110" s="247"/>
      <c r="P110" s="240"/>
    </row>
    <row r="111" spans="1:16" ht="12" customHeight="1">
      <c r="A111" s="94" t="s">
        <v>49</v>
      </c>
      <c r="B111" s="95">
        <v>2020</v>
      </c>
      <c r="C111" s="438">
        <v>2741355.2990000006</v>
      </c>
      <c r="D111" s="247">
        <v>2440.549</v>
      </c>
      <c r="E111" s="247">
        <v>7747.9789999999994</v>
      </c>
      <c r="F111" s="247">
        <v>59410.020000000004</v>
      </c>
      <c r="G111" s="247">
        <v>1412377.3910000001</v>
      </c>
      <c r="H111" s="247">
        <v>1107872.334</v>
      </c>
      <c r="I111" s="247">
        <v>122665.40700000001</v>
      </c>
      <c r="J111" s="247">
        <v>19056.989999999998</v>
      </c>
      <c r="K111" s="247">
        <v>9784.6290000000008</v>
      </c>
      <c r="L111" s="247">
        <v>4133.6399999999994</v>
      </c>
      <c r="M111" s="247">
        <v>1786.739</v>
      </c>
      <c r="N111" s="247">
        <v>1799.2990000000002</v>
      </c>
      <c r="O111" s="247">
        <v>1648.48</v>
      </c>
      <c r="P111" s="240">
        <v>2750723.4570000009</v>
      </c>
    </row>
    <row r="112" spans="1:16" ht="12" customHeight="1">
      <c r="B112" s="95">
        <v>2021</v>
      </c>
      <c r="C112" s="438">
        <v>3075194.2000000011</v>
      </c>
      <c r="D112" s="247">
        <v>1956.8790000000001</v>
      </c>
      <c r="E112" s="247">
        <v>6194.5189999999993</v>
      </c>
      <c r="F112" s="247">
        <v>31861.540000000005</v>
      </c>
      <c r="G112" s="247">
        <v>1351384.3230000001</v>
      </c>
      <c r="H112" s="247">
        <v>1427805.9300000002</v>
      </c>
      <c r="I112" s="247">
        <v>214462.32800000001</v>
      </c>
      <c r="J112" s="247">
        <v>36326.228000000003</v>
      </c>
      <c r="K112" s="247">
        <v>5202.4530000000004</v>
      </c>
      <c r="L112" s="247"/>
      <c r="M112" s="247"/>
      <c r="N112" s="247"/>
      <c r="O112" s="247"/>
      <c r="P112" s="240"/>
    </row>
    <row r="113" spans="1:17" ht="12" customHeight="1">
      <c r="A113" s="94" t="s">
        <v>282</v>
      </c>
      <c r="B113" s="95">
        <v>2020</v>
      </c>
      <c r="C113" s="438">
        <v>16500.259000000002</v>
      </c>
      <c r="D113" s="247">
        <v>2247.79</v>
      </c>
      <c r="E113" s="247">
        <v>1867.7</v>
      </c>
      <c r="F113" s="247">
        <v>2359.23</v>
      </c>
      <c r="G113" s="247">
        <v>4838.49</v>
      </c>
      <c r="H113" s="247">
        <v>3059.8589999999999</v>
      </c>
      <c r="I113" s="247">
        <v>1665.85</v>
      </c>
      <c r="J113" s="247">
        <v>450.94</v>
      </c>
      <c r="K113" s="247">
        <v>10.4</v>
      </c>
      <c r="L113" s="247">
        <v>1143.6369999999999</v>
      </c>
      <c r="M113" s="247">
        <v>601.84</v>
      </c>
      <c r="N113" s="247">
        <v>676.86599999999999</v>
      </c>
      <c r="O113" s="247">
        <v>350.27</v>
      </c>
      <c r="P113" s="240">
        <v>19272.871999999999</v>
      </c>
    </row>
    <row r="114" spans="1:17" ht="12" customHeight="1">
      <c r="B114" s="95">
        <v>2021</v>
      </c>
      <c r="C114" s="438">
        <v>10222.937000000002</v>
      </c>
      <c r="D114" s="247">
        <v>782.26</v>
      </c>
      <c r="E114" s="247">
        <v>954.3900000000001</v>
      </c>
      <c r="F114" s="247">
        <v>1446.789</v>
      </c>
      <c r="G114" s="247">
        <v>3988</v>
      </c>
      <c r="H114" s="247">
        <v>2392.4380000000001</v>
      </c>
      <c r="I114" s="247">
        <v>357.02000000000004</v>
      </c>
      <c r="J114" s="247">
        <v>247.84</v>
      </c>
      <c r="K114" s="247">
        <v>54.2</v>
      </c>
      <c r="L114" s="247"/>
      <c r="M114" s="247"/>
      <c r="N114" s="247"/>
      <c r="O114" s="247"/>
      <c r="P114" s="240"/>
    </row>
    <row r="115" spans="1:17" ht="12" customHeight="1">
      <c r="A115" s="94" t="s">
        <v>91</v>
      </c>
      <c r="B115" s="95">
        <v>2020</v>
      </c>
      <c r="C115" s="438">
        <v>7278.7789999999995</v>
      </c>
      <c r="D115" s="247">
        <v>557.16899999999998</v>
      </c>
      <c r="E115" s="247">
        <v>343.18</v>
      </c>
      <c r="F115" s="247">
        <v>389.24999999999994</v>
      </c>
      <c r="G115" s="247">
        <v>2653.08</v>
      </c>
      <c r="H115" s="247">
        <v>2236.15</v>
      </c>
      <c r="I115" s="247">
        <v>528.74</v>
      </c>
      <c r="J115" s="247">
        <v>316.67</v>
      </c>
      <c r="K115" s="247">
        <v>254.54000000000002</v>
      </c>
      <c r="L115" s="247">
        <v>526.6</v>
      </c>
      <c r="M115" s="247">
        <v>1769.42</v>
      </c>
      <c r="N115" s="247">
        <v>2732.16</v>
      </c>
      <c r="O115" s="247">
        <v>1197.49</v>
      </c>
      <c r="P115" s="240">
        <v>13504.448999999999</v>
      </c>
    </row>
    <row r="116" spans="1:17" ht="12" customHeight="1">
      <c r="A116" s="97"/>
      <c r="B116" s="98">
        <v>2021</v>
      </c>
      <c r="C116" s="438">
        <v>7149.2390000000005</v>
      </c>
      <c r="D116" s="247">
        <v>219.86</v>
      </c>
      <c r="E116" s="247">
        <v>237.94</v>
      </c>
      <c r="F116" s="247">
        <v>335.709</v>
      </c>
      <c r="G116" s="247">
        <v>3261.76</v>
      </c>
      <c r="H116" s="247">
        <v>1649.79</v>
      </c>
      <c r="I116" s="247">
        <v>789.8</v>
      </c>
      <c r="J116" s="247">
        <v>334.18</v>
      </c>
      <c r="K116" s="247">
        <v>320.2</v>
      </c>
      <c r="L116" s="247"/>
      <c r="M116" s="247"/>
      <c r="N116" s="247"/>
      <c r="O116" s="247"/>
      <c r="P116" s="240"/>
    </row>
    <row r="117" spans="1:17" ht="12" customHeight="1">
      <c r="A117" s="94" t="s">
        <v>168</v>
      </c>
      <c r="B117" s="95">
        <v>2020</v>
      </c>
      <c r="C117" s="438">
        <v>38530.138999999996</v>
      </c>
      <c r="D117" s="248">
        <v>6658.3590000000004</v>
      </c>
      <c r="E117" s="248">
        <v>1911.25</v>
      </c>
      <c r="F117" s="248">
        <v>770.15000000000009</v>
      </c>
      <c r="G117" s="248">
        <v>150</v>
      </c>
      <c r="H117" s="248">
        <v>271.63</v>
      </c>
      <c r="I117" s="248">
        <v>1030.52</v>
      </c>
      <c r="J117" s="248">
        <v>5400.54</v>
      </c>
      <c r="K117" s="248">
        <v>22337.69</v>
      </c>
      <c r="L117" s="248">
        <v>39603.200000000004</v>
      </c>
      <c r="M117" s="248">
        <v>49782.299999999996</v>
      </c>
      <c r="N117" s="248">
        <v>34786.200000000004</v>
      </c>
      <c r="O117" s="248">
        <v>19005.399999999998</v>
      </c>
      <c r="P117" s="240">
        <v>181707.239</v>
      </c>
    </row>
    <row r="118" spans="1:17" ht="12" customHeight="1">
      <c r="A118" s="99"/>
      <c r="B118" s="96">
        <v>2021</v>
      </c>
      <c r="C118" s="439">
        <v>47981.839</v>
      </c>
      <c r="D118" s="249">
        <v>5697.6</v>
      </c>
      <c r="E118" s="249">
        <v>2708.5</v>
      </c>
      <c r="F118" s="249">
        <v>2126.6</v>
      </c>
      <c r="G118" s="249">
        <v>819.8</v>
      </c>
      <c r="H118" s="249">
        <v>460</v>
      </c>
      <c r="I118" s="249">
        <v>1553.2</v>
      </c>
      <c r="J118" s="249">
        <v>5565.0889999999999</v>
      </c>
      <c r="K118" s="249">
        <v>29051.05</v>
      </c>
      <c r="L118" s="249"/>
      <c r="M118" s="249"/>
      <c r="N118" s="249"/>
      <c r="O118" s="249"/>
      <c r="P118" s="242"/>
    </row>
    <row r="119" spans="1:17" ht="9" customHeight="1">
      <c r="A119" s="179" t="s">
        <v>94</v>
      </c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</row>
    <row r="120" spans="1:17" ht="9" customHeight="1">
      <c r="A120" s="179" t="s">
        <v>101</v>
      </c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</row>
    <row r="121" spans="1:17" ht="9" customHeight="1">
      <c r="A121" s="301" t="s">
        <v>355</v>
      </c>
      <c r="B121" s="301"/>
      <c r="C121" s="301"/>
      <c r="D121" s="301"/>
      <c r="E121" s="247"/>
      <c r="F121" s="301"/>
      <c r="G121" s="301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abSelected="1" zoomScale="145" zoomScaleNormal="145" workbookViewId="0">
      <selection activeCell="AI7" sqref="AI7"/>
    </sheetView>
  </sheetViews>
  <sheetFormatPr baseColWidth="10" defaultColWidth="10.7109375" defaultRowHeight="17.25" customHeight="1"/>
  <cols>
    <col min="1" max="1" width="10" style="204" customWidth="1"/>
    <col min="2" max="2" width="5.7109375" style="204" customWidth="1"/>
    <col min="3" max="3" width="6.140625" style="204" customWidth="1"/>
    <col min="4" max="9" width="6.7109375" style="204" customWidth="1"/>
    <col min="10" max="10" width="7.140625" style="204" bestFit="1" customWidth="1"/>
    <col min="11" max="12" width="6.7109375" style="204" customWidth="1"/>
    <col min="13" max="13" width="10.85546875" style="204" customWidth="1"/>
    <col min="14" max="14" width="5.85546875" style="204" customWidth="1"/>
    <col min="15" max="15" width="6.7109375" style="204" customWidth="1"/>
    <col min="16" max="16" width="7.5703125" style="204" bestFit="1" customWidth="1"/>
    <col min="17" max="17" width="7.140625" style="204" bestFit="1" customWidth="1"/>
    <col min="18" max="18" width="6.7109375" style="204" customWidth="1"/>
    <col min="19" max="19" width="7.85546875" style="204" customWidth="1"/>
    <col min="20" max="20" width="7.140625" style="204" bestFit="1" customWidth="1"/>
    <col min="21" max="22" width="6.28515625" style="204" customWidth="1"/>
    <col min="23" max="23" width="6.140625" style="204" customWidth="1"/>
    <col min="24" max="24" width="6.28515625" style="204" customWidth="1"/>
    <col min="25" max="25" width="11.28515625" style="204" customWidth="1"/>
    <col min="26" max="26" width="5.42578125" style="204" customWidth="1"/>
    <col min="27" max="27" width="6.85546875" style="204" customWidth="1"/>
    <col min="28" max="30" width="7.85546875" style="204" customWidth="1"/>
    <col min="31" max="31" width="8.140625" style="204" customWidth="1"/>
    <col min="32" max="32" width="8" style="204" bestFit="1" customWidth="1"/>
    <col min="33" max="33" width="7" style="204" customWidth="1"/>
    <col min="34" max="34" width="7.140625" style="204" customWidth="1"/>
    <col min="35" max="35" width="7" style="204" customWidth="1"/>
    <col min="36" max="37" width="8.85546875" style="204" customWidth="1"/>
    <col min="38" max="16384" width="10.7109375" style="204"/>
  </cols>
  <sheetData>
    <row r="1" spans="1:35" ht="16.350000000000001" customHeight="1">
      <c r="A1" s="216" t="s">
        <v>311</v>
      </c>
      <c r="B1" s="217"/>
      <c r="C1" s="217"/>
      <c r="D1" s="217"/>
      <c r="E1" s="87"/>
      <c r="F1" s="87"/>
      <c r="G1" s="87"/>
      <c r="H1" s="87"/>
      <c r="I1" s="87"/>
      <c r="J1" s="72"/>
      <c r="K1" s="72"/>
      <c r="L1" s="72"/>
    </row>
    <row r="2" spans="1:35" ht="11.1" customHeight="1">
      <c r="A2" s="290" t="s">
        <v>442</v>
      </c>
      <c r="B2" s="88"/>
      <c r="C2" s="88"/>
      <c r="D2" s="198"/>
      <c r="E2" s="88"/>
      <c r="F2" s="88"/>
      <c r="G2" s="88"/>
      <c r="H2" s="88"/>
      <c r="I2" s="88"/>
      <c r="J2" s="11"/>
      <c r="K2" s="11"/>
      <c r="L2" s="11"/>
      <c r="N2" s="11"/>
      <c r="O2" s="11"/>
      <c r="P2" s="73"/>
      <c r="Q2" s="11"/>
      <c r="R2" s="11"/>
      <c r="S2" s="11"/>
      <c r="T2" s="11"/>
      <c r="U2" s="11"/>
      <c r="V2" s="11"/>
      <c r="W2" s="22"/>
      <c r="X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11.1" customHeight="1">
      <c r="A3" s="290" t="s">
        <v>431</v>
      </c>
      <c r="B3" s="88"/>
      <c r="D3" s="24"/>
      <c r="E3" s="24"/>
      <c r="F3" s="24"/>
      <c r="M3" s="74" t="s">
        <v>310</v>
      </c>
      <c r="N3" s="72"/>
      <c r="O3" s="72"/>
      <c r="P3" s="72"/>
      <c r="Q3" s="72"/>
      <c r="R3" s="72"/>
      <c r="S3" s="72"/>
      <c r="T3" s="72"/>
      <c r="U3" s="72"/>
      <c r="V3" s="72"/>
      <c r="W3" s="22"/>
      <c r="X3" s="22"/>
      <c r="Y3" s="74" t="s">
        <v>310</v>
      </c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spans="1:35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21.95" customHeight="1">
      <c r="A5" s="427" t="s">
        <v>50</v>
      </c>
      <c r="B5" s="427" t="s">
        <v>124</v>
      </c>
      <c r="C5" s="427" t="s">
        <v>253</v>
      </c>
      <c r="D5" s="427" t="s">
        <v>234</v>
      </c>
      <c r="E5" s="427" t="s">
        <v>78</v>
      </c>
      <c r="F5" s="427" t="s">
        <v>277</v>
      </c>
      <c r="G5" s="427" t="s">
        <v>149</v>
      </c>
      <c r="H5" s="427" t="s">
        <v>62</v>
      </c>
      <c r="I5" s="427" t="s">
        <v>211</v>
      </c>
      <c r="J5" s="427" t="s">
        <v>265</v>
      </c>
      <c r="K5" s="427" t="s">
        <v>147</v>
      </c>
      <c r="L5" s="427" t="s">
        <v>263</v>
      </c>
      <c r="M5" s="427" t="s">
        <v>50</v>
      </c>
      <c r="N5" s="427" t="s">
        <v>124</v>
      </c>
      <c r="O5" s="427" t="s">
        <v>79</v>
      </c>
      <c r="P5" s="427" t="s">
        <v>262</v>
      </c>
      <c r="Q5" s="427" t="s">
        <v>259</v>
      </c>
      <c r="R5" s="427" t="s">
        <v>285</v>
      </c>
      <c r="S5" s="427" t="s">
        <v>235</v>
      </c>
      <c r="T5" s="427" t="s">
        <v>278</v>
      </c>
      <c r="U5" s="427" t="s">
        <v>284</v>
      </c>
      <c r="V5" s="427" t="s">
        <v>202</v>
      </c>
      <c r="W5" s="427" t="s">
        <v>264</v>
      </c>
      <c r="X5" s="427" t="s">
        <v>297</v>
      </c>
      <c r="Y5" s="427" t="s">
        <v>50</v>
      </c>
      <c r="Z5" s="427" t="s">
        <v>124</v>
      </c>
      <c r="AA5" s="427" t="s">
        <v>46</v>
      </c>
      <c r="AB5" s="427" t="s">
        <v>122</v>
      </c>
      <c r="AC5" s="427" t="s">
        <v>64</v>
      </c>
      <c r="AD5" s="427" t="s">
        <v>65</v>
      </c>
      <c r="AE5" s="427" t="s">
        <v>66</v>
      </c>
      <c r="AF5" s="427" t="s">
        <v>85</v>
      </c>
      <c r="AG5" s="427" t="s">
        <v>421</v>
      </c>
      <c r="AH5" s="427" t="s">
        <v>48</v>
      </c>
      <c r="AI5" s="427" t="s">
        <v>49</v>
      </c>
    </row>
    <row r="6" spans="1:35" ht="11.1" customHeight="1">
      <c r="A6" s="543" t="s">
        <v>179</v>
      </c>
      <c r="B6" s="428" t="s">
        <v>440</v>
      </c>
      <c r="C6" s="440">
        <v>1584.7851766673632</v>
      </c>
      <c r="D6" s="440">
        <v>4681.7735957452678</v>
      </c>
      <c r="E6" s="440">
        <v>1623.2528387942621</v>
      </c>
      <c r="F6" s="440">
        <v>8724.4792819984305</v>
      </c>
      <c r="G6" s="440">
        <v>1624.6239028689895</v>
      </c>
      <c r="H6" s="440">
        <v>1433.0302965899066</v>
      </c>
      <c r="I6" s="440">
        <v>10747.35734162711</v>
      </c>
      <c r="J6" s="440">
        <v>28337.468982630275</v>
      </c>
      <c r="K6" s="440">
        <v>41460.510144529508</v>
      </c>
      <c r="L6" s="440">
        <v>25372.255712298826</v>
      </c>
      <c r="M6" s="543" t="s">
        <v>179</v>
      </c>
      <c r="N6" s="428" t="s">
        <v>440</v>
      </c>
      <c r="O6" s="440">
        <v>3800.2239677049761</v>
      </c>
      <c r="P6" s="440">
        <v>24508.790104440603</v>
      </c>
      <c r="Q6" s="440">
        <v>9156.4958743198913</v>
      </c>
      <c r="R6" s="440">
        <v>36933.99809736287</v>
      </c>
      <c r="S6" s="440">
        <v>8929.9694457440874</v>
      </c>
      <c r="T6" s="440">
        <v>15720.537800205342</v>
      </c>
      <c r="U6" s="440">
        <v>12539.200570979574</v>
      </c>
      <c r="V6" s="440">
        <v>17761.627133407739</v>
      </c>
      <c r="W6" s="440">
        <v>7122.4862199013633</v>
      </c>
      <c r="X6" s="440">
        <v>6984.4632583487528</v>
      </c>
      <c r="Y6" s="543" t="s">
        <v>179</v>
      </c>
      <c r="Z6" s="428" t="s">
        <v>344</v>
      </c>
      <c r="AA6" s="440">
        <v>5886.168999481597</v>
      </c>
      <c r="AB6" s="440">
        <v>1259.0782002856267</v>
      </c>
      <c r="AC6" s="440">
        <v>1292.3956043956043</v>
      </c>
      <c r="AD6" s="440">
        <v>1526.5151502466515</v>
      </c>
      <c r="AE6" s="440">
        <v>1189.546956352124</v>
      </c>
      <c r="AF6" s="440">
        <v>126779.98169868076</v>
      </c>
      <c r="AG6" s="440">
        <v>51027.422789265285</v>
      </c>
      <c r="AH6" s="440">
        <v>22079.377326835507</v>
      </c>
      <c r="AI6" s="440">
        <v>26017.824208549922</v>
      </c>
    </row>
    <row r="7" spans="1:35" ht="11.1" customHeight="1">
      <c r="A7" s="544"/>
      <c r="B7" s="429" t="s">
        <v>441</v>
      </c>
      <c r="C7" s="418">
        <v>1647.5522942400348</v>
      </c>
      <c r="D7" s="418">
        <v>5062.210223275415</v>
      </c>
      <c r="E7" s="418">
        <v>1707.0520140980577</v>
      </c>
      <c r="F7" s="418">
        <v>8805.330450963098</v>
      </c>
      <c r="G7" s="418">
        <v>1741.0327183230922</v>
      </c>
      <c r="H7" s="418">
        <v>1530.7048688398804</v>
      </c>
      <c r="I7" s="418">
        <v>10707.165530248078</v>
      </c>
      <c r="J7" s="418">
        <v>23404.542372881355</v>
      </c>
      <c r="K7" s="418">
        <v>42502.68450292397</v>
      </c>
      <c r="L7" s="418">
        <v>26239.121237472467</v>
      </c>
      <c r="M7" s="544"/>
      <c r="N7" s="429" t="s">
        <v>441</v>
      </c>
      <c r="O7" s="418">
        <v>3921.7687496290146</v>
      </c>
      <c r="P7" s="418">
        <v>23486.336430818756</v>
      </c>
      <c r="Q7" s="418">
        <v>8705.1674291569052</v>
      </c>
      <c r="R7" s="418">
        <v>37645.035777617384</v>
      </c>
      <c r="S7" s="418">
        <v>8834.5232544317896</v>
      </c>
      <c r="T7" s="418">
        <v>16485.693677971711</v>
      </c>
      <c r="U7" s="418">
        <v>12628.533935620242</v>
      </c>
      <c r="V7" s="418">
        <v>17010.39082478312</v>
      </c>
      <c r="W7" s="418">
        <v>7935.1461182179091</v>
      </c>
      <c r="X7" s="418">
        <v>7538.2836690183885</v>
      </c>
      <c r="Y7" s="544"/>
      <c r="Z7" s="429" t="s">
        <v>350</v>
      </c>
      <c r="AA7" s="418">
        <v>6289.7781843701441</v>
      </c>
      <c r="AB7" s="418">
        <v>1322.0815959188053</v>
      </c>
      <c r="AC7" s="418">
        <v>1190.4059314179797</v>
      </c>
      <c r="AD7" s="418">
        <v>1647.1359721003205</v>
      </c>
      <c r="AE7" s="418">
        <v>1340.7905676039425</v>
      </c>
      <c r="AF7" s="418">
        <v>119432.78733683965</v>
      </c>
      <c r="AG7" s="418">
        <v>51803.627959059391</v>
      </c>
      <c r="AH7" s="418">
        <v>21357.696298800067</v>
      </c>
      <c r="AI7" s="418">
        <v>27467.146008806798</v>
      </c>
    </row>
    <row r="8" spans="1:35" ht="11.1" customHeight="1">
      <c r="A8" s="13" t="s">
        <v>24</v>
      </c>
      <c r="B8" s="199" t="s">
        <v>345</v>
      </c>
      <c r="C8" s="283">
        <v>1130.1279999999997</v>
      </c>
      <c r="D8" s="284">
        <v>2444.9920127795526</v>
      </c>
      <c r="E8" s="284">
        <v>843.02761120263597</v>
      </c>
      <c r="F8" s="284">
        <v>9005.2342511171955</v>
      </c>
      <c r="G8" s="283">
        <v>1057.6923076923076</v>
      </c>
      <c r="H8" s="283">
        <v>0</v>
      </c>
      <c r="I8" s="284">
        <v>6317.3076923076924</v>
      </c>
      <c r="J8" s="283">
        <v>0</v>
      </c>
      <c r="K8" s="284">
        <v>8265.2941176470595</v>
      </c>
      <c r="L8" s="284">
        <v>11276.433121019107</v>
      </c>
      <c r="M8" s="13" t="s">
        <v>24</v>
      </c>
      <c r="N8" s="199" t="s">
        <v>345</v>
      </c>
      <c r="O8" s="284">
        <v>2441.5767634854774</v>
      </c>
      <c r="P8" s="284">
        <v>12534.304461942256</v>
      </c>
      <c r="Q8" s="284">
        <v>5800</v>
      </c>
      <c r="R8" s="284">
        <v>7000</v>
      </c>
      <c r="S8" s="284">
        <v>6191.7302798982191</v>
      </c>
      <c r="T8" s="284">
        <v>18522.092752534736</v>
      </c>
      <c r="U8" s="284">
        <v>16932.444667414271</v>
      </c>
      <c r="V8" s="284">
        <v>7285.7142857142853</v>
      </c>
      <c r="W8" s="284">
        <v>6070.7070707070707</v>
      </c>
      <c r="X8" s="284">
        <v>6585.5214723926383</v>
      </c>
      <c r="Y8" s="13" t="s">
        <v>24</v>
      </c>
      <c r="Z8" s="199" t="s">
        <v>345</v>
      </c>
      <c r="AA8" s="283">
        <v>0</v>
      </c>
      <c r="AB8" s="284">
        <v>858.42406512337823</v>
      </c>
      <c r="AC8" s="283">
        <v>0</v>
      </c>
      <c r="AD8" s="284">
        <v>809.86425339366508</v>
      </c>
      <c r="AE8" s="284">
        <v>813.91304347826087</v>
      </c>
      <c r="AF8" s="283">
        <v>0</v>
      </c>
      <c r="AG8" s="283">
        <v>0</v>
      </c>
      <c r="AH8" s="283">
        <v>0</v>
      </c>
      <c r="AI8" s="283">
        <v>0</v>
      </c>
    </row>
    <row r="9" spans="1:35" ht="11.1" customHeight="1">
      <c r="A9" s="13"/>
      <c r="B9" s="199" t="s">
        <v>351</v>
      </c>
      <c r="C9" s="283">
        <v>1973.3333333333333</v>
      </c>
      <c r="D9" s="284">
        <v>2680.8271379458529</v>
      </c>
      <c r="E9" s="284">
        <v>1352.6050610031632</v>
      </c>
      <c r="F9" s="284">
        <v>9178.1734984480481</v>
      </c>
      <c r="G9" s="283">
        <v>1411.304347826087</v>
      </c>
      <c r="H9" s="283">
        <v>0</v>
      </c>
      <c r="I9" s="284">
        <v>7063.1111111111104</v>
      </c>
      <c r="J9" s="283">
        <v>0</v>
      </c>
      <c r="K9" s="284">
        <v>8132.7217125382258</v>
      </c>
      <c r="L9" s="284">
        <v>14732.954545454542</v>
      </c>
      <c r="M9" s="13"/>
      <c r="N9" s="199" t="s">
        <v>351</v>
      </c>
      <c r="O9" s="284">
        <v>2899.4414414414418</v>
      </c>
      <c r="P9" s="284">
        <v>11793.39168490153</v>
      </c>
      <c r="Q9" s="284">
        <v>5650</v>
      </c>
      <c r="R9" s="284">
        <v>7000</v>
      </c>
      <c r="S9" s="284">
        <v>5745.4111600587366</v>
      </c>
      <c r="T9" s="284">
        <v>20439.795806388396</v>
      </c>
      <c r="U9" s="284">
        <v>17295.535292855609</v>
      </c>
      <c r="V9" s="284">
        <v>7600</v>
      </c>
      <c r="W9" s="284">
        <v>7571.6216216216217</v>
      </c>
      <c r="X9" s="284">
        <v>7806.6418338108888</v>
      </c>
      <c r="Y9" s="13"/>
      <c r="Z9" s="199" t="s">
        <v>351</v>
      </c>
      <c r="AA9" s="283">
        <v>0</v>
      </c>
      <c r="AB9" s="284">
        <v>1020.4603669089652</v>
      </c>
      <c r="AC9" s="283">
        <v>0</v>
      </c>
      <c r="AD9" s="284">
        <v>1462.077922077922</v>
      </c>
      <c r="AE9" s="284">
        <v>1170.918918918919</v>
      </c>
      <c r="AF9" s="283">
        <v>0</v>
      </c>
      <c r="AG9" s="283">
        <v>0</v>
      </c>
      <c r="AH9" s="283">
        <v>0</v>
      </c>
      <c r="AI9" s="283">
        <v>0</v>
      </c>
    </row>
    <row r="10" spans="1:35" ht="11.1" customHeight="1">
      <c r="A10" s="13" t="s">
        <v>25</v>
      </c>
      <c r="B10" s="201" t="s">
        <v>345</v>
      </c>
      <c r="C10" s="283">
        <v>999.88614368666742</v>
      </c>
      <c r="D10" s="284">
        <v>10902.411575562703</v>
      </c>
      <c r="E10" s="284">
        <v>1289.2003798670466</v>
      </c>
      <c r="F10" s="284">
        <v>12017.241379310346</v>
      </c>
      <c r="G10" s="283">
        <v>997.97068771138674</v>
      </c>
      <c r="H10" s="283">
        <v>1051.0135135135138</v>
      </c>
      <c r="I10" s="284">
        <v>5305.6603773584911</v>
      </c>
      <c r="J10" s="283">
        <v>0</v>
      </c>
      <c r="K10" s="284">
        <v>21458.333333333332</v>
      </c>
      <c r="L10" s="284">
        <v>39380.952380952382</v>
      </c>
      <c r="M10" s="13" t="s">
        <v>25</v>
      </c>
      <c r="N10" s="201" t="s">
        <v>345</v>
      </c>
      <c r="O10" s="284">
        <v>3664.5569620253159</v>
      </c>
      <c r="P10" s="284">
        <v>19980.392156862745</v>
      </c>
      <c r="Q10" s="284">
        <v>5117.6470588235288</v>
      </c>
      <c r="R10" s="284">
        <v>21008.196721311473</v>
      </c>
      <c r="S10" s="284">
        <v>12758.114478114478</v>
      </c>
      <c r="T10" s="284">
        <v>11722.336769759451</v>
      </c>
      <c r="U10" s="284">
        <v>20869.23076923077</v>
      </c>
      <c r="V10" s="284">
        <v>20628.389154704942</v>
      </c>
      <c r="W10" s="284">
        <v>4064.6387832699611</v>
      </c>
      <c r="X10" s="284">
        <v>4682.5678496868486</v>
      </c>
      <c r="Y10" s="13" t="s">
        <v>25</v>
      </c>
      <c r="Z10" s="201" t="s">
        <v>345</v>
      </c>
      <c r="AA10" s="283">
        <v>5289.2156862745096</v>
      </c>
      <c r="AB10" s="284">
        <v>1339.4891944990175</v>
      </c>
      <c r="AC10" s="283">
        <v>1366.6666666666667</v>
      </c>
      <c r="AD10" s="284">
        <v>1021.9074598678</v>
      </c>
      <c r="AE10" s="284">
        <v>1006.0818713450293</v>
      </c>
      <c r="AF10" s="283">
        <v>148089.86741839227</v>
      </c>
      <c r="AG10" s="283">
        <v>20973.733583489684</v>
      </c>
      <c r="AH10" s="283">
        <v>0</v>
      </c>
      <c r="AI10" s="283">
        <v>0</v>
      </c>
    </row>
    <row r="11" spans="1:35" ht="11.1" customHeight="1">
      <c r="A11" s="13"/>
      <c r="B11" s="201" t="s">
        <v>351</v>
      </c>
      <c r="C11" s="283">
        <v>1013.4412316194612</v>
      </c>
      <c r="D11" s="284">
        <v>10941.728561782578</v>
      </c>
      <c r="E11" s="284">
        <v>1271.6783739351367</v>
      </c>
      <c r="F11" s="284">
        <v>12482.845610494451</v>
      </c>
      <c r="G11" s="283">
        <v>1008.6455331412103</v>
      </c>
      <c r="H11" s="283">
        <v>1036.5853658536585</v>
      </c>
      <c r="I11" s="284">
        <v>5271.6049382716055</v>
      </c>
      <c r="J11" s="283">
        <v>0</v>
      </c>
      <c r="K11" s="284">
        <v>21027.149321266967</v>
      </c>
      <c r="L11" s="284">
        <v>41036.36363636364</v>
      </c>
      <c r="M11" s="13"/>
      <c r="N11" s="201" t="s">
        <v>351</v>
      </c>
      <c r="O11" s="284">
        <v>3645.2029520295205</v>
      </c>
      <c r="P11" s="284">
        <v>20886.363636363636</v>
      </c>
      <c r="Q11" s="284">
        <v>5428.5714285714284</v>
      </c>
      <c r="R11" s="284">
        <v>20769.736842105263</v>
      </c>
      <c r="S11" s="284">
        <v>13513.450807635831</v>
      </c>
      <c r="T11" s="284">
        <v>12351.393023255812</v>
      </c>
      <c r="U11" s="284">
        <v>20300.751879699248</v>
      </c>
      <c r="V11" s="284">
        <v>20586.466165413534</v>
      </c>
      <c r="W11" s="284">
        <v>4088.2352941176468</v>
      </c>
      <c r="X11" s="284">
        <v>4670.4938271604933</v>
      </c>
      <c r="Y11" s="13"/>
      <c r="Z11" s="201" t="s">
        <v>351</v>
      </c>
      <c r="AA11" s="283">
        <v>5117.5</v>
      </c>
      <c r="AB11" s="284">
        <v>1376.4912280701756</v>
      </c>
      <c r="AC11" s="283">
        <v>1318.181818181818</v>
      </c>
      <c r="AD11" s="284">
        <v>1009.765625</v>
      </c>
      <c r="AE11" s="284">
        <v>1006.9582504970178</v>
      </c>
      <c r="AF11" s="283">
        <v>131549.25403950128</v>
      </c>
      <c r="AG11" s="283">
        <v>20626.038781163435</v>
      </c>
      <c r="AH11" s="283">
        <v>0</v>
      </c>
      <c r="AI11" s="283">
        <v>0</v>
      </c>
    </row>
    <row r="12" spans="1:35" ht="11.1" customHeight="1">
      <c r="A12" s="13" t="s">
        <v>26</v>
      </c>
      <c r="B12" s="201" t="s">
        <v>345</v>
      </c>
      <c r="C12" s="283">
        <v>2387.911627464051</v>
      </c>
      <c r="D12" s="284">
        <v>2458.3922651933703</v>
      </c>
      <c r="E12" s="284">
        <v>2245.8012318389597</v>
      </c>
      <c r="F12" s="284">
        <v>0</v>
      </c>
      <c r="G12" s="283">
        <v>2315.7680904798503</v>
      </c>
      <c r="H12" s="283">
        <v>2283.1048999442528</v>
      </c>
      <c r="I12" s="284">
        <v>3571.4285714285716</v>
      </c>
      <c r="J12" s="283">
        <v>0</v>
      </c>
      <c r="K12" s="284">
        <v>15475.675675675677</v>
      </c>
      <c r="L12" s="284">
        <v>15908.872901678658</v>
      </c>
      <c r="M12" s="13" t="s">
        <v>26</v>
      </c>
      <c r="N12" s="201" t="s">
        <v>345</v>
      </c>
      <c r="O12" s="284">
        <v>3647.5404034446137</v>
      </c>
      <c r="P12" s="284">
        <v>8423.4636871508392</v>
      </c>
      <c r="Q12" s="284">
        <v>6529.1298865069375</v>
      </c>
      <c r="R12" s="284">
        <v>7244.4754269780415</v>
      </c>
      <c r="S12" s="284">
        <v>8203.7997903563937</v>
      </c>
      <c r="T12" s="284">
        <v>18520.427338844471</v>
      </c>
      <c r="U12" s="284">
        <v>15859.375</v>
      </c>
      <c r="V12" s="284">
        <v>11626.666666666666</v>
      </c>
      <c r="W12" s="284">
        <v>8763.7354703631518</v>
      </c>
      <c r="X12" s="284">
        <v>9849.8871763491024</v>
      </c>
      <c r="Y12" s="13" t="s">
        <v>26</v>
      </c>
      <c r="Z12" s="201" t="s">
        <v>345</v>
      </c>
      <c r="AA12" s="283">
        <v>0</v>
      </c>
      <c r="AB12" s="284">
        <v>2198.7870797626897</v>
      </c>
      <c r="AC12" s="283">
        <v>3900</v>
      </c>
      <c r="AD12" s="284">
        <v>2154.7128478389582</v>
      </c>
      <c r="AE12" s="284">
        <v>1971.195987654321</v>
      </c>
      <c r="AF12" s="283">
        <v>0</v>
      </c>
      <c r="AG12" s="283">
        <v>0</v>
      </c>
      <c r="AH12" s="283">
        <v>15969.578017664377</v>
      </c>
      <c r="AI12" s="283">
        <v>13469.496021220159</v>
      </c>
    </row>
    <row r="13" spans="1:35" ht="11.1" customHeight="1">
      <c r="A13" s="13"/>
      <c r="B13" s="201" t="s">
        <v>351</v>
      </c>
      <c r="C13" s="283">
        <v>2464.8550482553824</v>
      </c>
      <c r="D13" s="284">
        <v>2543.3670886075952</v>
      </c>
      <c r="E13" s="284">
        <v>2288.4960310956048</v>
      </c>
      <c r="F13" s="284">
        <v>0</v>
      </c>
      <c r="G13" s="283">
        <v>2568.9688552188554</v>
      </c>
      <c r="H13" s="283">
        <v>2283.2051845342708</v>
      </c>
      <c r="I13" s="284">
        <v>4000</v>
      </c>
      <c r="J13" s="283">
        <v>0</v>
      </c>
      <c r="K13" s="284">
        <v>19500</v>
      </c>
      <c r="L13" s="284">
        <v>21114.583333333332</v>
      </c>
      <c r="M13" s="13"/>
      <c r="N13" s="201" t="s">
        <v>351</v>
      </c>
      <c r="O13" s="284">
        <v>3701.0704533042053</v>
      </c>
      <c r="P13" s="284">
        <v>9889.9905571293657</v>
      </c>
      <c r="Q13" s="284">
        <v>5064.9558941459509</v>
      </c>
      <c r="R13" s="284">
        <v>9094.7368421052633</v>
      </c>
      <c r="S13" s="284">
        <v>6750.0345383375552</v>
      </c>
      <c r="T13" s="284">
        <v>17981.625399176191</v>
      </c>
      <c r="U13" s="284">
        <v>17277.777777777777</v>
      </c>
      <c r="V13" s="284">
        <v>10969.072164948453</v>
      </c>
      <c r="W13" s="284">
        <v>9381.3492063492067</v>
      </c>
      <c r="X13" s="284">
        <v>10640.885013415102</v>
      </c>
      <c r="Y13" s="13"/>
      <c r="Z13" s="201" t="s">
        <v>351</v>
      </c>
      <c r="AA13" s="283">
        <v>0</v>
      </c>
      <c r="AB13" s="284">
        <v>2168.8920825712044</v>
      </c>
      <c r="AC13" s="283">
        <v>3250</v>
      </c>
      <c r="AD13" s="284">
        <v>2250.070451719851</v>
      </c>
      <c r="AE13" s="284">
        <v>2737.7700831024927</v>
      </c>
      <c r="AF13" s="283">
        <v>0</v>
      </c>
      <c r="AG13" s="283">
        <v>0</v>
      </c>
      <c r="AH13" s="283">
        <v>13070.07733491969</v>
      </c>
      <c r="AI13" s="283">
        <v>10876.254180602007</v>
      </c>
    </row>
    <row r="14" spans="1:35" ht="11.1" customHeight="1">
      <c r="A14" s="13" t="s">
        <v>27</v>
      </c>
      <c r="B14" s="201" t="s">
        <v>345</v>
      </c>
      <c r="C14" s="283">
        <v>2846.145454545454</v>
      </c>
      <c r="D14" s="284">
        <v>6934.875</v>
      </c>
      <c r="E14" s="284">
        <v>3118.0389105058366</v>
      </c>
      <c r="F14" s="284">
        <v>13441.882569848249</v>
      </c>
      <c r="G14" s="283">
        <v>2772.869090909091</v>
      </c>
      <c r="H14" s="283">
        <v>3622.3251282051278</v>
      </c>
      <c r="I14" s="284">
        <v>4789.8663697104676</v>
      </c>
      <c r="J14" s="283">
        <v>0</v>
      </c>
      <c r="K14" s="284">
        <v>50176.260162601626</v>
      </c>
      <c r="L14" s="284">
        <v>38034.847513812158</v>
      </c>
      <c r="M14" s="13" t="s">
        <v>27</v>
      </c>
      <c r="N14" s="201" t="s">
        <v>345</v>
      </c>
      <c r="O14" s="284">
        <v>9652.083623693381</v>
      </c>
      <c r="P14" s="284">
        <v>44929.565604151219</v>
      </c>
      <c r="Q14" s="284">
        <v>18342.76265270506</v>
      </c>
      <c r="R14" s="284">
        <v>40905.203985931999</v>
      </c>
      <c r="S14" s="284">
        <v>18328.108998732576</v>
      </c>
      <c r="T14" s="284">
        <v>34690.94142857143</v>
      </c>
      <c r="U14" s="284">
        <v>14276.812499999998</v>
      </c>
      <c r="V14" s="284">
        <v>11416.050847457627</v>
      </c>
      <c r="W14" s="284">
        <v>2927.3684210526317</v>
      </c>
      <c r="X14" s="284">
        <v>3326.3870967741937</v>
      </c>
      <c r="Y14" s="13" t="s">
        <v>27</v>
      </c>
      <c r="Z14" s="201" t="s">
        <v>345</v>
      </c>
      <c r="AA14" s="283">
        <v>7266.4516129032263</v>
      </c>
      <c r="AB14" s="284">
        <v>1818.3967156439069</v>
      </c>
      <c r="AC14" s="283">
        <v>0</v>
      </c>
      <c r="AD14" s="284">
        <v>2234.3053691275168</v>
      </c>
      <c r="AE14" s="284">
        <v>1526.6666666666665</v>
      </c>
      <c r="AF14" s="283">
        <v>110359.07603186098</v>
      </c>
      <c r="AG14" s="283">
        <v>59764.435916682305</v>
      </c>
      <c r="AH14" s="283">
        <v>15374.429234338748</v>
      </c>
      <c r="AI14" s="283">
        <v>15885.625000000002</v>
      </c>
    </row>
    <row r="15" spans="1:35" ht="11.1" customHeight="1">
      <c r="A15" s="13"/>
      <c r="B15" s="201" t="s">
        <v>351</v>
      </c>
      <c r="C15" s="283">
        <v>2795.078125</v>
      </c>
      <c r="D15" s="284">
        <v>8276.3991031390142</v>
      </c>
      <c r="E15" s="284">
        <v>3085.8041683051511</v>
      </c>
      <c r="F15" s="284">
        <v>13772.725664145821</v>
      </c>
      <c r="G15" s="283">
        <v>2960.5685279187815</v>
      </c>
      <c r="H15" s="283">
        <v>3471.8102288021523</v>
      </c>
      <c r="I15" s="284">
        <v>3860.2196078431375</v>
      </c>
      <c r="J15" s="283">
        <v>0</v>
      </c>
      <c r="K15" s="284">
        <v>51641.074193548382</v>
      </c>
      <c r="L15" s="284">
        <v>39065.746973365618</v>
      </c>
      <c r="M15" s="285"/>
      <c r="N15" s="201" t="s">
        <v>351</v>
      </c>
      <c r="O15" s="284">
        <v>9521.0477941176487</v>
      </c>
      <c r="P15" s="284">
        <v>45129.800650935722</v>
      </c>
      <c r="Q15" s="284">
        <v>14550.470514429109</v>
      </c>
      <c r="R15" s="284">
        <v>41924.374447997565</v>
      </c>
      <c r="S15" s="284">
        <v>18069.050295857989</v>
      </c>
      <c r="T15" s="284">
        <v>34618.450819672129</v>
      </c>
      <c r="U15" s="284">
        <v>15712.857142857145</v>
      </c>
      <c r="V15" s="284">
        <v>12626.017857142857</v>
      </c>
      <c r="W15" s="284">
        <v>2842.3157894736837</v>
      </c>
      <c r="X15" s="284">
        <v>2901.75</v>
      </c>
      <c r="Y15" s="285"/>
      <c r="Z15" s="201" t="s">
        <v>351</v>
      </c>
      <c r="AA15" s="283">
        <v>6679.3814989871707</v>
      </c>
      <c r="AB15" s="284">
        <v>1839.1494130202775</v>
      </c>
      <c r="AC15" s="283">
        <v>0</v>
      </c>
      <c r="AD15" s="284">
        <v>2161.1274038461543</v>
      </c>
      <c r="AE15" s="284">
        <v>1542.5</v>
      </c>
      <c r="AF15" s="283">
        <v>88568.568741182011</v>
      </c>
      <c r="AG15" s="283">
        <v>59370.022979602378</v>
      </c>
      <c r="AH15" s="283">
        <v>14908.153100775193</v>
      </c>
      <c r="AI15" s="283">
        <v>16745.539094650205</v>
      </c>
    </row>
    <row r="16" spans="1:35" ht="11.1" customHeight="1">
      <c r="A16" s="13" t="s">
        <v>28</v>
      </c>
      <c r="B16" s="201" t="s">
        <v>345</v>
      </c>
      <c r="C16" s="284">
        <v>1545.249406175772</v>
      </c>
      <c r="D16" s="284">
        <v>2737.0517928286849</v>
      </c>
      <c r="E16" s="284">
        <v>1304.4253706387249</v>
      </c>
      <c r="F16" s="284">
        <v>2947.3684210526312</v>
      </c>
      <c r="G16" s="284">
        <v>1403.192760799044</v>
      </c>
      <c r="H16" s="284">
        <v>1679.3343990699025</v>
      </c>
      <c r="I16" s="284">
        <v>5000</v>
      </c>
      <c r="J16" s="283">
        <v>0</v>
      </c>
      <c r="K16" s="284">
        <v>13021.276595744681</v>
      </c>
      <c r="L16" s="284">
        <v>10613.636363636364</v>
      </c>
      <c r="M16" s="13" t="s">
        <v>28</v>
      </c>
      <c r="N16" s="201" t="s">
        <v>345</v>
      </c>
      <c r="O16" s="284">
        <v>3117.0282708744244</v>
      </c>
      <c r="P16" s="284">
        <v>9272.7272727272739</v>
      </c>
      <c r="Q16" s="284">
        <v>4876.6066838046272</v>
      </c>
      <c r="R16" s="284">
        <v>9782.1229050279326</v>
      </c>
      <c r="S16" s="284">
        <v>5690.3719912472643</v>
      </c>
      <c r="T16" s="284">
        <v>16942.83819111163</v>
      </c>
      <c r="U16" s="284">
        <v>10355.263157894737</v>
      </c>
      <c r="V16" s="284">
        <v>18538.461538461539</v>
      </c>
      <c r="W16" s="284">
        <v>5022.5479143179255</v>
      </c>
      <c r="X16" s="284">
        <v>5499.2565055762079</v>
      </c>
      <c r="Y16" s="13" t="s">
        <v>28</v>
      </c>
      <c r="Z16" s="201" t="s">
        <v>345</v>
      </c>
      <c r="AA16" s="283">
        <v>0</v>
      </c>
      <c r="AB16" s="284">
        <v>1469.7855750487329</v>
      </c>
      <c r="AC16" s="284">
        <v>1571.4285714285713</v>
      </c>
      <c r="AD16" s="284">
        <v>1330.3532804614276</v>
      </c>
      <c r="AE16" s="284">
        <v>1330.065359477124</v>
      </c>
      <c r="AF16" s="283">
        <v>0</v>
      </c>
      <c r="AG16" s="283">
        <v>0</v>
      </c>
      <c r="AH16" s="284">
        <v>11923.076923076924</v>
      </c>
      <c r="AI16" s="284">
        <v>20394.912559618442</v>
      </c>
    </row>
    <row r="17" spans="1:35" ht="11.1" customHeight="1">
      <c r="A17" s="13"/>
      <c r="B17" s="201" t="s">
        <v>351</v>
      </c>
      <c r="C17" s="284">
        <v>1518.6449293330029</v>
      </c>
      <c r="D17" s="284">
        <v>2407.830342577488</v>
      </c>
      <c r="E17" s="284">
        <v>1428.990092681368</v>
      </c>
      <c r="F17" s="284">
        <v>3000</v>
      </c>
      <c r="G17" s="284">
        <v>1415.3379467248083</v>
      </c>
      <c r="H17" s="284">
        <v>1765.951828438825</v>
      </c>
      <c r="I17" s="284">
        <v>4076.9230769230767</v>
      </c>
      <c r="J17" s="283">
        <v>0</v>
      </c>
      <c r="K17" s="284">
        <v>13622.222222222223</v>
      </c>
      <c r="L17" s="284">
        <v>11818.181818181818</v>
      </c>
      <c r="M17" s="13"/>
      <c r="N17" s="201" t="s">
        <v>351</v>
      </c>
      <c r="O17" s="284">
        <v>2897.018970189702</v>
      </c>
      <c r="P17" s="284">
        <v>9452.8301886792451</v>
      </c>
      <c r="Q17" s="284">
        <v>3956.0439560439563</v>
      </c>
      <c r="R17" s="284">
        <v>10450.581395348838</v>
      </c>
      <c r="S17" s="284">
        <v>5265.454545454546</v>
      </c>
      <c r="T17" s="284">
        <v>15103.539451006767</v>
      </c>
      <c r="U17" s="284">
        <v>10963.235294117647</v>
      </c>
      <c r="V17" s="284">
        <v>17888.888888888891</v>
      </c>
      <c r="W17" s="284">
        <v>8718.5350318471337</v>
      </c>
      <c r="X17" s="284">
        <v>7032.7454909819626</v>
      </c>
      <c r="Y17" s="13"/>
      <c r="Z17" s="201" t="s">
        <v>351</v>
      </c>
      <c r="AA17" s="283">
        <v>0</v>
      </c>
      <c r="AB17" s="284">
        <v>1463.6925188743994</v>
      </c>
      <c r="AC17" s="284">
        <v>2076.9230769230771</v>
      </c>
      <c r="AD17" s="284">
        <v>1956.5010211027914</v>
      </c>
      <c r="AE17" s="284">
        <v>1871.9152501795547</v>
      </c>
      <c r="AF17" s="283">
        <v>0</v>
      </c>
      <c r="AG17" s="283">
        <v>0</v>
      </c>
      <c r="AH17" s="284">
        <v>8250</v>
      </c>
      <c r="AI17" s="284">
        <v>19259.090217556673</v>
      </c>
    </row>
    <row r="18" spans="1:35" ht="11.1" customHeight="1">
      <c r="A18" s="13" t="s">
        <v>29</v>
      </c>
      <c r="B18" s="201" t="s">
        <v>345</v>
      </c>
      <c r="C18" s="284">
        <v>1013.3774748274693</v>
      </c>
      <c r="D18" s="284">
        <v>3265.5728294045066</v>
      </c>
      <c r="E18" s="284">
        <v>814.59635671560625</v>
      </c>
      <c r="F18" s="284">
        <v>7744.8850271528327</v>
      </c>
      <c r="G18" s="284">
        <v>849.78839764886277</v>
      </c>
      <c r="H18" s="284">
        <v>1058.858947368421</v>
      </c>
      <c r="I18" s="283">
        <v>0</v>
      </c>
      <c r="J18" s="283">
        <v>0</v>
      </c>
      <c r="K18" s="284">
        <v>7384.7191011235946</v>
      </c>
      <c r="L18" s="284">
        <v>16114.753789154594</v>
      </c>
      <c r="M18" s="13" t="s">
        <v>29</v>
      </c>
      <c r="N18" s="201" t="s">
        <v>345</v>
      </c>
      <c r="O18" s="284">
        <v>1912.3516784173416</v>
      </c>
      <c r="P18" s="284">
        <v>11756.663970522153</v>
      </c>
      <c r="Q18" s="284">
        <v>5322.9704510108859</v>
      </c>
      <c r="R18" s="284">
        <v>8880.7436918990697</v>
      </c>
      <c r="S18" s="284">
        <v>2698.4933890447028</v>
      </c>
      <c r="T18" s="284">
        <v>13344.964040133904</v>
      </c>
      <c r="U18" s="284">
        <v>8106.4365169819939</v>
      </c>
      <c r="V18" s="284">
        <v>4979.9410377358499</v>
      </c>
      <c r="W18" s="284">
        <v>4528.3801369863004</v>
      </c>
      <c r="X18" s="284">
        <v>4982.8320143884894</v>
      </c>
      <c r="Y18" s="13" t="s">
        <v>29</v>
      </c>
      <c r="Z18" s="201" t="s">
        <v>345</v>
      </c>
      <c r="AA18" s="283">
        <v>18000</v>
      </c>
      <c r="AB18" s="284">
        <v>836.79251943115082</v>
      </c>
      <c r="AC18" s="283">
        <v>0</v>
      </c>
      <c r="AD18" s="284">
        <v>896.4071682698642</v>
      </c>
      <c r="AE18" s="284">
        <v>808.46831701459439</v>
      </c>
      <c r="AF18" s="283">
        <v>0</v>
      </c>
      <c r="AG18" s="283">
        <v>7294.242424242424</v>
      </c>
      <c r="AH18" s="283">
        <v>0</v>
      </c>
      <c r="AI18" s="284">
        <v>17738.731443994602</v>
      </c>
    </row>
    <row r="19" spans="1:35" ht="11.1" customHeight="1">
      <c r="A19" s="13"/>
      <c r="B19" s="201" t="s">
        <v>351</v>
      </c>
      <c r="C19" s="284">
        <v>1010.2139864850639</v>
      </c>
      <c r="D19" s="284">
        <v>3586.9691017823643</v>
      </c>
      <c r="E19" s="284">
        <v>923.81598200925578</v>
      </c>
      <c r="F19" s="284">
        <v>7957.2991210157161</v>
      </c>
      <c r="G19" s="284">
        <v>913.01357408118838</v>
      </c>
      <c r="H19" s="284">
        <v>1332.5141776937617</v>
      </c>
      <c r="I19" s="283">
        <v>4100</v>
      </c>
      <c r="J19" s="283">
        <v>0</v>
      </c>
      <c r="K19" s="284">
        <v>6938.6184210526308</v>
      </c>
      <c r="L19" s="284">
        <v>14945.123469744667</v>
      </c>
      <c r="M19" s="13"/>
      <c r="N19" s="201" t="s">
        <v>351</v>
      </c>
      <c r="O19" s="284">
        <v>2065.3419963933384</v>
      </c>
      <c r="P19" s="284">
        <v>10661.350844277675</v>
      </c>
      <c r="Q19" s="284">
        <v>5610.6382978723404</v>
      </c>
      <c r="R19" s="284">
        <v>7316.8257756563244</v>
      </c>
      <c r="S19" s="284">
        <v>2713.332646861968</v>
      </c>
      <c r="T19" s="284">
        <v>14357.324141859584</v>
      </c>
      <c r="U19" s="284">
        <v>8179.4536054421769</v>
      </c>
      <c r="V19" s="284">
        <v>4869.2226054656412</v>
      </c>
      <c r="W19" s="284">
        <v>3749.540745095157</v>
      </c>
      <c r="X19" s="284">
        <v>4693.9639835105218</v>
      </c>
      <c r="Y19" s="13"/>
      <c r="Z19" s="201" t="s">
        <v>351</v>
      </c>
      <c r="AA19" s="283">
        <v>0</v>
      </c>
      <c r="AB19" s="284">
        <v>934.39313673653851</v>
      </c>
      <c r="AC19" s="283">
        <v>0</v>
      </c>
      <c r="AD19" s="284">
        <v>1052.6839690970546</v>
      </c>
      <c r="AE19" s="284">
        <v>884.44893509978192</v>
      </c>
      <c r="AF19" s="283">
        <v>0</v>
      </c>
      <c r="AG19" s="283">
        <v>6507.0921985815603</v>
      </c>
      <c r="AH19" s="283">
        <v>0</v>
      </c>
      <c r="AI19" s="284">
        <v>15740.328395061731</v>
      </c>
    </row>
    <row r="20" spans="1:35" ht="11.1" customHeight="1">
      <c r="A20" s="13" t="s">
        <v>290</v>
      </c>
      <c r="B20" s="201" t="s">
        <v>345</v>
      </c>
      <c r="C20" s="283">
        <v>0</v>
      </c>
      <c r="D20" s="283">
        <v>0</v>
      </c>
      <c r="E20" s="283">
        <v>0</v>
      </c>
      <c r="F20" s="283">
        <v>0</v>
      </c>
      <c r="G20" s="283">
        <v>0</v>
      </c>
      <c r="H20" s="283">
        <v>0</v>
      </c>
      <c r="I20" s="283">
        <v>0</v>
      </c>
      <c r="J20" s="283">
        <v>0</v>
      </c>
      <c r="K20" s="283">
        <v>0</v>
      </c>
      <c r="L20" s="283">
        <v>0</v>
      </c>
      <c r="M20" s="13" t="s">
        <v>290</v>
      </c>
      <c r="N20" s="201" t="s">
        <v>345</v>
      </c>
      <c r="O20" s="283">
        <v>0</v>
      </c>
      <c r="P20" s="283">
        <v>0</v>
      </c>
      <c r="Q20" s="283">
        <v>0</v>
      </c>
      <c r="R20" s="283">
        <v>0</v>
      </c>
      <c r="S20" s="283">
        <v>0</v>
      </c>
      <c r="T20" s="283">
        <v>0</v>
      </c>
      <c r="U20" s="283">
        <v>0</v>
      </c>
      <c r="V20" s="283">
        <v>0</v>
      </c>
      <c r="W20" s="283">
        <v>0</v>
      </c>
      <c r="X20" s="283">
        <v>0</v>
      </c>
      <c r="Y20" s="13" t="s">
        <v>290</v>
      </c>
      <c r="Z20" s="201" t="s">
        <v>345</v>
      </c>
      <c r="AA20" s="283">
        <v>0</v>
      </c>
      <c r="AB20" s="283">
        <v>0</v>
      </c>
      <c r="AC20" s="283">
        <v>0</v>
      </c>
      <c r="AD20" s="283">
        <v>0</v>
      </c>
      <c r="AE20" s="283">
        <v>0</v>
      </c>
      <c r="AF20" s="283">
        <v>0</v>
      </c>
      <c r="AG20" s="283">
        <v>0</v>
      </c>
      <c r="AH20" s="283">
        <v>0</v>
      </c>
      <c r="AI20" s="283">
        <v>0</v>
      </c>
    </row>
    <row r="21" spans="1:35" ht="11.1" customHeight="1">
      <c r="A21" s="13"/>
      <c r="B21" s="201" t="s">
        <v>351</v>
      </c>
      <c r="C21" s="283">
        <v>0</v>
      </c>
      <c r="D21" s="283">
        <v>0</v>
      </c>
      <c r="E21" s="283">
        <v>0</v>
      </c>
      <c r="F21" s="283">
        <v>0</v>
      </c>
      <c r="G21" s="283">
        <v>0</v>
      </c>
      <c r="H21" s="283">
        <v>0</v>
      </c>
      <c r="I21" s="283">
        <v>0</v>
      </c>
      <c r="J21" s="283">
        <v>0</v>
      </c>
      <c r="K21" s="283">
        <v>0</v>
      </c>
      <c r="L21" s="283">
        <v>0</v>
      </c>
      <c r="M21" s="13"/>
      <c r="N21" s="201" t="s">
        <v>351</v>
      </c>
      <c r="O21" s="283">
        <v>0</v>
      </c>
      <c r="P21" s="283">
        <v>0</v>
      </c>
      <c r="Q21" s="283">
        <v>0</v>
      </c>
      <c r="R21" s="283">
        <v>0</v>
      </c>
      <c r="S21" s="283">
        <v>0</v>
      </c>
      <c r="T21" s="283">
        <v>0</v>
      </c>
      <c r="U21" s="283">
        <v>0</v>
      </c>
      <c r="V21" s="283">
        <v>0</v>
      </c>
      <c r="W21" s="283">
        <v>0</v>
      </c>
      <c r="X21" s="283">
        <v>0</v>
      </c>
      <c r="Y21" s="13"/>
      <c r="Z21" s="201" t="s">
        <v>351</v>
      </c>
      <c r="AA21" s="283">
        <v>0</v>
      </c>
      <c r="AB21" s="283">
        <v>0</v>
      </c>
      <c r="AC21" s="283">
        <v>0</v>
      </c>
      <c r="AD21" s="283">
        <v>0</v>
      </c>
      <c r="AE21" s="283">
        <v>0</v>
      </c>
      <c r="AF21" s="283">
        <v>0</v>
      </c>
      <c r="AG21" s="283">
        <v>0</v>
      </c>
      <c r="AH21" s="283">
        <v>0</v>
      </c>
      <c r="AI21" s="283">
        <v>0</v>
      </c>
    </row>
    <row r="22" spans="1:35" ht="11.1" customHeight="1">
      <c r="A22" s="13" t="s">
        <v>30</v>
      </c>
      <c r="B22" s="201" t="s">
        <v>345</v>
      </c>
      <c r="C22" s="284">
        <v>2005.7415068321429</v>
      </c>
      <c r="D22" s="284">
        <v>1615.2816179526251</v>
      </c>
      <c r="E22" s="284">
        <v>2656.3911489620559</v>
      </c>
      <c r="F22" s="284">
        <v>1832.4232081911262</v>
      </c>
      <c r="G22" s="284">
        <v>2028.4836222035581</v>
      </c>
      <c r="H22" s="284">
        <v>1933.7052932761085</v>
      </c>
      <c r="I22" s="283">
        <v>0</v>
      </c>
      <c r="J22" s="283">
        <v>0</v>
      </c>
      <c r="K22" s="284">
        <v>14600</v>
      </c>
      <c r="L22" s="284">
        <v>20011.764705882353</v>
      </c>
      <c r="M22" s="13" t="s">
        <v>30</v>
      </c>
      <c r="N22" s="201" t="s">
        <v>345</v>
      </c>
      <c r="O22" s="284">
        <v>5601.0101010101016</v>
      </c>
      <c r="P22" s="284">
        <v>13663.883089770356</v>
      </c>
      <c r="Q22" s="283">
        <v>0</v>
      </c>
      <c r="R22" s="284">
        <v>13007.739938080496</v>
      </c>
      <c r="S22" s="284">
        <v>18149.690489589193</v>
      </c>
      <c r="T22" s="284">
        <v>14421.565013404825</v>
      </c>
      <c r="U22" s="284">
        <v>8622.4827297467036</v>
      </c>
      <c r="V22" s="284">
        <v>6118.75</v>
      </c>
      <c r="W22" s="284">
        <v>9561.6605616605611</v>
      </c>
      <c r="X22" s="284">
        <v>8674.2017519073179</v>
      </c>
      <c r="Y22" s="13" t="s">
        <v>30</v>
      </c>
      <c r="Z22" s="201" t="s">
        <v>345</v>
      </c>
      <c r="AA22" s="283">
        <v>0</v>
      </c>
      <c r="AB22" s="284">
        <v>1615.6814052089644</v>
      </c>
      <c r="AC22" s="283">
        <v>0</v>
      </c>
      <c r="AD22" s="284">
        <v>2013.1269510926115</v>
      </c>
      <c r="AE22" s="284">
        <v>1445.9267241379309</v>
      </c>
      <c r="AF22" s="283">
        <v>0</v>
      </c>
      <c r="AG22" s="283">
        <v>0</v>
      </c>
      <c r="AH22" s="284">
        <v>19779.043280182232</v>
      </c>
      <c r="AI22" s="284">
        <v>21998.781492046706</v>
      </c>
    </row>
    <row r="23" spans="1:35" ht="11.1" customHeight="1">
      <c r="A23" s="13"/>
      <c r="B23" s="201" t="s">
        <v>351</v>
      </c>
      <c r="C23" s="284">
        <v>2009.6489074392339</v>
      </c>
      <c r="D23" s="284">
        <v>1685.6258596973864</v>
      </c>
      <c r="E23" s="284">
        <v>2797.7974321262473</v>
      </c>
      <c r="F23" s="284">
        <v>1989.5895895895894</v>
      </c>
      <c r="G23" s="284">
        <v>2044.1885648281834</v>
      </c>
      <c r="H23" s="284">
        <v>2918.6714542190307</v>
      </c>
      <c r="I23" s="283">
        <v>0</v>
      </c>
      <c r="J23" s="283">
        <v>0</v>
      </c>
      <c r="K23" s="284">
        <v>17382.978723404256</v>
      </c>
      <c r="L23" s="284">
        <v>20212.5</v>
      </c>
      <c r="M23" s="13"/>
      <c r="N23" s="201" t="s">
        <v>351</v>
      </c>
      <c r="O23" s="284">
        <v>6008.0091533180776</v>
      </c>
      <c r="P23" s="284">
        <v>13041.818181818182</v>
      </c>
      <c r="Q23" s="283">
        <v>0</v>
      </c>
      <c r="R23" s="284">
        <v>13977.272727272726</v>
      </c>
      <c r="S23" s="284">
        <v>17375.4816955684</v>
      </c>
      <c r="T23" s="284">
        <v>14291.189804553698</v>
      </c>
      <c r="U23" s="284">
        <v>9134.6466287571093</v>
      </c>
      <c r="V23" s="284">
        <v>4763.3802816901416</v>
      </c>
      <c r="W23" s="284">
        <v>9897.5286317058453</v>
      </c>
      <c r="X23" s="284">
        <v>9211.4302635475269</v>
      </c>
      <c r="Y23" s="13"/>
      <c r="Z23" s="201" t="s">
        <v>351</v>
      </c>
      <c r="AA23" s="283">
        <v>0</v>
      </c>
      <c r="AB23" s="284">
        <v>1653.9186507936511</v>
      </c>
      <c r="AC23" s="283">
        <v>0</v>
      </c>
      <c r="AD23" s="284">
        <v>2060.4753428960316</v>
      </c>
      <c r="AE23" s="284">
        <v>1488.8570062171209</v>
      </c>
      <c r="AF23" s="283">
        <v>0</v>
      </c>
      <c r="AG23" s="283">
        <v>0</v>
      </c>
      <c r="AH23" s="284">
        <v>19207.056638811511</v>
      </c>
      <c r="AI23" s="284">
        <v>22478.296685888094</v>
      </c>
    </row>
    <row r="24" spans="1:35" ht="11.1" customHeight="1">
      <c r="A24" s="13" t="s">
        <v>31</v>
      </c>
      <c r="B24" s="201" t="s">
        <v>345</v>
      </c>
      <c r="C24" s="284">
        <v>1518.351495478785</v>
      </c>
      <c r="D24" s="284">
        <v>1745.8333333333333</v>
      </c>
      <c r="E24" s="284">
        <v>1952.4249825540821</v>
      </c>
      <c r="F24" s="283">
        <v>0</v>
      </c>
      <c r="G24" s="284">
        <v>1617.6523985755182</v>
      </c>
      <c r="H24" s="284">
        <v>1234.2796092796093</v>
      </c>
      <c r="I24" s="283">
        <v>0</v>
      </c>
      <c r="J24" s="283">
        <v>0</v>
      </c>
      <c r="K24" s="284">
        <v>8471.4285714285706</v>
      </c>
      <c r="L24" s="284">
        <v>11818.246445497631</v>
      </c>
      <c r="M24" s="13" t="s">
        <v>31</v>
      </c>
      <c r="N24" s="201" t="s">
        <v>345</v>
      </c>
      <c r="O24" s="284">
        <v>3889.0121975604879</v>
      </c>
      <c r="P24" s="284">
        <v>7448.484848484849</v>
      </c>
      <c r="Q24" s="284">
        <v>5418.0000000000009</v>
      </c>
      <c r="R24" s="284">
        <v>7062.5</v>
      </c>
      <c r="S24" s="284">
        <v>9660.1503759398474</v>
      </c>
      <c r="T24" s="284">
        <v>12396.896145925271</v>
      </c>
      <c r="U24" s="283">
        <v>0</v>
      </c>
      <c r="V24" s="284">
        <v>6385.7142857142853</v>
      </c>
      <c r="W24" s="284">
        <v>5686.7943548387093</v>
      </c>
      <c r="X24" s="284">
        <v>5820.2471284371741</v>
      </c>
      <c r="Y24" s="13" t="s">
        <v>31</v>
      </c>
      <c r="Z24" s="201" t="s">
        <v>345</v>
      </c>
      <c r="AA24" s="283">
        <v>0</v>
      </c>
      <c r="AB24" s="284">
        <v>2060.5921601334444</v>
      </c>
      <c r="AC24" s="283">
        <v>0</v>
      </c>
      <c r="AD24" s="284">
        <v>1623.875786163522</v>
      </c>
      <c r="AE24" s="284">
        <v>1651.5620718004934</v>
      </c>
      <c r="AF24" s="283">
        <v>0</v>
      </c>
      <c r="AG24" s="283">
        <v>0</v>
      </c>
      <c r="AH24" s="283">
        <v>0</v>
      </c>
      <c r="AI24" s="284">
        <v>14041.397495056031</v>
      </c>
    </row>
    <row r="25" spans="1:35" ht="11.1" customHeight="1">
      <c r="A25" s="13"/>
      <c r="B25" s="201" t="s">
        <v>351</v>
      </c>
      <c r="C25" s="284">
        <v>1542.4700299700298</v>
      </c>
      <c r="D25" s="284">
        <v>1422.8637413394922</v>
      </c>
      <c r="E25" s="284">
        <v>1942.3485127826948</v>
      </c>
      <c r="F25" s="283">
        <v>0</v>
      </c>
      <c r="G25" s="284">
        <v>1624.343667085602</v>
      </c>
      <c r="H25" s="284">
        <v>1527.0296391752579</v>
      </c>
      <c r="I25" s="283">
        <v>0</v>
      </c>
      <c r="J25" s="283">
        <v>0</v>
      </c>
      <c r="K25" s="284">
        <v>8573.170731707316</v>
      </c>
      <c r="L25" s="284">
        <v>16951.708428246013</v>
      </c>
      <c r="M25" s="13"/>
      <c r="N25" s="201" t="s">
        <v>351</v>
      </c>
      <c r="O25" s="284">
        <v>4078.1782829793592</v>
      </c>
      <c r="P25" s="284">
        <v>11438.636363636362</v>
      </c>
      <c r="Q25" s="284">
        <v>7992.4137931034484</v>
      </c>
      <c r="R25" s="284">
        <v>6315</v>
      </c>
      <c r="S25" s="284">
        <v>9659.0773809523816</v>
      </c>
      <c r="T25" s="284">
        <v>13543.091491064282</v>
      </c>
      <c r="U25" s="283">
        <v>0</v>
      </c>
      <c r="V25" s="284">
        <v>6166.6666666666679</v>
      </c>
      <c r="W25" s="284">
        <v>5331.8540433925045</v>
      </c>
      <c r="X25" s="284">
        <v>6329.3758480325632</v>
      </c>
      <c r="Y25" s="13"/>
      <c r="Z25" s="201" t="s">
        <v>351</v>
      </c>
      <c r="AA25" s="283">
        <v>0</v>
      </c>
      <c r="AB25" s="284">
        <v>1977.1758703481389</v>
      </c>
      <c r="AC25" s="283">
        <v>1850</v>
      </c>
      <c r="AD25" s="284">
        <v>1736.2273807347831</v>
      </c>
      <c r="AE25" s="284">
        <v>1656.4154469012772</v>
      </c>
      <c r="AF25" s="283">
        <v>0</v>
      </c>
      <c r="AG25" s="283">
        <v>0</v>
      </c>
      <c r="AH25" s="283">
        <v>11736.842105263158</v>
      </c>
      <c r="AI25" s="284">
        <v>18459.529211571185</v>
      </c>
    </row>
    <row r="26" spans="1:35" ht="11.1" customHeight="1">
      <c r="A26" s="13" t="s">
        <v>153</v>
      </c>
      <c r="B26" s="201" t="s">
        <v>345</v>
      </c>
      <c r="C26" s="284">
        <v>1523.495883470551</v>
      </c>
      <c r="D26" s="284">
        <v>4158.7749782797573</v>
      </c>
      <c r="E26" s="284">
        <v>1160.8219830983851</v>
      </c>
      <c r="F26" s="284">
        <v>5834.7519202823341</v>
      </c>
      <c r="G26" s="284">
        <v>1467.4806674806675</v>
      </c>
      <c r="H26" s="284">
        <v>973.56143079315689</v>
      </c>
      <c r="I26" s="284">
        <v>4784.8341232227494</v>
      </c>
      <c r="J26" s="283">
        <v>0</v>
      </c>
      <c r="K26" s="284">
        <v>16153.846153846152</v>
      </c>
      <c r="L26" s="284">
        <v>26872.593950504124</v>
      </c>
      <c r="M26" s="13" t="s">
        <v>153</v>
      </c>
      <c r="N26" s="201" t="s">
        <v>345</v>
      </c>
      <c r="O26" s="284">
        <v>6033.5441297772895</v>
      </c>
      <c r="P26" s="284">
        <v>20551.068883610453</v>
      </c>
      <c r="Q26" s="284">
        <v>5342.8571428571422</v>
      </c>
      <c r="R26" s="284">
        <v>13698.795180722891</v>
      </c>
      <c r="S26" s="284">
        <v>8081.9388343912287</v>
      </c>
      <c r="T26" s="284">
        <v>14429.865932812514</v>
      </c>
      <c r="U26" s="284">
        <v>13259.959486833221</v>
      </c>
      <c r="V26" s="284">
        <v>14250.602409638555</v>
      </c>
      <c r="W26" s="284">
        <v>7104.5655375552278</v>
      </c>
      <c r="X26" s="284">
        <v>10040.665434380775</v>
      </c>
      <c r="Y26" s="13" t="s">
        <v>153</v>
      </c>
      <c r="Z26" s="201" t="s">
        <v>345</v>
      </c>
      <c r="AA26" s="283">
        <v>0</v>
      </c>
      <c r="AB26" s="284">
        <v>1308.1279657125365</v>
      </c>
      <c r="AC26" s="283">
        <v>0</v>
      </c>
      <c r="AD26" s="284">
        <v>1120.2321017151635</v>
      </c>
      <c r="AE26" s="284">
        <v>1187.8659491193737</v>
      </c>
      <c r="AF26" s="283">
        <v>0</v>
      </c>
      <c r="AG26" s="284">
        <v>22239.520958083835</v>
      </c>
      <c r="AH26" s="283">
        <v>0</v>
      </c>
      <c r="AI26" s="284">
        <v>15997.64705882353</v>
      </c>
    </row>
    <row r="27" spans="1:35" ht="11.1" customHeight="1">
      <c r="A27" s="13"/>
      <c r="B27" s="201" t="s">
        <v>351</v>
      </c>
      <c r="C27" s="284">
        <v>1504.9711550263901</v>
      </c>
      <c r="D27" s="284">
        <v>3886.561329206711</v>
      </c>
      <c r="E27" s="284">
        <v>1236.0243597751405</v>
      </c>
      <c r="F27" s="284">
        <v>5770.7447998210691</v>
      </c>
      <c r="G27" s="284">
        <v>1549.8360655737704</v>
      </c>
      <c r="H27" s="284">
        <v>1086.5122615803814</v>
      </c>
      <c r="I27" s="284">
        <v>4561.0619469026551</v>
      </c>
      <c r="J27" s="283">
        <v>0</v>
      </c>
      <c r="K27" s="284">
        <v>16476.683937823836</v>
      </c>
      <c r="L27" s="284">
        <v>27905.471026222076</v>
      </c>
      <c r="M27" s="13"/>
      <c r="N27" s="201" t="s">
        <v>351</v>
      </c>
      <c r="O27" s="284">
        <v>6085.0296315382629</v>
      </c>
      <c r="P27" s="284">
        <v>21187.05035971223</v>
      </c>
      <c r="Q27" s="284">
        <v>5608.695652173913</v>
      </c>
      <c r="R27" s="284">
        <v>13596.491228070174</v>
      </c>
      <c r="S27" s="284">
        <v>8523.6122618061308</v>
      </c>
      <c r="T27" s="284">
        <v>14913.429945007436</v>
      </c>
      <c r="U27" s="284">
        <v>14161.459212970782</v>
      </c>
      <c r="V27" s="284">
        <v>14036.363636363638</v>
      </c>
      <c r="W27" s="284">
        <v>7117.9068977234119</v>
      </c>
      <c r="X27" s="284">
        <v>10326.484660849985</v>
      </c>
      <c r="Y27" s="13"/>
      <c r="Z27" s="201" t="s">
        <v>351</v>
      </c>
      <c r="AA27" s="283">
        <v>0</v>
      </c>
      <c r="AB27" s="284">
        <v>1420.6046375110068</v>
      </c>
      <c r="AC27" s="283">
        <v>0</v>
      </c>
      <c r="AD27" s="284">
        <v>1202.6931254429483</v>
      </c>
      <c r="AE27" s="284">
        <v>1230.6277305127614</v>
      </c>
      <c r="AF27" s="283">
        <v>0</v>
      </c>
      <c r="AG27" s="284">
        <v>22232.380952380954</v>
      </c>
      <c r="AH27" s="283">
        <v>12608.695652173912</v>
      </c>
      <c r="AI27" s="284">
        <v>16177.16685757923</v>
      </c>
    </row>
    <row r="28" spans="1:35" ht="11.1" customHeight="1">
      <c r="A28" s="13" t="s">
        <v>32</v>
      </c>
      <c r="B28" s="201" t="s">
        <v>345</v>
      </c>
      <c r="C28" s="284">
        <v>2613.04347826087</v>
      </c>
      <c r="D28" s="284">
        <v>9171.2073140185366</v>
      </c>
      <c r="E28" s="284">
        <v>5474.2857142857138</v>
      </c>
      <c r="F28" s="283">
        <v>0</v>
      </c>
      <c r="G28" s="284">
        <v>2903.6842105263163</v>
      </c>
      <c r="H28" s="284">
        <v>3150</v>
      </c>
      <c r="I28" s="284">
        <v>20792.790697674416</v>
      </c>
      <c r="J28" s="283">
        <v>0</v>
      </c>
      <c r="K28" s="284">
        <v>101069.38202247191</v>
      </c>
      <c r="L28" s="284">
        <v>33499.676175790286</v>
      </c>
      <c r="M28" s="13" t="s">
        <v>32</v>
      </c>
      <c r="N28" s="201" t="s">
        <v>345</v>
      </c>
      <c r="O28" s="284">
        <v>3639.0769230769233</v>
      </c>
      <c r="P28" s="283">
        <v>17850</v>
      </c>
      <c r="Q28" s="283">
        <v>11050</v>
      </c>
      <c r="R28" s="284">
        <v>59627.627599243868</v>
      </c>
      <c r="S28" s="284">
        <v>9391.4255639097755</v>
      </c>
      <c r="T28" s="284">
        <v>34985.866666666669</v>
      </c>
      <c r="U28" s="284">
        <v>21832.085561497326</v>
      </c>
      <c r="V28" s="284">
        <v>23586.801346801349</v>
      </c>
      <c r="W28" s="283">
        <v>2254.5454545454545</v>
      </c>
      <c r="X28" s="284">
        <v>0</v>
      </c>
      <c r="Y28" s="13" t="s">
        <v>32</v>
      </c>
      <c r="Z28" s="201" t="s">
        <v>345</v>
      </c>
      <c r="AA28" s="284">
        <v>6352.2015915119355</v>
      </c>
      <c r="AB28" s="284">
        <v>1797.8181818181818</v>
      </c>
      <c r="AC28" s="284">
        <v>1115.1971326164874</v>
      </c>
      <c r="AD28" s="283">
        <v>0</v>
      </c>
      <c r="AE28" s="283">
        <v>0</v>
      </c>
      <c r="AF28" s="283">
        <v>0</v>
      </c>
      <c r="AG28" s="284">
        <v>0</v>
      </c>
      <c r="AH28" s="283">
        <v>0</v>
      </c>
      <c r="AI28" s="283">
        <v>0</v>
      </c>
    </row>
    <row r="29" spans="1:35" ht="11.1" customHeight="1">
      <c r="A29" s="13"/>
      <c r="B29" s="201" t="s">
        <v>351</v>
      </c>
      <c r="C29" s="283">
        <v>2585.0666666666666</v>
      </c>
      <c r="D29" s="284">
        <v>9277.5809361888823</v>
      </c>
      <c r="E29" s="284">
        <v>3970.0338983050851</v>
      </c>
      <c r="F29" s="283">
        <v>0</v>
      </c>
      <c r="G29" s="283">
        <v>3015.4722222222222</v>
      </c>
      <c r="H29" s="284">
        <v>3339.7999999999993</v>
      </c>
      <c r="I29" s="284">
        <v>22412.116071428569</v>
      </c>
      <c r="J29" s="283">
        <v>0</v>
      </c>
      <c r="K29" s="284">
        <v>97809.762422360247</v>
      </c>
      <c r="L29" s="284">
        <v>32922.541963015647</v>
      </c>
      <c r="M29" s="13"/>
      <c r="N29" s="201" t="s">
        <v>351</v>
      </c>
      <c r="O29" s="284">
        <v>3691.6307692307696</v>
      </c>
      <c r="P29" s="284">
        <v>8900</v>
      </c>
      <c r="Q29" s="283">
        <v>0</v>
      </c>
      <c r="R29" s="284">
        <v>59902.092721834495</v>
      </c>
      <c r="S29" s="284">
        <v>9798.0114722753351</v>
      </c>
      <c r="T29" s="284">
        <v>34014.147627416525</v>
      </c>
      <c r="U29" s="284">
        <v>23619.8125</v>
      </c>
      <c r="V29" s="284">
        <v>24970.868758915833</v>
      </c>
      <c r="W29" s="283">
        <v>0</v>
      </c>
      <c r="X29" s="284">
        <v>3412.5</v>
      </c>
      <c r="Y29" s="13"/>
      <c r="Z29" s="201" t="s">
        <v>351</v>
      </c>
      <c r="AA29" s="284">
        <v>6279.1314741035849</v>
      </c>
      <c r="AB29" s="284">
        <v>1815.2340425531916</v>
      </c>
      <c r="AC29" s="284">
        <v>1290.2870928829914</v>
      </c>
      <c r="AD29" s="283">
        <v>0</v>
      </c>
      <c r="AE29" s="283">
        <v>0</v>
      </c>
      <c r="AF29" s="283">
        <v>0</v>
      </c>
      <c r="AG29" s="284">
        <v>0</v>
      </c>
      <c r="AH29" s="283">
        <v>0</v>
      </c>
      <c r="AI29" s="283">
        <v>0</v>
      </c>
    </row>
    <row r="30" spans="1:35" ht="11.1" customHeight="1">
      <c r="A30" s="13" t="s">
        <v>154</v>
      </c>
      <c r="B30" s="201" t="s">
        <v>345</v>
      </c>
      <c r="C30" s="284">
        <v>2164.7346002621234</v>
      </c>
      <c r="D30" s="284">
        <v>4062.4154589371983</v>
      </c>
      <c r="E30" s="284">
        <v>1786.6844989561589</v>
      </c>
      <c r="F30" s="284">
        <v>3207.4363992172212</v>
      </c>
      <c r="G30" s="284">
        <v>1957.9833085629359</v>
      </c>
      <c r="H30" s="284">
        <v>1905.1755175517553</v>
      </c>
      <c r="I30" s="284">
        <v>6453.1791907514444</v>
      </c>
      <c r="J30" s="283">
        <v>0</v>
      </c>
      <c r="K30" s="284">
        <v>11480</v>
      </c>
      <c r="L30" s="284">
        <v>13517.441860465116</v>
      </c>
      <c r="M30" s="13" t="s">
        <v>154</v>
      </c>
      <c r="N30" s="201" t="s">
        <v>345</v>
      </c>
      <c r="O30" s="284">
        <v>6636.6721098225898</v>
      </c>
      <c r="P30" s="284">
        <v>24570.4845814978</v>
      </c>
      <c r="Q30" s="284">
        <v>9142.2657952069712</v>
      </c>
      <c r="R30" s="284">
        <v>19601.515151515152</v>
      </c>
      <c r="S30" s="284">
        <v>12208.588479501816</v>
      </c>
      <c r="T30" s="284">
        <v>15974.833650555127</v>
      </c>
      <c r="U30" s="284">
        <v>14649.008020261714</v>
      </c>
      <c r="V30" s="283">
        <v>0</v>
      </c>
      <c r="W30" s="284">
        <v>6524.0484429065746</v>
      </c>
      <c r="X30" s="284">
        <v>6620.9509327597079</v>
      </c>
      <c r="Y30" s="13" t="s">
        <v>154</v>
      </c>
      <c r="Z30" s="201" t="s">
        <v>345</v>
      </c>
      <c r="AA30" s="283">
        <v>0</v>
      </c>
      <c r="AB30" s="284">
        <v>916.6071116292627</v>
      </c>
      <c r="AC30" s="283">
        <v>0</v>
      </c>
      <c r="AD30" s="284">
        <v>1962.9011882426519</v>
      </c>
      <c r="AE30" s="284">
        <v>1961.360718870347</v>
      </c>
      <c r="AF30" s="283">
        <v>0</v>
      </c>
      <c r="AG30" s="283">
        <v>0</v>
      </c>
      <c r="AH30" s="284">
        <v>17302.298850574713</v>
      </c>
      <c r="AI30" s="284">
        <v>16819.594067135051</v>
      </c>
    </row>
    <row r="31" spans="1:35" ht="11.1" customHeight="1">
      <c r="A31" s="13"/>
      <c r="B31" s="201" t="s">
        <v>351</v>
      </c>
      <c r="C31" s="284">
        <v>2349.2516037063433</v>
      </c>
      <c r="D31" s="284">
        <v>3949.1215424813049</v>
      </c>
      <c r="E31" s="284">
        <v>1937.2743670362399</v>
      </c>
      <c r="F31" s="284">
        <v>3052.7575442247662</v>
      </c>
      <c r="G31" s="284">
        <v>2104.9587337478802</v>
      </c>
      <c r="H31" s="284">
        <v>2225.4825462012313</v>
      </c>
      <c r="I31" s="284">
        <v>6372.4637681159429</v>
      </c>
      <c r="J31" s="283">
        <v>0</v>
      </c>
      <c r="K31" s="284">
        <v>11966.666666666666</v>
      </c>
      <c r="L31" s="284">
        <v>14146.153846153844</v>
      </c>
      <c r="M31" s="13"/>
      <c r="N31" s="201" t="s">
        <v>351</v>
      </c>
      <c r="O31" s="284">
        <v>7089.0992541594942</v>
      </c>
      <c r="P31" s="284">
        <v>25214.840182648397</v>
      </c>
      <c r="Q31" s="284">
        <v>9474.5222929936299</v>
      </c>
      <c r="R31" s="284">
        <v>20423.2</v>
      </c>
      <c r="S31" s="284">
        <v>13128.510758776898</v>
      </c>
      <c r="T31" s="284">
        <v>17220.622276988073</v>
      </c>
      <c r="U31" s="284">
        <v>14423.09925798473</v>
      </c>
      <c r="V31" s="283">
        <v>0</v>
      </c>
      <c r="W31" s="284">
        <v>6836.267605633805</v>
      </c>
      <c r="X31" s="284">
        <v>7282.867924528301</v>
      </c>
      <c r="Y31" s="13"/>
      <c r="Z31" s="201" t="s">
        <v>351</v>
      </c>
      <c r="AA31" s="283">
        <v>0</v>
      </c>
      <c r="AB31" s="284">
        <v>981.74498746867164</v>
      </c>
      <c r="AC31" s="283">
        <v>0</v>
      </c>
      <c r="AD31" s="284">
        <v>2105.2391799544421</v>
      </c>
      <c r="AE31" s="284">
        <v>2073.1678082191779</v>
      </c>
      <c r="AF31" s="283">
        <v>0</v>
      </c>
      <c r="AG31" s="283">
        <v>0</v>
      </c>
      <c r="AH31" s="284">
        <v>18753.594594594597</v>
      </c>
      <c r="AI31" s="284">
        <v>18834.263453524192</v>
      </c>
    </row>
    <row r="32" spans="1:35" ht="11.1" customHeight="1">
      <c r="A32" s="13" t="s">
        <v>33</v>
      </c>
      <c r="B32" s="201" t="s">
        <v>345</v>
      </c>
      <c r="C32" s="284">
        <v>2045.3036087301016</v>
      </c>
      <c r="D32" s="284">
        <v>8748.5073886740047</v>
      </c>
      <c r="E32" s="284">
        <v>1679.1504719600225</v>
      </c>
      <c r="F32" s="284">
        <v>12245.70108349267</v>
      </c>
      <c r="G32" s="284">
        <v>2112.601309356095</v>
      </c>
      <c r="H32" s="284">
        <v>1300.1570680628272</v>
      </c>
      <c r="I32" s="284">
        <v>24733.215547703181</v>
      </c>
      <c r="J32" s="284">
        <v>31423.076923076922</v>
      </c>
      <c r="K32" s="284">
        <v>29785.227272727272</v>
      </c>
      <c r="L32" s="284">
        <v>29594.377510040162</v>
      </c>
      <c r="M32" s="13" t="s">
        <v>33</v>
      </c>
      <c r="N32" s="201" t="s">
        <v>345</v>
      </c>
      <c r="O32" s="284">
        <v>3010.6238859180035</v>
      </c>
      <c r="P32" s="284">
        <v>18426.376440460946</v>
      </c>
      <c r="Q32" s="284">
        <v>8751.685393258429</v>
      </c>
      <c r="R32" s="284">
        <v>41780.653950953674</v>
      </c>
      <c r="S32" s="284">
        <v>11488.086253369271</v>
      </c>
      <c r="T32" s="284">
        <v>20857.562006290667</v>
      </c>
      <c r="U32" s="284">
        <v>14939.124999999998</v>
      </c>
      <c r="V32" s="284">
        <v>13979.325842696628</v>
      </c>
      <c r="W32" s="284">
        <v>6173.804573804573</v>
      </c>
      <c r="X32" s="284">
        <v>6148.0821917808225</v>
      </c>
      <c r="Y32" s="13" t="s">
        <v>33</v>
      </c>
      <c r="Z32" s="201" t="s">
        <v>345</v>
      </c>
      <c r="AA32" s="284">
        <v>9320.5128205128203</v>
      </c>
      <c r="AB32" s="284">
        <v>1428.7429451000512</v>
      </c>
      <c r="AC32" s="284">
        <v>1625</v>
      </c>
      <c r="AD32" s="284">
        <v>1318.1154754239108</v>
      </c>
      <c r="AE32" s="284">
        <v>1115.7484154071183</v>
      </c>
      <c r="AF32" s="284">
        <v>139952.98197508132</v>
      </c>
      <c r="AG32" s="284">
        <v>55534.623217922606</v>
      </c>
      <c r="AH32" s="284">
        <v>15000</v>
      </c>
      <c r="AI32" s="284">
        <v>14916.886047386235</v>
      </c>
    </row>
    <row r="33" spans="1:35" ht="11.1" customHeight="1">
      <c r="A33" s="13"/>
      <c r="B33" s="201" t="s">
        <v>351</v>
      </c>
      <c r="C33" s="284">
        <v>2315.2810372023237</v>
      </c>
      <c r="D33" s="284">
        <v>8834.3618898669556</v>
      </c>
      <c r="E33" s="284">
        <v>1711.6003021474046</v>
      </c>
      <c r="F33" s="284">
        <v>11500.580263551961</v>
      </c>
      <c r="G33" s="284">
        <v>2457.5485894745766</v>
      </c>
      <c r="H33" s="284">
        <v>1310.3768714506971</v>
      </c>
      <c r="I33" s="284">
        <v>23339.615384615387</v>
      </c>
      <c r="J33" s="284">
        <v>30087.524752475249</v>
      </c>
      <c r="K33" s="284">
        <v>27153.135313531351</v>
      </c>
      <c r="L33" s="284">
        <v>30441.207349081367</v>
      </c>
      <c r="M33" s="13"/>
      <c r="N33" s="201" t="s">
        <v>351</v>
      </c>
      <c r="O33" s="284">
        <v>3171.8537690067942</v>
      </c>
      <c r="P33" s="284">
        <v>17171.190781049932</v>
      </c>
      <c r="Q33" s="284">
        <v>8511.2391930835729</v>
      </c>
      <c r="R33" s="284">
        <v>41178.503688092729</v>
      </c>
      <c r="S33" s="284">
        <v>11835.500878734623</v>
      </c>
      <c r="T33" s="284">
        <v>22663.46775487746</v>
      </c>
      <c r="U33" s="284">
        <v>16578.602305475502</v>
      </c>
      <c r="V33" s="284">
        <v>14646.292947558772</v>
      </c>
      <c r="W33" s="284">
        <v>6231.6964285714294</v>
      </c>
      <c r="X33" s="284">
        <v>6252.9683377308711</v>
      </c>
      <c r="Y33" s="13"/>
      <c r="Z33" s="201" t="s">
        <v>351</v>
      </c>
      <c r="AA33" s="284">
        <v>10000</v>
      </c>
      <c r="AB33" s="284">
        <v>1473.5844350212021</v>
      </c>
      <c r="AC33" s="283">
        <v>0</v>
      </c>
      <c r="AD33" s="284">
        <v>1323.9964016642302</v>
      </c>
      <c r="AE33" s="284">
        <v>1190.1036525172751</v>
      </c>
      <c r="AF33" s="284">
        <v>126183.39796920736</v>
      </c>
      <c r="AG33" s="284">
        <v>53305.080664579822</v>
      </c>
      <c r="AH33" s="284">
        <v>15000</v>
      </c>
      <c r="AI33" s="284">
        <v>14763.307310149041</v>
      </c>
    </row>
    <row r="34" spans="1:35" ht="11.1" customHeight="1">
      <c r="A34" s="13" t="s">
        <v>34</v>
      </c>
      <c r="B34" s="201" t="s">
        <v>345</v>
      </c>
      <c r="C34" s="284">
        <v>939.83859134262661</v>
      </c>
      <c r="D34" s="284">
        <v>6422.4226804123709</v>
      </c>
      <c r="E34" s="284">
        <v>1777.6659959758551</v>
      </c>
      <c r="F34" s="284">
        <v>8760.3959176129938</v>
      </c>
      <c r="G34" s="284">
        <v>893.75</v>
      </c>
      <c r="H34" s="283">
        <v>1200</v>
      </c>
      <c r="I34" s="284">
        <v>10166.666666666666</v>
      </c>
      <c r="J34" s="283">
        <v>0</v>
      </c>
      <c r="K34" s="284">
        <v>24063.492063492064</v>
      </c>
      <c r="L34" s="284">
        <v>26729.72972972973</v>
      </c>
      <c r="M34" s="13" t="s">
        <v>34</v>
      </c>
      <c r="N34" s="201" t="s">
        <v>345</v>
      </c>
      <c r="O34" s="284">
        <v>2290.6976744186049</v>
      </c>
      <c r="P34" s="284">
        <v>11207.54716981132</v>
      </c>
      <c r="Q34" s="283">
        <v>0</v>
      </c>
      <c r="R34" s="284">
        <v>32407.801418439718</v>
      </c>
      <c r="S34" s="284">
        <v>7324.3498817966902</v>
      </c>
      <c r="T34" s="284">
        <v>6968.8172043010754</v>
      </c>
      <c r="U34" s="284">
        <v>11648.734177215189</v>
      </c>
      <c r="V34" s="284">
        <v>12878.510378510378</v>
      </c>
      <c r="W34" s="284">
        <v>2087.5</v>
      </c>
      <c r="X34" s="284">
        <v>2411.8942731277534</v>
      </c>
      <c r="Y34" s="13" t="s">
        <v>34</v>
      </c>
      <c r="Z34" s="201" t="s">
        <v>345</v>
      </c>
      <c r="AA34" s="284">
        <v>4500</v>
      </c>
      <c r="AB34" s="284">
        <v>750</v>
      </c>
      <c r="AC34" s="284">
        <v>1323.8636363636365</v>
      </c>
      <c r="AD34" s="284">
        <v>661.875</v>
      </c>
      <c r="AE34" s="284">
        <v>1043.9024390243903</v>
      </c>
      <c r="AF34" s="284">
        <v>96729.236592570916</v>
      </c>
      <c r="AG34" s="284">
        <v>30104.046242774566</v>
      </c>
      <c r="AH34" s="283">
        <v>0</v>
      </c>
      <c r="AI34" s="283">
        <v>0</v>
      </c>
    </row>
    <row r="35" spans="1:35" ht="11.1" customHeight="1">
      <c r="A35" s="13"/>
      <c r="B35" s="201" t="s">
        <v>351</v>
      </c>
      <c r="C35" s="284">
        <v>805.66037735849056</v>
      </c>
      <c r="D35" s="284">
        <v>6684.0736445346474</v>
      </c>
      <c r="E35" s="284">
        <v>1496.7845659163988</v>
      </c>
      <c r="F35" s="284">
        <v>8731.5677796460877</v>
      </c>
      <c r="G35" s="284">
        <v>800</v>
      </c>
      <c r="H35" s="283">
        <v>0</v>
      </c>
      <c r="I35" s="284">
        <v>0</v>
      </c>
      <c r="J35" s="283">
        <v>37000</v>
      </c>
      <c r="K35" s="284">
        <v>22825</v>
      </c>
      <c r="L35" s="284">
        <v>22325</v>
      </c>
      <c r="M35" s="13"/>
      <c r="N35" s="201" t="s">
        <v>351</v>
      </c>
      <c r="O35" s="284">
        <v>2253.4818941504182</v>
      </c>
      <c r="P35" s="284">
        <v>11437.5</v>
      </c>
      <c r="Q35" s="283">
        <v>0</v>
      </c>
      <c r="R35" s="284">
        <v>45813.765182186238</v>
      </c>
      <c r="S35" s="284">
        <v>6572.1024258760108</v>
      </c>
      <c r="T35" s="284">
        <v>5709.333333333333</v>
      </c>
      <c r="U35" s="284">
        <v>10630.208333333334</v>
      </c>
      <c r="V35" s="284">
        <v>12433.789954337901</v>
      </c>
      <c r="W35" s="283">
        <v>0</v>
      </c>
      <c r="X35" s="284">
        <v>2000</v>
      </c>
      <c r="Y35" s="13"/>
      <c r="Z35" s="201" t="s">
        <v>351</v>
      </c>
      <c r="AA35" s="284">
        <v>9000</v>
      </c>
      <c r="AB35" s="284">
        <v>1299.5798319327732</v>
      </c>
      <c r="AC35" s="284">
        <v>189.18918918918919</v>
      </c>
      <c r="AD35" s="284">
        <v>795.76923076923083</v>
      </c>
      <c r="AE35" s="284">
        <v>904.3478260869565</v>
      </c>
      <c r="AF35" s="284">
        <v>94235.68606793409</v>
      </c>
      <c r="AG35" s="284">
        <v>31984.20533070089</v>
      </c>
      <c r="AH35" s="283">
        <v>0</v>
      </c>
      <c r="AI35" s="283">
        <v>0</v>
      </c>
    </row>
    <row r="36" spans="1:35" ht="11.1" customHeight="1">
      <c r="A36" s="13" t="s">
        <v>35</v>
      </c>
      <c r="B36" s="201" t="s">
        <v>345</v>
      </c>
      <c r="C36" s="284">
        <v>1595.4143201930813</v>
      </c>
      <c r="D36" s="284">
        <v>9770.4640151515141</v>
      </c>
      <c r="E36" s="284">
        <v>2757.5096899224814</v>
      </c>
      <c r="F36" s="283">
        <v>0</v>
      </c>
      <c r="G36" s="284">
        <v>1964.7058823529405</v>
      </c>
      <c r="H36" s="284">
        <v>7700</v>
      </c>
      <c r="I36" s="284">
        <v>9194.0350877192977</v>
      </c>
      <c r="J36" s="283">
        <v>5000</v>
      </c>
      <c r="K36" s="284">
        <v>29667.088607594942</v>
      </c>
      <c r="L36" s="284">
        <v>27215.416666666664</v>
      </c>
      <c r="M36" s="13" t="s">
        <v>35</v>
      </c>
      <c r="N36" s="201" t="s">
        <v>345</v>
      </c>
      <c r="O36" s="284">
        <v>4214.4067796610161</v>
      </c>
      <c r="P36" s="284">
        <v>23630.895741556535</v>
      </c>
      <c r="Q36" s="284">
        <v>8706.741573033707</v>
      </c>
      <c r="R36" s="284">
        <v>29478.588235294123</v>
      </c>
      <c r="S36" s="284">
        <v>16131.516587677726</v>
      </c>
      <c r="T36" s="284">
        <v>21532.483905199864</v>
      </c>
      <c r="U36" s="284">
        <v>34836.339165545091</v>
      </c>
      <c r="V36" s="284">
        <v>21888.364249578412</v>
      </c>
      <c r="W36" s="284">
        <v>2760.897435897436</v>
      </c>
      <c r="X36" s="284">
        <v>3253.0168716042322</v>
      </c>
      <c r="Y36" s="13" t="s">
        <v>35</v>
      </c>
      <c r="Z36" s="201" t="s">
        <v>345</v>
      </c>
      <c r="AA36" s="284">
        <v>6580.0094966761635</v>
      </c>
      <c r="AB36" s="284">
        <v>2762.7634660421545</v>
      </c>
      <c r="AC36" s="283">
        <v>4362.5</v>
      </c>
      <c r="AD36" s="284">
        <v>1621.1453744493392</v>
      </c>
      <c r="AE36" s="284">
        <v>1164.4444444444443</v>
      </c>
      <c r="AF36" s="284">
        <v>127166.14661529464</v>
      </c>
      <c r="AG36" s="284">
        <v>46915.639074390434</v>
      </c>
      <c r="AH36" s="283">
        <v>0</v>
      </c>
      <c r="AI36" s="283">
        <v>8000</v>
      </c>
    </row>
    <row r="37" spans="1:35" ht="11.1" customHeight="1">
      <c r="A37" s="13"/>
      <c r="B37" s="201" t="s">
        <v>351</v>
      </c>
      <c r="C37" s="284">
        <v>2281.1188811188813</v>
      </c>
      <c r="D37" s="284">
        <v>10234.309656508163</v>
      </c>
      <c r="E37" s="284">
        <v>2995.9595959595963</v>
      </c>
      <c r="F37" s="283">
        <v>9000</v>
      </c>
      <c r="G37" s="284">
        <v>2094.5596707818931</v>
      </c>
      <c r="H37" s="284">
        <v>0</v>
      </c>
      <c r="I37" s="284">
        <v>8820.4633204633192</v>
      </c>
      <c r="J37" s="283">
        <v>0</v>
      </c>
      <c r="K37" s="284">
        <v>34169.808541973485</v>
      </c>
      <c r="L37" s="284">
        <v>30120.955882352941</v>
      </c>
      <c r="M37" s="13"/>
      <c r="N37" s="201" t="s">
        <v>351</v>
      </c>
      <c r="O37" s="284">
        <v>4631.0960888459686</v>
      </c>
      <c r="P37" s="284">
        <v>22418.732782369148</v>
      </c>
      <c r="Q37" s="284">
        <v>10941.300244453381</v>
      </c>
      <c r="R37" s="284">
        <v>29396.129032258068</v>
      </c>
      <c r="S37" s="284">
        <v>16059.617428267798</v>
      </c>
      <c r="T37" s="284">
        <v>27630.972139893307</v>
      </c>
      <c r="U37" s="284">
        <v>35580.813008130084</v>
      </c>
      <c r="V37" s="284">
        <v>21394.646017699117</v>
      </c>
      <c r="W37" s="284">
        <v>2969.090909090909</v>
      </c>
      <c r="X37" s="284">
        <v>3239.9547255234861</v>
      </c>
      <c r="Y37" s="13"/>
      <c r="Z37" s="201" t="s">
        <v>351</v>
      </c>
      <c r="AA37" s="284">
        <v>6214.4288577154321</v>
      </c>
      <c r="AB37" s="284">
        <v>2679.9256505576204</v>
      </c>
      <c r="AC37" s="284">
        <v>2125</v>
      </c>
      <c r="AD37" s="284">
        <v>1945.1083388049901</v>
      </c>
      <c r="AE37" s="283">
        <v>1710.5263157894738</v>
      </c>
      <c r="AF37" s="284">
        <v>142114.34328448278</v>
      </c>
      <c r="AG37" s="284">
        <v>50239.997286479891</v>
      </c>
      <c r="AH37" s="283">
        <v>0</v>
      </c>
      <c r="AI37" s="283">
        <v>0</v>
      </c>
    </row>
    <row r="38" spans="1:35" ht="11.1" customHeight="1">
      <c r="A38" s="13" t="s">
        <v>289</v>
      </c>
      <c r="B38" s="201" t="s">
        <v>345</v>
      </c>
      <c r="C38" s="284">
        <v>0</v>
      </c>
      <c r="D38" s="284">
        <v>8090</v>
      </c>
      <c r="E38" s="284">
        <v>3130</v>
      </c>
      <c r="F38" s="283">
        <v>0</v>
      </c>
      <c r="G38" s="283">
        <v>5057.5</v>
      </c>
      <c r="H38" s="284">
        <v>2070</v>
      </c>
      <c r="I38" s="284">
        <v>17675.255102040817</v>
      </c>
      <c r="J38" s="283">
        <v>0</v>
      </c>
      <c r="K38" s="284">
        <v>23142.083333333336</v>
      </c>
      <c r="L38" s="284">
        <v>33522.999999999993</v>
      </c>
      <c r="M38" s="13" t="s">
        <v>289</v>
      </c>
      <c r="N38" s="201" t="s">
        <v>345</v>
      </c>
      <c r="O38" s="284">
        <v>6112.2222222222226</v>
      </c>
      <c r="P38" s="283">
        <v>0</v>
      </c>
      <c r="Q38" s="283">
        <v>0</v>
      </c>
      <c r="R38" s="284">
        <v>23694.354838709682</v>
      </c>
      <c r="S38" s="283">
        <v>14033.333333333332</v>
      </c>
      <c r="T38" s="283">
        <v>28198.571428571428</v>
      </c>
      <c r="U38" s="284">
        <v>17123.529411764706</v>
      </c>
      <c r="V38" s="284">
        <v>21662.875</v>
      </c>
      <c r="W38" s="283">
        <v>0</v>
      </c>
      <c r="X38" s="283">
        <v>0</v>
      </c>
      <c r="Y38" s="13" t="s">
        <v>289</v>
      </c>
      <c r="Z38" s="201" t="s">
        <v>345</v>
      </c>
      <c r="AA38" s="283">
        <v>0</v>
      </c>
      <c r="AB38" s="284">
        <v>0</v>
      </c>
      <c r="AC38" s="283">
        <v>0</v>
      </c>
      <c r="AD38" s="283">
        <v>0</v>
      </c>
      <c r="AE38" s="283">
        <v>0</v>
      </c>
      <c r="AF38" s="283">
        <v>0</v>
      </c>
      <c r="AG38" s="284">
        <v>35057.251989389923</v>
      </c>
      <c r="AH38" s="283">
        <v>0</v>
      </c>
      <c r="AI38" s="283">
        <v>0</v>
      </c>
    </row>
    <row r="39" spans="1:35" ht="11.1" customHeight="1">
      <c r="A39" s="13"/>
      <c r="B39" s="201" t="s">
        <v>351</v>
      </c>
      <c r="C39" s="284">
        <v>7755</v>
      </c>
      <c r="D39" s="284">
        <v>8100.9500000000007</v>
      </c>
      <c r="E39" s="284">
        <v>3100</v>
      </c>
      <c r="F39" s="283">
        <v>0</v>
      </c>
      <c r="G39" s="284">
        <v>5092.0000000000009</v>
      </c>
      <c r="H39" s="284">
        <v>2104.6666666666665</v>
      </c>
      <c r="I39" s="284">
        <v>17492.241379310344</v>
      </c>
      <c r="J39" s="283">
        <v>0</v>
      </c>
      <c r="K39" s="284">
        <v>23209.074074074073</v>
      </c>
      <c r="L39" s="284">
        <v>33732.222222222226</v>
      </c>
      <c r="M39" s="13"/>
      <c r="N39" s="201" t="s">
        <v>351</v>
      </c>
      <c r="O39" s="284">
        <v>5760.5</v>
      </c>
      <c r="P39" s="283">
        <v>13428</v>
      </c>
      <c r="Q39" s="283">
        <v>0</v>
      </c>
      <c r="R39" s="284">
        <v>23396.124031007752</v>
      </c>
      <c r="S39" s="284">
        <v>14460</v>
      </c>
      <c r="T39" s="283">
        <v>27926.666666666664</v>
      </c>
      <c r="U39" s="284">
        <v>17413.333333333336</v>
      </c>
      <c r="V39" s="284">
        <v>22617.268041237116</v>
      </c>
      <c r="W39" s="283">
        <v>0</v>
      </c>
      <c r="X39" s="283">
        <v>0</v>
      </c>
      <c r="Y39" s="13"/>
      <c r="Z39" s="201" t="s">
        <v>351</v>
      </c>
      <c r="AA39" s="283">
        <v>0</v>
      </c>
      <c r="AB39" s="284">
        <v>3300.0000000000005</v>
      </c>
      <c r="AC39" s="283">
        <v>0</v>
      </c>
      <c r="AD39" s="283">
        <v>0</v>
      </c>
      <c r="AE39" s="283">
        <v>0</v>
      </c>
      <c r="AF39" s="283">
        <v>0</v>
      </c>
      <c r="AG39" s="284">
        <v>33109.536019536019</v>
      </c>
      <c r="AH39" s="283">
        <v>0</v>
      </c>
      <c r="AI39" s="283">
        <v>0</v>
      </c>
    </row>
    <row r="40" spans="1:35" ht="11.1" customHeight="1">
      <c r="A40" s="13" t="s">
        <v>36</v>
      </c>
      <c r="B40" s="201" t="s">
        <v>345</v>
      </c>
      <c r="C40" s="283">
        <v>0</v>
      </c>
      <c r="D40" s="284">
        <v>3041.0705095213589</v>
      </c>
      <c r="E40" s="283">
        <v>0</v>
      </c>
      <c r="F40" s="284">
        <v>2906.3202109993163</v>
      </c>
      <c r="G40" s="283">
        <v>0</v>
      </c>
      <c r="H40" s="283">
        <v>0</v>
      </c>
      <c r="I40" s="284">
        <v>1708.9947089947091</v>
      </c>
      <c r="J40" s="283">
        <v>0</v>
      </c>
      <c r="K40" s="284">
        <v>3507.6923076923076</v>
      </c>
      <c r="L40" s="284">
        <v>6421.875</v>
      </c>
      <c r="M40" s="13" t="s">
        <v>36</v>
      </c>
      <c r="N40" s="201" t="s">
        <v>345</v>
      </c>
      <c r="O40" s="283">
        <v>0</v>
      </c>
      <c r="P40" s="283">
        <v>0</v>
      </c>
      <c r="Q40" s="283">
        <v>0</v>
      </c>
      <c r="R40" s="283">
        <v>0</v>
      </c>
      <c r="S40" s="284">
        <v>4344.0170940170938</v>
      </c>
      <c r="T40" s="283">
        <v>0</v>
      </c>
      <c r="U40" s="284">
        <v>10317.391984971822</v>
      </c>
      <c r="V40" s="283">
        <v>0</v>
      </c>
      <c r="W40" s="283">
        <v>0</v>
      </c>
      <c r="X40" s="283">
        <v>0</v>
      </c>
      <c r="Y40" s="13" t="s">
        <v>36</v>
      </c>
      <c r="Z40" s="201" t="s">
        <v>345</v>
      </c>
      <c r="AA40" s="283">
        <v>0</v>
      </c>
      <c r="AB40" s="283">
        <v>1043.2900432900433</v>
      </c>
      <c r="AC40" s="283">
        <v>0</v>
      </c>
      <c r="AD40" s="283">
        <v>0</v>
      </c>
      <c r="AE40" s="283">
        <v>0</v>
      </c>
      <c r="AF40" s="283">
        <v>0</v>
      </c>
      <c r="AG40" s="283">
        <v>0</v>
      </c>
      <c r="AH40" s="283">
        <v>0</v>
      </c>
      <c r="AI40" s="283">
        <v>0</v>
      </c>
    </row>
    <row r="41" spans="1:35" ht="11.1" customHeight="1">
      <c r="A41" s="13"/>
      <c r="B41" s="201" t="s">
        <v>351</v>
      </c>
      <c r="C41" s="283">
        <v>0</v>
      </c>
      <c r="D41" s="284">
        <v>3047.5751050958684</v>
      </c>
      <c r="E41" s="283">
        <v>0</v>
      </c>
      <c r="F41" s="284">
        <v>2906.82276173112</v>
      </c>
      <c r="G41" s="283">
        <v>0</v>
      </c>
      <c r="H41" s="283">
        <v>0</v>
      </c>
      <c r="I41" s="284">
        <v>1687.8306878306878</v>
      </c>
      <c r="J41" s="283">
        <v>0</v>
      </c>
      <c r="K41" s="284">
        <v>3466.666666666667</v>
      </c>
      <c r="L41" s="284">
        <v>6435.4838709677424</v>
      </c>
      <c r="M41" s="13"/>
      <c r="N41" s="201" t="s">
        <v>351</v>
      </c>
      <c r="O41" s="283">
        <v>0</v>
      </c>
      <c r="P41" s="283">
        <v>0</v>
      </c>
      <c r="Q41" s="283">
        <v>0</v>
      </c>
      <c r="R41" s="283">
        <v>0</v>
      </c>
      <c r="S41" s="284">
        <v>4319.7172034564028</v>
      </c>
      <c r="T41" s="283">
        <v>0</v>
      </c>
      <c r="U41" s="284">
        <v>10252.417435287118</v>
      </c>
      <c r="V41" s="283">
        <v>0</v>
      </c>
      <c r="W41" s="283">
        <v>0</v>
      </c>
      <c r="X41" s="283">
        <v>0</v>
      </c>
      <c r="Y41" s="13"/>
      <c r="Z41" s="201" t="s">
        <v>351</v>
      </c>
      <c r="AA41" s="283">
        <v>0</v>
      </c>
      <c r="AB41" s="283">
        <v>1054.2244640605295</v>
      </c>
      <c r="AC41" s="283">
        <v>0</v>
      </c>
      <c r="AD41" s="283">
        <v>0</v>
      </c>
      <c r="AE41" s="283">
        <v>0</v>
      </c>
      <c r="AF41" s="283">
        <v>0</v>
      </c>
      <c r="AG41" s="283">
        <v>0</v>
      </c>
      <c r="AH41" s="283">
        <v>0</v>
      </c>
      <c r="AI41" s="283">
        <v>0</v>
      </c>
    </row>
    <row r="42" spans="1:35" ht="11.1" customHeight="1">
      <c r="A42" s="13" t="s">
        <v>55</v>
      </c>
      <c r="B42" s="201" t="s">
        <v>345</v>
      </c>
      <c r="C42" s="283">
        <v>0</v>
      </c>
      <c r="D42" s="284">
        <v>3304.4646856801551</v>
      </c>
      <c r="E42" s="283">
        <v>0</v>
      </c>
      <c r="F42" s="284">
        <v>3186.9115364718054</v>
      </c>
      <c r="G42" s="283">
        <v>0</v>
      </c>
      <c r="H42" s="283">
        <v>0</v>
      </c>
      <c r="I42" s="283">
        <v>0</v>
      </c>
      <c r="J42" s="283">
        <v>0</v>
      </c>
      <c r="K42" s="283">
        <v>0</v>
      </c>
      <c r="L42" s="283">
        <v>14000</v>
      </c>
      <c r="M42" s="13" t="s">
        <v>55</v>
      </c>
      <c r="N42" s="201" t="s">
        <v>345</v>
      </c>
      <c r="O42" s="283">
        <v>0</v>
      </c>
      <c r="P42" s="283">
        <v>0</v>
      </c>
      <c r="Q42" s="283">
        <v>0</v>
      </c>
      <c r="R42" s="283">
        <v>0</v>
      </c>
      <c r="S42" s="284">
        <v>0</v>
      </c>
      <c r="T42" s="283">
        <v>0</v>
      </c>
      <c r="U42" s="284">
        <v>14611.540749553837</v>
      </c>
      <c r="V42" s="284">
        <v>7617.4683544303798</v>
      </c>
      <c r="W42" s="283">
        <v>0</v>
      </c>
      <c r="X42" s="283">
        <v>0</v>
      </c>
      <c r="Y42" s="13" t="s">
        <v>55</v>
      </c>
      <c r="Z42" s="201" t="s">
        <v>345</v>
      </c>
      <c r="AA42" s="283">
        <v>0</v>
      </c>
      <c r="AB42" s="284">
        <v>952.69230769230762</v>
      </c>
      <c r="AC42" s="283">
        <v>0</v>
      </c>
      <c r="AD42" s="283">
        <v>0</v>
      </c>
      <c r="AE42" s="283">
        <v>0</v>
      </c>
      <c r="AF42" s="283">
        <v>0</v>
      </c>
      <c r="AG42" s="283">
        <v>0</v>
      </c>
      <c r="AH42" s="283">
        <v>0</v>
      </c>
      <c r="AI42" s="283">
        <v>0</v>
      </c>
    </row>
    <row r="43" spans="1:35" ht="11.1" customHeight="1">
      <c r="A43" s="13"/>
      <c r="B43" s="201" t="s">
        <v>351</v>
      </c>
      <c r="C43" s="283">
        <v>0</v>
      </c>
      <c r="D43" s="284">
        <v>3590.5464006938423</v>
      </c>
      <c r="E43" s="283">
        <v>0</v>
      </c>
      <c r="F43" s="284">
        <v>3581.19212962963</v>
      </c>
      <c r="G43" s="283">
        <v>0</v>
      </c>
      <c r="H43" s="283">
        <v>0</v>
      </c>
      <c r="I43" s="283">
        <v>0</v>
      </c>
      <c r="J43" s="283">
        <v>0</v>
      </c>
      <c r="K43" s="283">
        <v>5900</v>
      </c>
      <c r="L43" s="283">
        <v>11500</v>
      </c>
      <c r="M43" s="13"/>
      <c r="N43" s="201" t="s">
        <v>351</v>
      </c>
      <c r="O43" s="283">
        <v>0</v>
      </c>
      <c r="P43" s="283">
        <v>0</v>
      </c>
      <c r="Q43" s="283">
        <v>0</v>
      </c>
      <c r="R43" s="283">
        <v>0</v>
      </c>
      <c r="S43" s="284">
        <v>0</v>
      </c>
      <c r="T43" s="283">
        <v>0</v>
      </c>
      <c r="U43" s="284">
        <v>13991.022443890275</v>
      </c>
      <c r="V43" s="284">
        <v>8228.7922705314013</v>
      </c>
      <c r="W43" s="283">
        <v>0</v>
      </c>
      <c r="X43" s="283">
        <v>0</v>
      </c>
      <c r="Y43" s="13"/>
      <c r="Z43" s="201" t="s">
        <v>351</v>
      </c>
      <c r="AA43" s="283">
        <v>0</v>
      </c>
      <c r="AB43" s="284">
        <v>919.47368421052647</v>
      </c>
      <c r="AC43" s="283">
        <v>0</v>
      </c>
      <c r="AD43" s="283">
        <v>0</v>
      </c>
      <c r="AE43" s="283">
        <v>0</v>
      </c>
      <c r="AF43" s="283">
        <v>0</v>
      </c>
      <c r="AG43" s="283">
        <v>0</v>
      </c>
      <c r="AH43" s="283">
        <v>0</v>
      </c>
      <c r="AI43" s="283">
        <v>0</v>
      </c>
    </row>
    <row r="44" spans="1:35" ht="11.1" customHeight="1">
      <c r="A44" s="13" t="s">
        <v>67</v>
      </c>
      <c r="B44" s="201" t="s">
        <v>345</v>
      </c>
      <c r="C44" s="284">
        <v>1190.0666666666666</v>
      </c>
      <c r="D44" s="284">
        <v>3511.3953488372094</v>
      </c>
      <c r="E44" s="284">
        <v>1238.6950998185121</v>
      </c>
      <c r="F44" s="283">
        <v>0</v>
      </c>
      <c r="G44" s="284">
        <v>1084.4368932038835</v>
      </c>
      <c r="H44" s="284">
        <v>1028.5714285714287</v>
      </c>
      <c r="I44" s="283">
        <v>4950</v>
      </c>
      <c r="J44" s="283">
        <v>0</v>
      </c>
      <c r="K44" s="284">
        <v>26527.5</v>
      </c>
      <c r="L44" s="284">
        <v>12080.909090909092</v>
      </c>
      <c r="M44" s="13" t="s">
        <v>67</v>
      </c>
      <c r="N44" s="201" t="s">
        <v>345</v>
      </c>
      <c r="O44" s="284">
        <v>4145.7500000000009</v>
      </c>
      <c r="P44" s="284">
        <v>27361.250000000004</v>
      </c>
      <c r="Q44" s="284">
        <v>7178</v>
      </c>
      <c r="R44" s="284">
        <v>27861.224489795917</v>
      </c>
      <c r="S44" s="284">
        <v>16054.928571428572</v>
      </c>
      <c r="T44" s="284">
        <v>11847.399617590821</v>
      </c>
      <c r="U44" s="283">
        <v>0</v>
      </c>
      <c r="V44" s="283">
        <v>8162.0000000000009</v>
      </c>
      <c r="W44" s="284">
        <v>6592.5999999999995</v>
      </c>
      <c r="X44" s="284">
        <v>6140</v>
      </c>
      <c r="Y44" s="13" t="s">
        <v>67</v>
      </c>
      <c r="Z44" s="201" t="s">
        <v>345</v>
      </c>
      <c r="AA44" s="283">
        <v>0</v>
      </c>
      <c r="AB44" s="284">
        <v>2860</v>
      </c>
      <c r="AC44" s="283">
        <v>0</v>
      </c>
      <c r="AD44" s="284">
        <v>1216.7722772277227</v>
      </c>
      <c r="AE44" s="283">
        <v>0</v>
      </c>
      <c r="AF44" s="283">
        <v>0</v>
      </c>
      <c r="AG44" s="284">
        <v>61108.000000000007</v>
      </c>
      <c r="AH44" s="283">
        <v>0</v>
      </c>
      <c r="AI44" s="284">
        <v>16527.785714285717</v>
      </c>
    </row>
    <row r="45" spans="1:35" ht="11.1" customHeight="1">
      <c r="A45" s="13"/>
      <c r="B45" s="201" t="s">
        <v>351</v>
      </c>
      <c r="C45" s="284">
        <v>1197.1666666666667</v>
      </c>
      <c r="D45" s="284">
        <v>3421.8867924528304</v>
      </c>
      <c r="E45" s="284">
        <v>1221.4262877442272</v>
      </c>
      <c r="F45" s="283">
        <v>0</v>
      </c>
      <c r="G45" s="284">
        <v>1159.0176991150443</v>
      </c>
      <c r="H45" s="284">
        <v>1036.0714285714284</v>
      </c>
      <c r="I45" s="283">
        <v>0</v>
      </c>
      <c r="J45" s="283">
        <v>0</v>
      </c>
      <c r="K45" s="284">
        <v>27652</v>
      </c>
      <c r="L45" s="284">
        <v>7684.9736842105258</v>
      </c>
      <c r="M45" s="13"/>
      <c r="N45" s="201" t="s">
        <v>351</v>
      </c>
      <c r="O45" s="284">
        <v>4460.9032258064517</v>
      </c>
      <c r="P45" s="284">
        <v>27473.75</v>
      </c>
      <c r="Q45" s="283">
        <v>7856.6666666666661</v>
      </c>
      <c r="R45" s="284">
        <v>32551.184210526317</v>
      </c>
      <c r="S45" s="284">
        <v>16476.846153846149</v>
      </c>
      <c r="T45" s="284">
        <v>12004.680069930069</v>
      </c>
      <c r="U45" s="283">
        <v>0</v>
      </c>
      <c r="V45" s="284">
        <v>8735</v>
      </c>
      <c r="W45" s="284">
        <v>6622.7777777777783</v>
      </c>
      <c r="X45" s="284">
        <v>5820</v>
      </c>
      <c r="Y45" s="13"/>
      <c r="Z45" s="201" t="s">
        <v>351</v>
      </c>
      <c r="AA45" s="283">
        <v>1000</v>
      </c>
      <c r="AB45" s="284">
        <v>3416.6666666666665</v>
      </c>
      <c r="AC45" s="283">
        <v>0</v>
      </c>
      <c r="AD45" s="284">
        <v>1279.591836734694</v>
      </c>
      <c r="AE45" s="283">
        <v>0</v>
      </c>
      <c r="AF45" s="283">
        <v>0</v>
      </c>
      <c r="AG45" s="284">
        <v>59961.733333333337</v>
      </c>
      <c r="AH45" s="283">
        <v>0</v>
      </c>
      <c r="AI45" s="284">
        <v>15653.114285714286</v>
      </c>
    </row>
    <row r="46" spans="1:35" ht="11.1" customHeight="1">
      <c r="A46" s="13" t="s">
        <v>37</v>
      </c>
      <c r="B46" s="201" t="s">
        <v>345</v>
      </c>
      <c r="C46" s="283">
        <v>1754.25</v>
      </c>
      <c r="D46" s="284">
        <v>1696.8717117117117</v>
      </c>
      <c r="E46" s="284">
        <v>1333.891160949868</v>
      </c>
      <c r="F46" s="284">
        <v>1458.3493852459014</v>
      </c>
      <c r="G46" s="283">
        <v>2531.4388489208636</v>
      </c>
      <c r="H46" s="283">
        <v>0</v>
      </c>
      <c r="I46" s="284">
        <v>14326.016574585636</v>
      </c>
      <c r="J46" s="283">
        <v>0</v>
      </c>
      <c r="K46" s="283">
        <v>0</v>
      </c>
      <c r="L46" s="284">
        <v>22570.750605326877</v>
      </c>
      <c r="M46" s="13" t="s">
        <v>37</v>
      </c>
      <c r="N46" s="201" t="s">
        <v>345</v>
      </c>
      <c r="O46" s="284">
        <v>3152.616690240452</v>
      </c>
      <c r="P46" s="284">
        <v>14776.988764044943</v>
      </c>
      <c r="Q46" s="284">
        <v>2500</v>
      </c>
      <c r="R46" s="283">
        <v>0</v>
      </c>
      <c r="S46" s="284">
        <v>15032.859536082475</v>
      </c>
      <c r="T46" s="284">
        <v>19242.869656745221</v>
      </c>
      <c r="U46" s="284">
        <v>14858.800993377483</v>
      </c>
      <c r="V46" s="283">
        <v>0</v>
      </c>
      <c r="W46" s="284">
        <v>9050.0377358490568</v>
      </c>
      <c r="X46" s="284">
        <v>10069.524444444445</v>
      </c>
      <c r="Y46" s="13" t="s">
        <v>37</v>
      </c>
      <c r="Z46" s="201" t="s">
        <v>345</v>
      </c>
      <c r="AA46" s="283">
        <v>0</v>
      </c>
      <c r="AB46" s="284">
        <v>1408.1145584725537</v>
      </c>
      <c r="AC46" s="283">
        <v>0</v>
      </c>
      <c r="AD46" s="284">
        <v>1715.654101995565</v>
      </c>
      <c r="AE46" s="284">
        <v>630.24096385542168</v>
      </c>
      <c r="AF46" s="283">
        <v>0</v>
      </c>
      <c r="AG46" s="283">
        <v>0</v>
      </c>
      <c r="AH46" s="283">
        <v>0</v>
      </c>
      <c r="AI46" s="284">
        <v>11631.937984496124</v>
      </c>
    </row>
    <row r="47" spans="1:35" ht="11.1" customHeight="1">
      <c r="A47" s="13"/>
      <c r="B47" s="201" t="s">
        <v>351</v>
      </c>
      <c r="C47" s="283">
        <v>1224.0983606557377</v>
      </c>
      <c r="D47" s="284">
        <v>1842.2651727357611</v>
      </c>
      <c r="E47" s="284">
        <v>1258.7985303123087</v>
      </c>
      <c r="F47" s="284">
        <v>1469.3320425943855</v>
      </c>
      <c r="G47" s="283">
        <v>3125.3589743589741</v>
      </c>
      <c r="H47" s="283">
        <v>0</v>
      </c>
      <c r="I47" s="284">
        <v>16545.734597156399</v>
      </c>
      <c r="J47" s="283">
        <v>0</v>
      </c>
      <c r="K47" s="283">
        <v>0</v>
      </c>
      <c r="L47" s="284">
        <v>21734.547215496372</v>
      </c>
      <c r="M47" s="13"/>
      <c r="N47" s="201" t="s">
        <v>351</v>
      </c>
      <c r="O47" s="284">
        <v>3215.3053892215571</v>
      </c>
      <c r="P47" s="284">
        <v>14130.942307692307</v>
      </c>
      <c r="Q47" s="284">
        <v>2300</v>
      </c>
      <c r="R47" s="283">
        <v>0</v>
      </c>
      <c r="S47" s="284">
        <v>12154.937012994171</v>
      </c>
      <c r="T47" s="284">
        <v>18268.807376610974</v>
      </c>
      <c r="U47" s="284">
        <v>14779.426438813593</v>
      </c>
      <c r="V47" s="283">
        <v>0</v>
      </c>
      <c r="W47" s="284">
        <v>9388.2017804154293</v>
      </c>
      <c r="X47" s="284">
        <v>9853.0666666666675</v>
      </c>
      <c r="Y47" s="13"/>
      <c r="Z47" s="201" t="s">
        <v>351</v>
      </c>
      <c r="AA47" s="283">
        <v>0</v>
      </c>
      <c r="AB47" s="284">
        <v>1426.1097852028638</v>
      </c>
      <c r="AC47" s="283">
        <v>0</v>
      </c>
      <c r="AD47" s="284">
        <v>1575.8250825082509</v>
      </c>
      <c r="AE47" s="284">
        <v>679.15094339622635</v>
      </c>
      <c r="AF47" s="283">
        <v>0</v>
      </c>
      <c r="AG47" s="283">
        <v>0</v>
      </c>
      <c r="AH47" s="283">
        <v>0</v>
      </c>
      <c r="AI47" s="284">
        <v>9791.0869565217399</v>
      </c>
    </row>
    <row r="48" spans="1:35" ht="11.1" customHeight="1">
      <c r="A48" s="13" t="s">
        <v>38</v>
      </c>
      <c r="B48" s="201" t="s">
        <v>345</v>
      </c>
      <c r="C48" s="284">
        <v>1057.3991031390135</v>
      </c>
      <c r="D48" s="284">
        <v>3637.2430471584039</v>
      </c>
      <c r="E48" s="284">
        <v>1111.25</v>
      </c>
      <c r="F48" s="284">
        <v>8447.2222222222226</v>
      </c>
      <c r="G48" s="284">
        <v>918.60465116279067</v>
      </c>
      <c r="H48" s="283">
        <v>0</v>
      </c>
      <c r="I48" s="284">
        <v>0</v>
      </c>
      <c r="J48" s="284">
        <v>26563.265306122448</v>
      </c>
      <c r="K48" s="284">
        <v>18000</v>
      </c>
      <c r="L48" s="284">
        <v>0</v>
      </c>
      <c r="M48" s="13" t="s">
        <v>38</v>
      </c>
      <c r="N48" s="201" t="s">
        <v>345</v>
      </c>
      <c r="O48" s="284">
        <v>1981.0126582278481</v>
      </c>
      <c r="P48" s="284">
        <v>5788.8888888888887</v>
      </c>
      <c r="Q48" s="284">
        <v>2642.8571428571427</v>
      </c>
      <c r="R48" s="284">
        <v>26680.412371134022</v>
      </c>
      <c r="S48" s="284">
        <v>6000</v>
      </c>
      <c r="T48" s="284">
        <v>12143.225806451612</v>
      </c>
      <c r="U48" s="284">
        <v>9113.2637853949327</v>
      </c>
      <c r="V48" s="284">
        <v>13880.763116057233</v>
      </c>
      <c r="W48" s="284">
        <v>4539.8406374501992</v>
      </c>
      <c r="X48" s="284">
        <v>2566.3956639566395</v>
      </c>
      <c r="Y48" s="13" t="s">
        <v>38</v>
      </c>
      <c r="Z48" s="201" t="s">
        <v>345</v>
      </c>
      <c r="AA48" s="284">
        <v>2440.1664932362123</v>
      </c>
      <c r="AB48" s="284">
        <v>816.49101053936772</v>
      </c>
      <c r="AC48" s="283">
        <v>0</v>
      </c>
      <c r="AD48" s="284">
        <v>808.85780885780889</v>
      </c>
      <c r="AE48" s="284">
        <v>809.76933514246957</v>
      </c>
      <c r="AF48" s="284">
        <v>138558.21519451306</v>
      </c>
      <c r="AG48" s="283">
        <v>0</v>
      </c>
      <c r="AH48" s="283">
        <v>0</v>
      </c>
      <c r="AI48" s="283">
        <v>0</v>
      </c>
    </row>
    <row r="49" spans="1:35" ht="11.1" customHeight="1">
      <c r="A49" s="13"/>
      <c r="B49" s="201" t="s">
        <v>351</v>
      </c>
      <c r="C49" s="284">
        <v>1072.4346076458753</v>
      </c>
      <c r="D49" s="284">
        <v>3590.2383654937571</v>
      </c>
      <c r="E49" s="284">
        <v>1086.3301191151447</v>
      </c>
      <c r="F49" s="284">
        <v>9039.2112606697301</v>
      </c>
      <c r="G49" s="284">
        <v>915.25423728813564</v>
      </c>
      <c r="H49" s="283">
        <v>0</v>
      </c>
      <c r="I49" s="283">
        <v>0</v>
      </c>
      <c r="J49" s="284">
        <v>17741.279069767439</v>
      </c>
      <c r="K49" s="284">
        <v>21787.234042553191</v>
      </c>
      <c r="L49" s="283">
        <v>3305.0847457627119</v>
      </c>
      <c r="M49" s="13"/>
      <c r="N49" s="201" t="s">
        <v>351</v>
      </c>
      <c r="O49" s="284">
        <v>1849.6420047732697</v>
      </c>
      <c r="P49" s="284">
        <v>5151.1627906976746</v>
      </c>
      <c r="Q49" s="284">
        <v>2500</v>
      </c>
      <c r="R49" s="284">
        <v>21458.333333333332</v>
      </c>
      <c r="S49" s="284">
        <v>6214.2857142857147</v>
      </c>
      <c r="T49" s="284">
        <v>11886.403766921718</v>
      </c>
      <c r="U49" s="284">
        <v>6583.5189309576845</v>
      </c>
      <c r="V49" s="284">
        <v>11835.526315789475</v>
      </c>
      <c r="W49" s="284">
        <v>2505.4945054945056</v>
      </c>
      <c r="X49" s="284">
        <v>2507.936507936508</v>
      </c>
      <c r="Y49" s="13"/>
      <c r="Z49" s="201" t="s">
        <v>351</v>
      </c>
      <c r="AA49" s="284">
        <v>5275.7352941176468</v>
      </c>
      <c r="AB49" s="284">
        <v>775.18626498218339</v>
      </c>
      <c r="AC49" s="283">
        <v>0</v>
      </c>
      <c r="AD49" s="284">
        <v>833.05509181969956</v>
      </c>
      <c r="AE49" s="284">
        <v>787.1362940275651</v>
      </c>
      <c r="AF49" s="284">
        <v>136650.87920612306</v>
      </c>
      <c r="AG49" s="283">
        <v>0</v>
      </c>
      <c r="AH49" s="283">
        <v>0</v>
      </c>
      <c r="AI49" s="283">
        <v>0</v>
      </c>
    </row>
    <row r="50" spans="1:35" ht="11.1" customHeight="1">
      <c r="A50" s="13" t="s">
        <v>39</v>
      </c>
      <c r="B50" s="201" t="s">
        <v>345</v>
      </c>
      <c r="C50" s="284">
        <v>1398.980190755686</v>
      </c>
      <c r="D50" s="284">
        <v>1683.5276419706656</v>
      </c>
      <c r="E50" s="284">
        <v>1635.5399408284022</v>
      </c>
      <c r="F50" s="284">
        <v>1830.9523809523812</v>
      </c>
      <c r="G50" s="284">
        <v>1187.6092233009708</v>
      </c>
      <c r="H50" s="284">
        <v>1102.0035604016578</v>
      </c>
      <c r="I50" s="283">
        <v>0</v>
      </c>
      <c r="J50" s="283">
        <v>0</v>
      </c>
      <c r="K50" s="283">
        <v>0</v>
      </c>
      <c r="L50" s="284">
        <v>10001.785714285714</v>
      </c>
      <c r="M50" s="13" t="s">
        <v>39</v>
      </c>
      <c r="N50" s="201" t="s">
        <v>345</v>
      </c>
      <c r="O50" s="283">
        <v>0</v>
      </c>
      <c r="P50" s="284">
        <v>7675</v>
      </c>
      <c r="Q50" s="283">
        <v>0</v>
      </c>
      <c r="R50" s="284">
        <v>16560</v>
      </c>
      <c r="S50" s="284">
        <v>0</v>
      </c>
      <c r="T50" s="284">
        <v>13725.668297406957</v>
      </c>
      <c r="U50" s="284">
        <v>13122.177954847277</v>
      </c>
      <c r="V50" s="284">
        <v>11345.081967213113</v>
      </c>
      <c r="W50" s="284">
        <v>8360.0448053766449</v>
      </c>
      <c r="X50" s="284">
        <v>6699.8574991093692</v>
      </c>
      <c r="Y50" s="13" t="s">
        <v>39</v>
      </c>
      <c r="Z50" s="201" t="s">
        <v>345</v>
      </c>
      <c r="AA50" s="283">
        <v>0</v>
      </c>
      <c r="AB50" s="284">
        <v>1199.4746059544659</v>
      </c>
      <c r="AC50" s="283">
        <v>0</v>
      </c>
      <c r="AD50" s="284">
        <v>1279.5861108347426</v>
      </c>
      <c r="AE50" s="284">
        <v>1012.4186046511627</v>
      </c>
      <c r="AF50" s="283">
        <v>0</v>
      </c>
      <c r="AG50" s="283">
        <v>0</v>
      </c>
      <c r="AH50" s="284">
        <v>22712.726887192537</v>
      </c>
      <c r="AI50" s="284">
        <v>28608.587650816182</v>
      </c>
    </row>
    <row r="51" spans="1:35" ht="11.1" customHeight="1">
      <c r="A51" s="13"/>
      <c r="B51" s="201" t="s">
        <v>351</v>
      </c>
      <c r="C51" s="284">
        <v>1271.6481892091649</v>
      </c>
      <c r="D51" s="284">
        <v>1686.5753424657532</v>
      </c>
      <c r="E51" s="284">
        <v>1668.7435765673176</v>
      </c>
      <c r="F51" s="284">
        <v>1832.5000000000002</v>
      </c>
      <c r="G51" s="284">
        <v>1263.8621654348822</v>
      </c>
      <c r="H51" s="284">
        <v>1121.3604155928708</v>
      </c>
      <c r="I51" s="283">
        <v>0</v>
      </c>
      <c r="J51" s="283">
        <v>0</v>
      </c>
      <c r="K51" s="283">
        <v>0</v>
      </c>
      <c r="L51" s="284">
        <v>10265.740740740741</v>
      </c>
      <c r="M51" s="13"/>
      <c r="N51" s="201" t="s">
        <v>351</v>
      </c>
      <c r="O51" s="283">
        <v>0</v>
      </c>
      <c r="P51" s="284">
        <v>8205.2631578947385</v>
      </c>
      <c r="Q51" s="283">
        <v>0</v>
      </c>
      <c r="R51" s="284">
        <v>16059.102902374672</v>
      </c>
      <c r="S51" s="283">
        <v>4809.090909090909</v>
      </c>
      <c r="T51" s="284">
        <v>15507.702588980745</v>
      </c>
      <c r="U51" s="284">
        <v>16326.945569050835</v>
      </c>
      <c r="V51" s="284">
        <v>9292.4369747899145</v>
      </c>
      <c r="W51" s="284">
        <v>8630.5649072753204</v>
      </c>
      <c r="X51" s="284">
        <v>6931.2641242937834</v>
      </c>
      <c r="Y51" s="13"/>
      <c r="Z51" s="201" t="s">
        <v>351</v>
      </c>
      <c r="AA51" s="283">
        <v>0</v>
      </c>
      <c r="AB51" s="284">
        <v>1198.2363636363636</v>
      </c>
      <c r="AC51" s="283">
        <v>0</v>
      </c>
      <c r="AD51" s="284">
        <v>1292.4253393665158</v>
      </c>
      <c r="AE51" s="284">
        <v>985.61436672967864</v>
      </c>
      <c r="AF51" s="283">
        <v>0</v>
      </c>
      <c r="AG51" s="283">
        <v>0</v>
      </c>
      <c r="AH51" s="284">
        <v>22452.312599681019</v>
      </c>
      <c r="AI51" s="284">
        <v>30891.318732707223</v>
      </c>
    </row>
    <row r="52" spans="1:35" ht="11.1" customHeight="1">
      <c r="A52" s="13" t="s">
        <v>70</v>
      </c>
      <c r="B52" s="201" t="s">
        <v>345</v>
      </c>
      <c r="C52" s="283">
        <v>0</v>
      </c>
      <c r="D52" s="284">
        <v>2872.7024625293593</v>
      </c>
      <c r="E52" s="283">
        <v>0</v>
      </c>
      <c r="F52" s="284">
        <v>7788.7677669902905</v>
      </c>
      <c r="G52" s="283">
        <v>0</v>
      </c>
      <c r="H52" s="283">
        <v>0</v>
      </c>
      <c r="I52" s="283">
        <v>0</v>
      </c>
      <c r="J52" s="283">
        <v>0</v>
      </c>
      <c r="K52" s="284">
        <v>13130.699088145897</v>
      </c>
      <c r="L52" s="283">
        <v>0</v>
      </c>
      <c r="M52" s="13" t="s">
        <v>70</v>
      </c>
      <c r="N52" s="201" t="s">
        <v>345</v>
      </c>
      <c r="O52" s="283">
        <v>0</v>
      </c>
      <c r="P52" s="283">
        <v>0</v>
      </c>
      <c r="Q52" s="283">
        <v>0</v>
      </c>
      <c r="R52" s="283">
        <v>0</v>
      </c>
      <c r="S52" s="283">
        <v>0</v>
      </c>
      <c r="T52" s="283">
        <v>0</v>
      </c>
      <c r="U52" s="284">
        <v>15967.849388077377</v>
      </c>
      <c r="V52" s="283">
        <v>0</v>
      </c>
      <c r="W52" s="283">
        <v>0</v>
      </c>
      <c r="X52" s="283">
        <v>0</v>
      </c>
      <c r="Y52" s="13" t="s">
        <v>70</v>
      </c>
      <c r="Z52" s="201" t="s">
        <v>345</v>
      </c>
      <c r="AA52" s="283">
        <v>0</v>
      </c>
      <c r="AB52" s="284">
        <v>964.82595684359751</v>
      </c>
      <c r="AC52" s="283">
        <v>0</v>
      </c>
      <c r="AD52" s="283">
        <v>0</v>
      </c>
      <c r="AE52" s="283">
        <v>0</v>
      </c>
      <c r="AF52" s="283">
        <v>0</v>
      </c>
      <c r="AG52" s="283">
        <v>0</v>
      </c>
      <c r="AH52" s="283">
        <v>0</v>
      </c>
      <c r="AI52" s="283">
        <v>0</v>
      </c>
    </row>
    <row r="53" spans="1:35" ht="11.1" customHeight="1">
      <c r="A53" s="13"/>
      <c r="B53" s="201" t="s">
        <v>351</v>
      </c>
      <c r="C53" s="283">
        <v>0</v>
      </c>
      <c r="D53" s="284">
        <v>3138.713312754177</v>
      </c>
      <c r="E53" s="283">
        <v>0</v>
      </c>
      <c r="F53" s="284">
        <v>7851.6328978132306</v>
      </c>
      <c r="G53" s="283">
        <v>0</v>
      </c>
      <c r="H53" s="283">
        <v>0</v>
      </c>
      <c r="I53" s="284">
        <v>10703.703703703704</v>
      </c>
      <c r="J53" s="283">
        <v>0</v>
      </c>
      <c r="K53" s="284">
        <v>13472.098214285714</v>
      </c>
      <c r="L53" s="283">
        <v>0</v>
      </c>
      <c r="M53" s="13"/>
      <c r="N53" s="201" t="s">
        <v>351</v>
      </c>
      <c r="O53" s="283">
        <v>0</v>
      </c>
      <c r="P53" s="283">
        <v>0</v>
      </c>
      <c r="Q53" s="283">
        <v>0</v>
      </c>
      <c r="R53" s="283">
        <v>0</v>
      </c>
      <c r="S53" s="283">
        <v>0</v>
      </c>
      <c r="T53" s="283">
        <v>0</v>
      </c>
      <c r="U53" s="284">
        <v>16632.933956750439</v>
      </c>
      <c r="V53" s="283">
        <v>0</v>
      </c>
      <c r="W53" s="283">
        <v>0</v>
      </c>
      <c r="X53" s="283">
        <v>0</v>
      </c>
      <c r="Y53" s="13"/>
      <c r="Z53" s="201" t="s">
        <v>351</v>
      </c>
      <c r="AA53" s="283">
        <v>0</v>
      </c>
      <c r="AB53" s="284">
        <v>966.36706586826347</v>
      </c>
      <c r="AC53" s="283">
        <v>0</v>
      </c>
      <c r="AD53" s="283">
        <v>0</v>
      </c>
      <c r="AE53" s="283">
        <v>0</v>
      </c>
      <c r="AF53" s="283">
        <v>0</v>
      </c>
      <c r="AG53" s="283">
        <v>0</v>
      </c>
      <c r="AH53" s="283">
        <v>0</v>
      </c>
      <c r="AI53" s="283">
        <v>0</v>
      </c>
    </row>
    <row r="54" spans="1:35" ht="11.1" customHeight="1">
      <c r="A54" s="13" t="s">
        <v>68</v>
      </c>
      <c r="B54" s="201" t="s">
        <v>345</v>
      </c>
      <c r="C54" s="284">
        <v>0</v>
      </c>
      <c r="D54" s="284">
        <v>0</v>
      </c>
      <c r="E54" s="284">
        <v>3185.5123674911661</v>
      </c>
      <c r="F54" s="283">
        <v>0</v>
      </c>
      <c r="G54" s="283">
        <v>0</v>
      </c>
      <c r="H54" s="284">
        <v>1745.7627118644068</v>
      </c>
      <c r="I54" s="284">
        <v>11785.24374176548</v>
      </c>
      <c r="J54" s="283">
        <v>0</v>
      </c>
      <c r="K54" s="284">
        <v>37804.511278195489</v>
      </c>
      <c r="L54" s="284">
        <v>35635.94470046083</v>
      </c>
      <c r="M54" s="13" t="s">
        <v>68</v>
      </c>
      <c r="N54" s="201" t="s">
        <v>345</v>
      </c>
      <c r="O54" s="284">
        <v>7076.9230769230762</v>
      </c>
      <c r="P54" s="283">
        <v>0</v>
      </c>
      <c r="Q54" s="284">
        <v>10750</v>
      </c>
      <c r="R54" s="284">
        <v>31022.641509433965</v>
      </c>
      <c r="S54" s="284">
        <v>13932.773109243697</v>
      </c>
      <c r="T54" s="284">
        <v>19962.025316455696</v>
      </c>
      <c r="U54" s="283">
        <v>0</v>
      </c>
      <c r="V54" s="284">
        <v>15508.474576271186</v>
      </c>
      <c r="W54" s="283">
        <v>0</v>
      </c>
      <c r="X54" s="283">
        <v>0</v>
      </c>
      <c r="Y54" s="13" t="s">
        <v>68</v>
      </c>
      <c r="Z54" s="201" t="s">
        <v>345</v>
      </c>
      <c r="AA54" s="284">
        <v>5692.3076923076924</v>
      </c>
      <c r="AB54" s="283">
        <v>0</v>
      </c>
      <c r="AC54" s="283">
        <v>0</v>
      </c>
      <c r="AD54" s="283">
        <v>0</v>
      </c>
      <c r="AE54" s="283">
        <v>0</v>
      </c>
      <c r="AF54" s="283">
        <v>0</v>
      </c>
      <c r="AG54" s="284">
        <v>47306.799336650081</v>
      </c>
      <c r="AH54" s="283">
        <v>0</v>
      </c>
      <c r="AI54" s="284">
        <v>0</v>
      </c>
    </row>
    <row r="55" spans="1:35" ht="11.1" customHeight="1">
      <c r="A55" s="13"/>
      <c r="B55" s="201" t="s">
        <v>351</v>
      </c>
      <c r="C55" s="283">
        <v>0</v>
      </c>
      <c r="D55" s="284">
        <v>0</v>
      </c>
      <c r="E55" s="284">
        <v>2989.0453834115806</v>
      </c>
      <c r="F55" s="283">
        <v>0</v>
      </c>
      <c r="G55" s="283">
        <v>0</v>
      </c>
      <c r="H55" s="284">
        <v>2017.4216027874565</v>
      </c>
      <c r="I55" s="284">
        <v>11754.403131115459</v>
      </c>
      <c r="J55" s="283">
        <v>0</v>
      </c>
      <c r="K55" s="284">
        <v>38688.622754491022</v>
      </c>
      <c r="L55" s="284">
        <v>36378.947368421053</v>
      </c>
      <c r="M55" s="13"/>
      <c r="N55" s="201" t="s">
        <v>351</v>
      </c>
      <c r="O55" s="284">
        <v>6333.333333333333</v>
      </c>
      <c r="P55" s="283">
        <v>0</v>
      </c>
      <c r="Q55" s="284">
        <v>9000</v>
      </c>
      <c r="R55" s="284">
        <v>35164.794007490636</v>
      </c>
      <c r="S55" s="284">
        <v>13936</v>
      </c>
      <c r="T55" s="284">
        <v>21491.228070175439</v>
      </c>
      <c r="U55" s="283">
        <v>0</v>
      </c>
      <c r="V55" s="284">
        <v>15588.235294117647</v>
      </c>
      <c r="W55" s="283">
        <v>0</v>
      </c>
      <c r="X55" s="283">
        <v>0</v>
      </c>
      <c r="Y55" s="13"/>
      <c r="Z55" s="201" t="s">
        <v>351</v>
      </c>
      <c r="AA55" s="284">
        <v>5842.105263157895</v>
      </c>
      <c r="AB55" s="283">
        <v>0</v>
      </c>
      <c r="AC55" s="283">
        <v>0</v>
      </c>
      <c r="AD55" s="283">
        <v>0</v>
      </c>
      <c r="AE55" s="283">
        <v>0</v>
      </c>
      <c r="AF55" s="283">
        <v>0</v>
      </c>
      <c r="AG55" s="284">
        <v>43577.240940877302</v>
      </c>
      <c r="AH55" s="283">
        <v>0</v>
      </c>
      <c r="AI55" s="284">
        <v>0</v>
      </c>
    </row>
    <row r="56" spans="1:35" ht="11.1" customHeight="1">
      <c r="A56" s="13" t="s">
        <v>69</v>
      </c>
      <c r="B56" s="201" t="s">
        <v>345</v>
      </c>
      <c r="C56" s="283">
        <v>0</v>
      </c>
      <c r="D56" s="284">
        <v>3794.773073408468</v>
      </c>
      <c r="E56" s="283">
        <v>0</v>
      </c>
      <c r="F56" s="284">
        <v>8676.0124496521421</v>
      </c>
      <c r="G56" s="283">
        <v>0</v>
      </c>
      <c r="H56" s="283">
        <v>0</v>
      </c>
      <c r="I56" s="284">
        <v>11035.199999999999</v>
      </c>
      <c r="J56" s="283">
        <v>0</v>
      </c>
      <c r="K56" s="284">
        <v>17576.923076923074</v>
      </c>
      <c r="L56" s="284">
        <v>6310.9090909090919</v>
      </c>
      <c r="M56" s="13" t="s">
        <v>69</v>
      </c>
      <c r="N56" s="201" t="s">
        <v>345</v>
      </c>
      <c r="O56" s="283">
        <v>0</v>
      </c>
      <c r="P56" s="283">
        <v>0</v>
      </c>
      <c r="Q56" s="283">
        <v>0</v>
      </c>
      <c r="R56" s="283">
        <v>0</v>
      </c>
      <c r="S56" s="284">
        <v>7092.3976109215009</v>
      </c>
      <c r="T56" s="283">
        <v>0</v>
      </c>
      <c r="U56" s="284">
        <v>17848.652542372882</v>
      </c>
      <c r="V56" s="284">
        <v>8123.9999999999991</v>
      </c>
      <c r="W56" s="283">
        <v>0</v>
      </c>
      <c r="X56" s="283">
        <v>0</v>
      </c>
      <c r="Y56" s="13" t="s">
        <v>69</v>
      </c>
      <c r="Z56" s="201" t="s">
        <v>345</v>
      </c>
      <c r="AA56" s="283">
        <v>0</v>
      </c>
      <c r="AB56" s="283">
        <v>0</v>
      </c>
      <c r="AC56" s="283">
        <v>0</v>
      </c>
      <c r="AD56" s="283">
        <v>0</v>
      </c>
      <c r="AE56" s="283">
        <v>0</v>
      </c>
      <c r="AF56" s="283">
        <v>0</v>
      </c>
      <c r="AG56" s="283">
        <v>0</v>
      </c>
      <c r="AH56" s="283">
        <v>0</v>
      </c>
      <c r="AI56" s="283">
        <v>0</v>
      </c>
    </row>
    <row r="57" spans="1:35" ht="11.1" customHeight="1">
      <c r="A57" s="13"/>
      <c r="B57" s="201" t="s">
        <v>351</v>
      </c>
      <c r="C57" s="283">
        <v>0</v>
      </c>
      <c r="D57" s="284">
        <v>2465.5281262646704</v>
      </c>
      <c r="E57" s="283">
        <v>0</v>
      </c>
      <c r="F57" s="284">
        <v>8873.2987979935006</v>
      </c>
      <c r="G57" s="283">
        <v>0</v>
      </c>
      <c r="H57" s="283">
        <v>0</v>
      </c>
      <c r="I57" s="284">
        <v>0</v>
      </c>
      <c r="J57" s="283">
        <v>0</v>
      </c>
      <c r="K57" s="284">
        <v>19957.446808510635</v>
      </c>
      <c r="L57" s="284">
        <v>10600.891089108911</v>
      </c>
      <c r="M57" s="13"/>
      <c r="N57" s="201" t="s">
        <v>351</v>
      </c>
      <c r="O57" s="283">
        <v>0</v>
      </c>
      <c r="P57" s="283">
        <v>0</v>
      </c>
      <c r="Q57" s="283">
        <v>0</v>
      </c>
      <c r="R57" s="283">
        <v>0</v>
      </c>
      <c r="S57" s="284">
        <v>7049.1267605633802</v>
      </c>
      <c r="T57" s="283">
        <v>0</v>
      </c>
      <c r="U57" s="284">
        <v>18436.271698900069</v>
      </c>
      <c r="V57" s="284">
        <v>5532.258064516127</v>
      </c>
      <c r="W57" s="283">
        <v>0</v>
      </c>
      <c r="X57" s="283">
        <v>0</v>
      </c>
      <c r="Y57" s="13"/>
      <c r="Z57" s="201" t="s">
        <v>351</v>
      </c>
      <c r="AA57" s="283">
        <v>0</v>
      </c>
      <c r="AB57" s="283">
        <v>1600</v>
      </c>
      <c r="AC57" s="283">
        <v>0</v>
      </c>
      <c r="AD57" s="283">
        <v>0</v>
      </c>
      <c r="AE57" s="283">
        <v>0</v>
      </c>
      <c r="AF57" s="283">
        <v>0</v>
      </c>
      <c r="AG57" s="283">
        <v>0</v>
      </c>
      <c r="AH57" s="283">
        <v>0</v>
      </c>
      <c r="AI57" s="283">
        <v>0</v>
      </c>
    </row>
    <row r="58" spans="1:35" ht="11.1" customHeight="1">
      <c r="A58" s="13" t="s">
        <v>71</v>
      </c>
      <c r="B58" s="201" t="s">
        <v>345</v>
      </c>
      <c r="C58" s="283">
        <v>0</v>
      </c>
      <c r="D58" s="284">
        <v>2259.3121159602961</v>
      </c>
      <c r="E58" s="283">
        <v>0</v>
      </c>
      <c r="F58" s="284">
        <v>4483.3913888320712</v>
      </c>
      <c r="G58" s="283">
        <v>0</v>
      </c>
      <c r="H58" s="283">
        <v>0</v>
      </c>
      <c r="I58" s="284">
        <v>0</v>
      </c>
      <c r="J58" s="283">
        <v>0</v>
      </c>
      <c r="K58" s="283">
        <v>4716.1538461538457</v>
      </c>
      <c r="L58" s="283">
        <v>0</v>
      </c>
      <c r="M58" s="13" t="s">
        <v>71</v>
      </c>
      <c r="N58" s="201" t="s">
        <v>345</v>
      </c>
      <c r="O58" s="283">
        <v>0</v>
      </c>
      <c r="P58" s="283">
        <v>0</v>
      </c>
      <c r="Q58" s="283">
        <v>0</v>
      </c>
      <c r="R58" s="283">
        <v>0</v>
      </c>
      <c r="S58" s="283">
        <v>0</v>
      </c>
      <c r="T58" s="283">
        <v>0</v>
      </c>
      <c r="U58" s="284">
        <v>12265.784810126583</v>
      </c>
      <c r="V58" s="284">
        <v>5086.0952380952385</v>
      </c>
      <c r="W58" s="283">
        <v>0</v>
      </c>
      <c r="X58" s="283">
        <v>0</v>
      </c>
      <c r="Y58" s="13" t="s">
        <v>71</v>
      </c>
      <c r="Z58" s="201" t="s">
        <v>345</v>
      </c>
      <c r="AA58" s="283">
        <v>0</v>
      </c>
      <c r="AB58" s="284">
        <v>1605.0689655172414</v>
      </c>
      <c r="AC58" s="283">
        <v>0</v>
      </c>
      <c r="AD58" s="283">
        <v>0</v>
      </c>
      <c r="AE58" s="283">
        <v>0</v>
      </c>
      <c r="AF58" s="283">
        <v>0</v>
      </c>
      <c r="AG58" s="283">
        <v>0</v>
      </c>
      <c r="AH58" s="283">
        <v>0</v>
      </c>
      <c r="AI58" s="283">
        <v>0</v>
      </c>
    </row>
    <row r="59" spans="1:35" ht="11.1" customHeight="1">
      <c r="A59" s="14"/>
      <c r="B59" s="200" t="s">
        <v>351</v>
      </c>
      <c r="C59" s="286">
        <v>0</v>
      </c>
      <c r="D59" s="287">
        <v>2557.884229717411</v>
      </c>
      <c r="E59" s="286">
        <v>0</v>
      </c>
      <c r="F59" s="287">
        <v>5134.8575604272073</v>
      </c>
      <c r="G59" s="286">
        <v>0</v>
      </c>
      <c r="H59" s="286">
        <v>0</v>
      </c>
      <c r="I59" s="287">
        <v>0</v>
      </c>
      <c r="J59" s="286">
        <v>0</v>
      </c>
      <c r="K59" s="287">
        <v>6010.5</v>
      </c>
      <c r="L59" s="287">
        <v>25459.999999999996</v>
      </c>
      <c r="M59" s="14"/>
      <c r="N59" s="200" t="s">
        <v>351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7">
        <v>12801.119445771619</v>
      </c>
      <c r="V59" s="287">
        <v>5249.2783505154639</v>
      </c>
      <c r="W59" s="286">
        <v>0</v>
      </c>
      <c r="X59" s="286">
        <v>0</v>
      </c>
      <c r="Y59" s="14"/>
      <c r="Z59" s="200" t="s">
        <v>351</v>
      </c>
      <c r="AA59" s="286">
        <v>0</v>
      </c>
      <c r="AB59" s="286">
        <v>1553.6985074626866</v>
      </c>
      <c r="AC59" s="286">
        <v>0</v>
      </c>
      <c r="AD59" s="286">
        <v>0</v>
      </c>
      <c r="AE59" s="286">
        <v>0</v>
      </c>
      <c r="AF59" s="286">
        <v>0</v>
      </c>
      <c r="AG59" s="286">
        <v>0</v>
      </c>
      <c r="AH59" s="286">
        <v>0</v>
      </c>
      <c r="AI59" s="286">
        <v>0</v>
      </c>
    </row>
    <row r="60" spans="1:35" ht="9" customHeight="1">
      <c r="A60" s="163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94" t="s">
        <v>150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281" t="s">
        <v>150</v>
      </c>
      <c r="Y60" s="207" t="s">
        <v>94</v>
      </c>
      <c r="Z60" s="165"/>
      <c r="AA60" s="165"/>
      <c r="AB60" s="165"/>
      <c r="AC60" s="165"/>
      <c r="AD60" s="165"/>
      <c r="AE60" s="165"/>
      <c r="AF60" s="22"/>
      <c r="AG60" s="22"/>
      <c r="AH60" s="22"/>
      <c r="AI60" s="22"/>
    </row>
    <row r="61" spans="1:35" ht="9" customHeight="1">
      <c r="A61" s="163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207" t="s">
        <v>101</v>
      </c>
      <c r="Z61" s="165"/>
      <c r="AA61" s="165"/>
      <c r="AB61" s="165"/>
      <c r="AC61" s="165"/>
      <c r="AD61" s="165"/>
      <c r="AE61" s="165"/>
      <c r="AF61" s="22"/>
      <c r="AG61" s="22"/>
      <c r="AH61" s="22"/>
      <c r="AI61" s="22"/>
    </row>
    <row r="62" spans="1:35" ht="9" customHeight="1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528" t="s">
        <v>355</v>
      </c>
      <c r="Z62" s="528"/>
      <c r="AA62" s="528"/>
      <c r="AB62" s="528"/>
      <c r="AC62" s="528"/>
      <c r="AD62" s="528"/>
      <c r="AE62" s="528"/>
    </row>
    <row r="63" spans="1:35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</row>
    <row r="64" spans="1:35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</row>
    <row r="65" spans="1:31" ht="12.7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20</vt:i4>
      </vt:variant>
    </vt:vector>
  </HeadingPairs>
  <TitlesOfParts>
    <vt:vector size="4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2021-04-30T18:36:01Z</cp:lastPrinted>
  <dcterms:created xsi:type="dcterms:W3CDTF">2018-05-02T15:50:35Z</dcterms:created>
  <dcterms:modified xsi:type="dcterms:W3CDTF">2021-10-14T20:56:02Z</dcterms:modified>
  <cp:category/>
</cp:coreProperties>
</file>